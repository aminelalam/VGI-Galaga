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9fd8ef18ec40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1d959e862d794162"/>
    <x:sheet xmlns:r="http://schemas.openxmlformats.org/officeDocument/2006/relationships" name="Parametros" sheetId="2" r:id="Rc6b258594d6e4a7d"/>
    <x:sheet xmlns:r="http://schemas.openxmlformats.org/officeDocument/2006/relationships" name="Oleadas" sheetId="3" r:id="R322adbc6d0a345cc"/>
    <x:sheet xmlns:r="http://schemas.openxmlformats.org/officeDocument/2006/relationships" name="Migracion3D" sheetId="4" r:id="R7cc3b27f9eb9418c"/>
    <x:sheet xmlns:r="http://schemas.openxmlformats.org/officeDocument/2006/relationships" name="Estados" sheetId="5" r:id="Rc79478d3cce2417d"/>
    <x:sheet xmlns:r="http://schemas.openxmlformats.org/officeDocument/2006/relationships" name="Decisiones" sheetId="6" r:id="R321165164c0b4f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0"/>
  </x:numFmts>
  <x:fonts count="12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26364B"/>
      <x:name val="Arial"/>
    </x:font>
    <x:font>
      <x:sz val="16"/>
      <x:color rgb="FF26364B"/>
      <x:name val="Arial"/>
    </x:font>
    <x:font>
      <x:b/>
      <x:sz val="16"/>
      <x:color rgb="FF26364B"/>
      <x:name val="Arial"/>
    </x:font>
    <x:font>
      <x:i/>
      <x:sz val="10"/>
      <x:color rgb="FF26364B"/>
      <x:name val="Arial"/>
    </x:font>
    <x:font>
      <x:i/>
      <x:sz val="10"/>
      <x:color rgb="FF6A7788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0"/>
      <x:color rgb="FF715400"/>
      <x:name val="Arial"/>
    </x:font>
    <x:font>
      <x:b/>
      <x:sz val="10"/>
      <x:color rgb="FF26364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53553"/>
      </x:patternFill>
    </x:fill>
    <x:fill>
      <x:patternFill patternType="solid">
        <x:fgColor rgb="FFEDF3F8"/>
      </x:patternFill>
    </x:fill>
    <x:fill>
      <x:patternFill patternType="solid">
        <x:fgColor rgb="FFFFF1C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10" fillId="4" borderId="0" xfId="0" applyNumberFormat="1" applyFont="1" applyFill="1" applyBorder="1" applyAlignment="1">
      <x:alignment vertical="center" wrapText="1"/>
    </x:xf>
    <x:xf numFmtId="200" fontId="10" fillId="4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0" fontId="10" fillId="4" borderId="0" xfId="0" applyNumberFormat="1" applyFont="1" applyFill="1" applyBorder="1" applyAlignment="1">
      <x:alignment horizontal="right" vertical="center" wrapText="1"/>
    </x:xf>
    <x:xf numFmtId="200" fontId="3" fillId="3" borderId="0" xfId="0" applyNumberFormat="1" applyFont="1" applyFill="1" applyBorder="1" applyAlignment="1">
      <x:alignment horizontal="right" vertical="center" wrapText="1"/>
    </x:xf>
    <x:xf numFmtId="200" fontId="3" fillId="0" borderId="0" xfId="0" applyNumberFormat="1" applyFont="1" applyFill="1" applyBorder="1" applyAlignment="1">
      <x:alignment horizontal="right" vertical="center" wrapText="1"/>
    </x:xf>
    <x:xf numFmtId="201" fontId="10" fillId="4" borderId="0" xfId="0" applyNumberFormat="1" applyFont="1" applyFill="1" applyBorder="1" applyAlignment="1">
      <x:alignment horizontal="right" vertical="center" wrapText="1"/>
    </x:xf>
    <x:xf numFmtId="201" fontId="3" fillId="3" borderId="0" xfId="0" applyNumberFormat="1" applyFont="1" applyFill="1" applyBorder="1" applyAlignment="1">
      <x:alignment horizontal="right" vertical="center" wrapText="1"/>
    </x:xf>
    <x:xf numFmtId="20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horizontal="right" vertical="center"/>
    </x:xf>
    <x:xf numFmtId="0" fontId="1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2a558e2067421c" /><Relationship Type="http://schemas.openxmlformats.org/officeDocument/2006/relationships/theme" Target="/xl/theme/theme1.xml" Id="R7ec5cc057ad549a5" /><Relationship Type="http://schemas.openxmlformats.org/officeDocument/2006/relationships/sharedStrings" Target="/xl/sharedStrings.xml" Id="R9eb1491ab813404c" /><Relationship Type="http://schemas.openxmlformats.org/officeDocument/2006/relationships/worksheet" Target="/xl/worksheets/sheet1.xml" Id="R1d959e862d794162" /><Relationship Type="http://schemas.openxmlformats.org/officeDocument/2006/relationships/worksheet" Target="/xl/worksheets/sheet2.xml" Id="Rc6b258594d6e4a7d" /><Relationship Type="http://schemas.openxmlformats.org/officeDocument/2006/relationships/worksheet" Target="/xl/worksheets/sheet3.xml" Id="R322adbc6d0a345cc" /><Relationship Type="http://schemas.openxmlformats.org/officeDocument/2006/relationships/worksheet" Target="/xl/worksheets/sheet4.xml" Id="R7cc3b27f9eb9418c" /><Relationship Type="http://schemas.openxmlformats.org/officeDocument/2006/relationships/worksheet" Target="/xl/worksheets/sheet5.xml" Id="Rc79478d3cce2417d" /><Relationship Type="http://schemas.openxmlformats.org/officeDocument/2006/relationships/worksheet" Target="/xl/worksheets/sheet6.xml" Id="R321165164c0b4fe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46c2b1c4188403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Dificultad inicial por oleada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Enemigos</c:v>
          </c:tx>
          <c:spPr>
            <a:solidFill xmlns:a="http://schemas.openxmlformats.org/drawingml/2006/main">
              <a:srgbClr val="2D688F"/>
            </a:solidFill>
          </c:spPr>
          <c:cat>
            <c:strRef>
              <c:f>'Resumen'!$A$23:$A$25</c:f>
              <c:strCache>
                <c:ptCount val="0"/>
              </c:strCache>
            </c:strRef>
          </c:cat>
          <c:val>
            <c:numRef>
              <c:f>'Resumen'!$B$23:$B$25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Picados simultáneos</c:v>
          </c:tx>
          <c:spPr>
            <a:solidFill xmlns:a="http://schemas.openxmlformats.org/drawingml/2006/main">
              <a:srgbClr val="A7BACB"/>
            </a:solidFill>
          </c:spPr>
          <c:cat>
            <c:strRef>
              <c:f>'Resumen'!$A$23:$A$25</c:f>
              <c:strCache>
                <c:ptCount val="0"/>
              </c:strCache>
            </c:strRef>
          </c:cat>
          <c:val>
            <c:numRef>
              <c:f>'Resumen'!$C$23:$C$25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5</xdr:row>
      <xdr:rowOff>0</xdr:rowOff>
    </xdr:from>
    <xdr:to>
      <xdr:col>13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6c2b1c4188403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VgiTable10" displayName="VgiTable10" ref="A7:I47" headerRowCount="1" totalsRowCount="0" totalsRowShown="0">
  <x:autoFilter ref="A7:I47"/>
  <x:tableColumns count="9">
    <x:tableColumn id="1" name="ID"/>
    <x:tableColumn id="2" name="Área"/>
    <x:tableColumn id="3" name="Parámetro"/>
    <x:tableColumn id="4" name="Valor actual"/>
    <x:tableColumn id="5" name="Unidad"/>
    <x:tableColumn id="6" name="Mínimo exploración"/>
    <x:tableColumn id="7" name="Máximo exploración"/>
    <x:tableColumn id="8" name="Uso"/>
    <x:tableColumn id="9" name="Motiv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VgiTable14" displayName="VgiTable14" ref="A7:L11" headerRowCount="1" totalsRowCount="0" totalsRowShown="0">
  <x:autoFilter ref="A7:L11"/>
  <x:tableColumns count="12">
    <x:tableColumn id="1" name="Fase"/>
    <x:tableColumn id="2" name="Exploradores"/>
    <x:tableColumn id="3" name="Interceptores"/>
    <x:tableColumn id="4" name="Guardianes"/>
    <x:tableColumn id="5" name="Total"/>
    <x:tableColumn id="6" name="Picados máximos"/>
    <x:tableColumn id="7" name="Intervalo ataque s"/>
    <x:tableColumn id="8" name="Tiempo mínimo s"/>
    <x:tableColumn id="9" name="Tiempo máximo s"/>
    <x:tableColumn id="10" name="Intervalo spawn s"/>
    <x:tableColumn id="11" name="Salida última s"/>
    <x:tableColumn id="12" name="Objetiv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VgiTable11" displayName="VgiTable11" ref="A7:F22" headerRowCount="1" totalsRowCount="0" totalsRowShown="0">
  <x:autoFilter ref="A7:F22"/>
  <x:tableColumns count="6">
    <x:tableColumn id="1" name="Aspecto"/>
    <x:tableColumn id="2" name="Referencia 2D"/>
    <x:tableColumn id="3" name="Adaptación 3D propuesta"/>
    <x:tableColumn id="4" name="Prueba de valor o comprensión"/>
    <x:tableColumn id="5" name="Requisitos"/>
    <x:tableColumn id="6" name="Fas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VgiTable12" displayName="VgiTable12" ref="A7:G35" headerRowCount="1" totalsRowCount="0" totalsRowShown="0">
  <x:autoFilter ref="A7:G35"/>
  <x:tableColumns count="7">
    <x:tableColumn id="1" name="Entidad"/>
    <x:tableColumn id="2" name="Estado origen"/>
    <x:tableColumn id="3" name="Evento o condición"/>
    <x:tableColumn id="4" name="Estado destino"/>
    <x:tableColumn id="5" name="Efecto"/>
    <x:tableColumn id="6" name="Entradas y límites"/>
    <x:tableColumn id="7" name="Requisit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VgiTable13" displayName="VgiTable13" ref="A7:G17" headerRowCount="1" totalsRowCount="0" totalsRowShown="0">
  <x:autoFilter ref="A7:G17"/>
  <x:tableColumns count="7">
    <x:tableColumn id="1" name="ID"/>
    <x:tableColumn id="2" name="Decisión"/>
    <x:tableColumn id="3" name="Alternativas"/>
    <x:tableColumn id="4" name="Motivo"/>
    <x:tableColumn id="5" name="Requisitos"/>
    <x:tableColumn id="6" name="Estado"/>
    <x:tableColumn id="7" name="Fecha y validador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4b290727b814c6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8ccefb3bce4d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18064a50c1a46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c4be4264cba47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b3653e7b31140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50b08946a7941cf" /></Relationships>
</file>

<file path=xl/worksheets/sheet1.xml><?xml version="1.0" encoding="utf-8"?>
<x:worksheet xmlns:x="http://schemas.openxmlformats.org/spreadsheetml/2006/main">
  <x:sheetPr>
    <x:tabColor rgb="FF153553"/>
  </x:sheetPr>
  <x:sheetViews>
    <x:sheetView showGridLines="0" workbookViewId="0"/>
  </x:sheetViews>
  <x:sheetFormatPr defaultRowHeight="15"/>
  <x:cols>
    <x:col min="1" max="1" width="42" hidden="0" customWidth="1"/>
    <x:col min="2" max="2" width="2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 ht="20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0" customHeight="1">
      <x:c r="A2" s="6" t="str">
        <x:v>Diseño y balance de Amin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 ht="20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 ht="20" customHeight="1">
      <x:c r="A4" s="8" t="str">
        <x:v>Parámetros propuestos; validar con el grupo y medir en la aplicación real.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</x:row>
    <x:row r="5" ht="20" customHeight="1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</x:row>
    <x:row r="6" ht="20" customHeight="1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</x:row>
    <x:row r="7" ht="20" customHeight="1">
      <x:c r="A7" s="4" t="str">
        <x:v>Magnitud calculada</x:v>
      </x:c>
      <x:c r="B7" s="4" t="str">
        <x:v>Valor</x:v>
      </x:c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</x:row>
    <x:row r="8" ht="20" customHeight="1">
      <x:c r="A8" s="4" t="str">
        <x:v>Límite lateral del centro</x:v>
      </x:c>
      <x:c r="B8" s="26" t="n">
        <x:f>INDEX(Parametros!$D$8:$D$47,MATCH("PAR-04",Parametros!$A$8:$A$47,0))-INDEX(Parametros!$D$8:$D$47,MATCH("PAR-03",Parametros!$A$8:$A$47,0))</x:f>
        <x:v>7.68</x:v>
      </x:c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</x:row>
    <x:row r="9" ht="20" customHeight="1">
      <x:c r="A9" s="4" t="str">
        <x:v>Disparos ideales por segundo</x:v>
      </x:c>
      <x:c r="B9" s="26" t="n">
        <x:f>1/INDEX(Parametros!$D$8:$D$47,MATCH("PAR-07",Parametros!$A$8:$A$47,0))</x:f>
        <x:v>4.545454545454546</x:v>
      </x:c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</x:row>
    <x:row r="10" ht="20" customHeight="1">
      <x:c r="A10" s="4" t="str">
        <x:v>Pasos de recarga</x:v>
      </x:c>
      <x:c r="B10" s="26" t="n">
        <x:f>ROUNDUP(INDEX(Parametros!$D$8:$D$47,MATCH("PAR-07",Parametros!$A$8:$A$47,0))/INDEX(Parametros!$D$8:$D$47,MATCH("PAR-01",Parametros!$A$8:$A$47,0)),0)</x:f>
        <x:v>14</x:v>
      </x:c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</x:row>
    <x:row r="11" ht="20" customHeight="1">
      <x:c r="A11" s="4" t="str">
        <x:v>Intervalo efectivo de disparo s</x:v>
      </x:c>
      <x:c r="B11" s="26" t="n">
        <x:f>B10*INDEX(Parametros!$D$8:$D$47,MATCH("PAR-01",Parametros!$A$8:$A$47,0))</x:f>
        <x:v>0.23333333333333334</x:v>
      </x:c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</x:row>
    <x:row r="12" ht="20" customHeight="1">
      <x:c r="A12" s="4" t="str">
        <x:v>Emisiones en [0;2) s sin límite</x:v>
      </x:c>
      <x:c r="B12" s="26" t="n">
        <x:f>ROUNDUP(2/B11-0.000000001,0)</x:f>
        <x:v>9</x:v>
      </x:c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</x:row>
    <x:row r="13" ht="20" customHeight="1">
      <x:c r="A13" s="4" t="str">
        <x:v>Cambio más recarga s</x:v>
      </x:c>
      <x:c r="B13" s="26" t="n">
        <x:f>INDEX(Parametros!$D$8:$D$47,MATCH("PAR-17",Parametros!$A$8:$A$47,0))+INDEX(Parametros!$D$8:$D$47,MATCH("PAR-18",Parametros!$A$8:$A$47,0))</x:f>
        <x:v>1.45</x:v>
      </x:c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</x:row>
    <x:row r="14" ht="20" customHeight="1">
      <x:c r="A14" s="4" t="str">
        <x:v>Separación de planos u</x:v>
      </x:c>
      <x:c r="B14" s="26" t="n">
        <x:f>ABS(INDEX(Parametros!$D$8:$D$47,MATCH("PAR-15",Parametros!$A$8:$A$47,0))-INDEX(Parametros!$D$8:$D$47,MATCH("PAR-16",Parametros!$A$8:$A$47,0)))</x:f>
        <x:v>3</x:v>
      </x:c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</x:row>
    <x:row r="15" ht="20" customHeight="1">
      <x:c r="A15" s="4" t="str">
        <x:v>Ventana mínima de partida s</x:v>
      </x:c>
      <x:c r="B15" s="26" t="n">
        <x:f>Oleadas!B20</x:f>
        <x:v>307</x:v>
      </x:c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</x:row>
    <x:row r="16" ht="20" customHeight="1">
      <x:c r="A16" s="4" t="str">
        <x:v>Ventana máxima de partida s</x:v>
      </x:c>
      <x:c r="B16" s="26" t="n">
        <x:f>Oleadas!C20</x:f>
        <x:v>432</x:v>
      </x:c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</x:row>
    <x:row r="17" ht="20" customHeight="1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</x:row>
    <x:row r="18" ht="20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</x:row>
    <x:row r="19" ht="20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</x:row>
    <x:row r="20" ht="20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</x:row>
    <x:row r="21" ht="20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</x:row>
    <x:row r="22" ht="20" customHeight="1">
      <x:c r="A22" s="4" t="str">
        <x:v>Oleada</x:v>
      </x:c>
      <x:c r="B22" s="4" t="str">
        <x:v>Enemigos</x:v>
      </x:c>
      <x:c r="C22" s="4" t="str">
        <x:v>Picados simultáneos</x:v>
      </x:c>
      <x:c r="D22" s="4"/>
      <x:c r="E22" s="4"/>
      <x:c r="F22" s="4"/>
      <x:c r="G22" s="4"/>
      <x:c r="H22" s="4"/>
      <x:c r="I22" s="4"/>
      <x:c r="J22" s="4"/>
      <x:c r="K22" s="4"/>
      <x:c r="L22" s="4"/>
      <x:c r="M22" s="4"/>
    </x:row>
    <x:row r="23" ht="20" customHeight="1">
      <x:c r="A23" s="4" t="str">
        <x:v>1</x:v>
      </x:c>
      <x:c r="B23" s="4" t="n">
        <x:f>Oleadas!E8</x:f>
        <x:v>18</x:v>
      </x:c>
      <x:c r="C23" s="4" t="n">
        <x:f>Oleadas!F8</x:f>
        <x:v>1</x:v>
      </x:c>
      <x:c r="D23" s="4"/>
      <x:c r="E23" s="4"/>
      <x:c r="F23" s="4"/>
      <x:c r="G23" s="4"/>
      <x:c r="H23" s="4"/>
      <x:c r="I23" s="4"/>
      <x:c r="J23" s="4"/>
      <x:c r="K23" s="4"/>
      <x:c r="L23" s="4"/>
      <x:c r="M23" s="4"/>
    </x:row>
    <x:row r="24" ht="20" customHeight="1">
      <x:c r="A24" s="4" t="str">
        <x:v>2</x:v>
      </x:c>
      <x:c r="B24" s="4" t="n">
        <x:f>Oleadas!E9</x:f>
        <x:v>24</x:v>
      </x:c>
      <x:c r="C24" s="4" t="n">
        <x:f>Oleadas!F9</x:f>
        <x:v>2</x:v>
      </x:c>
      <x:c r="D24" s="4"/>
      <x:c r="E24" s="4"/>
      <x:c r="F24" s="4"/>
      <x:c r="G24" s="4"/>
      <x:c r="H24" s="4"/>
      <x:c r="I24" s="4"/>
      <x:c r="J24" s="4"/>
      <x:c r="K24" s="4"/>
      <x:c r="L24" s="4"/>
      <x:c r="M24" s="4"/>
    </x:row>
    <x:row r="25" ht="20" customHeight="1">
      <x:c r="A25" s="4" t="str">
        <x:v>3</x:v>
      </x:c>
      <x:c r="B25" s="4" t="n">
        <x:f>Oleadas!E10</x:f>
        <x:v>30</x:v>
      </x:c>
      <x:c r="C25" s="4" t="n">
        <x:f>Oleadas!F10</x:f>
        <x:v>3</x:v>
      </x:c>
      <x:c r="D25" s="4"/>
      <x:c r="E25" s="4"/>
      <x:c r="F25" s="4"/>
      <x:c r="G25" s="4"/>
      <x:c r="H25" s="4"/>
      <x:c r="I25" s="4"/>
      <x:c r="J25" s="4"/>
      <x:c r="K25" s="4"/>
      <x:c r="L25" s="4"/>
      <x:c r="M25" s="4"/>
    </x:row>
    <x:row r="26" ht="20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</x:row>
    <x:row r="27" ht="20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</x:row>
    <x:row r="28" ht="20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</x:row>
    <x:row r="29" ht="20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</x:row>
    <x:row r="30" ht="20" customHeight="1">
      <x:c r="A30" s="27" t="str">
        <x:v>Fuentes y reglas de actualización</x:v>
      </x:c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</x:row>
    <x:row r="31" ht="20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</x:row>
    <x:row r="32" ht="20" customHeight="1">
      <x:c r="A32" s="4" t="str">
        <x:v>Escala: u son unidades de mundo arbitrarias. Tiempo: segundos. Valores actuales son hipótesis de balance.</x:v>
      </x:c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</x:row>
    <x:row r="33" ht="20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</x:row>
    <x:row r="34" ht="20" customHeight="1">
      <x:c r="A34" s="4" t="str">
        <x:v>La cadencia ideal cambia al redondear al paso fijo y aplicar el límite de balas activas.</x:v>
      </x:c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</x:row>
    <x:row r="35" ht="20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</x:row>
    <x:row r="36" ht="20" customHeight="1">
      <x:c r="A36" s="4" t="str">
        <x:v>Galaga: https://galaga.com/en/history/galaga.php</x:v>
      </x:c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</x:row>
    <x:row r="37" ht="20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</x:row>
    <x:row r="38" ht="20" customHeight="1">
      <x:c r="A38" s="4" t="str">
        <x:v>GLM: https://github.com/g-truc/glm/blob/master/manual.md</x:v>
      </x:c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</x:row>
    <x:row r="39" ht="20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</x:row>
    <x:row r="40" ht="20" customHeight="1">
      <x:c r="A40" s="4" t="str">
        <x:v>OpenGL: https://registry.khronos.org/OpenGL/</x:v>
      </x:c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</x:row>
    <x:row r="41" ht="20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</x:row>
    <x:row r="42" ht="20" customHeight="1">
      <x:c r="A42" s="4" t="str">
        <x:v>Cambiar parámetros exige sincronizar la configuración C++ y repetir las pruebas afectadas.</x:v>
      </x:c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</x:row>
    <x:row r="43" ht="20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</x:row>
    <x:row r="44" ht="20" customHeight="1">
      <x:c r="A44" s="4" t="str">
        <x:v>Para añadir parámetros o filas, ampliar las tablas y sus rangos de lookup.</x:v>
      </x:c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</x:row>
    <x:row r="45" ht="20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</x:row>
    <x:row r="46" ht="20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</x:row>
    <x:row r="47" ht="20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</x:row>
    <x:row r="48" ht="20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</x:row>
    <x:row r="49" ht="20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</x:row>
    <x:row r="50" ht="20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</x:row>
  </x:sheetData>
  <x:pageMargins left="0.7" right="0.7" top="0.75" bottom="0.75" header="0.3" footer="0.3"/>
  <x:drawing xmlns:r="http://schemas.openxmlformats.org/officeDocument/2006/relationships" r:id="Rb4b290727b814c6d"/>
</x:worksheet>
</file>

<file path=xl/worksheets/sheet2.xml><?xml version="1.0" encoding="utf-8"?>
<x:worksheet xmlns:x="http://schemas.openxmlformats.org/spreadsheetml/2006/main">
  <x:sheetPr>
    <x:tabColor rgb="FF153553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3" hidden="0" customWidth="1"/>
    <x:col min="2" max="2" width="20" hidden="0" customWidth="1"/>
    <x:col min="3" max="3" width="30" hidden="0" customWidth="1"/>
    <x:col min="4" max="4" width="16" hidden="0" customWidth="1"/>
    <x:col min="5" max="5" width="14" hidden="0" customWidth="1"/>
    <x:col min="6" max="6" width="18" hidden="0" customWidth="1"/>
    <x:col min="7" max="7" width="18" hidden="0" customWidth="1"/>
    <x:col min="8" max="8" width="55" hidden="0" customWidth="1"/>
    <x:col min="9" max="9" width="60" hidden="0" customWidth="1"/>
  </x:cols>
  <x:sheetData>
    <x:row r="1" ht="20" customHeight="1">
      <x:c r="A1" s="4"/>
      <x:c r="B1" s="4"/>
      <x:c r="C1" s="4"/>
      <x:c r="D1" s="4"/>
      <x:c r="E1" s="4"/>
      <x:c r="F1" s="4"/>
      <x:c r="G1" s="4"/>
      <x:c r="H1" s="4"/>
      <x:c r="I1" s="4"/>
    </x:row>
    <x:row r="2" ht="20" customHeight="1">
      <x:c r="A2" s="6" t="str">
        <x:v>Parámetros del diseño</x:v>
      </x:c>
      <x:c r="B2" s="4"/>
      <x:c r="C2" s="4"/>
      <x:c r="D2" s="4"/>
      <x:c r="E2" s="4"/>
      <x:c r="F2" s="4"/>
      <x:c r="G2" s="4"/>
      <x:c r="H2" s="4"/>
      <x:c r="I2" s="4"/>
    </x:row>
    <x:row r="3" ht="20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 ht="20" customHeight="1">
      <x:c r="A4" s="8" t="str">
        <x:v>Valor actual en ámbar. Rangos de exploración no son límites de la rúbrica.</x:v>
      </x:c>
      <x:c r="B4" s="4"/>
      <x:c r="C4" s="4"/>
      <x:c r="D4" s="4"/>
      <x:c r="E4" s="4"/>
      <x:c r="F4" s="4"/>
      <x:c r="G4" s="4"/>
      <x:c r="H4" s="4"/>
      <x:c r="I4" s="4"/>
    </x:row>
    <x:row r="5" ht="20" customHeight="1">
      <x:c r="A5" s="4"/>
      <x:c r="B5" s="4"/>
      <x:c r="C5" s="4"/>
      <x:c r="D5" s="4"/>
      <x:c r="E5" s="4"/>
      <x:c r="F5" s="4"/>
      <x:c r="G5" s="4"/>
      <x:c r="H5" s="4"/>
      <x:c r="I5" s="4"/>
    </x:row>
    <x:row r="6" ht="20" customHeight="1">
      <x:c r="A6" s="4"/>
      <x:c r="B6" s="4"/>
      <x:c r="C6" s="4"/>
      <x:c r="D6" s="4"/>
      <x:c r="E6" s="4"/>
      <x:c r="F6" s="4"/>
      <x:c r="G6" s="4"/>
      <x:c r="H6" s="4"/>
      <x:c r="I6" s="4"/>
    </x:row>
    <x:row r="7" ht="34" customHeight="1">
      <x:c r="A7" s="13" t="str">
        <x:v>ID</x:v>
      </x:c>
      <x:c r="B7" s="13" t="str">
        <x:v>Área</x:v>
      </x:c>
      <x:c r="C7" s="13" t="str">
        <x:v>Parámetro</x:v>
      </x:c>
      <x:c r="D7" s="13" t="str">
        <x:v>Valor actual</x:v>
      </x:c>
      <x:c r="E7" s="13" t="str">
        <x:v>Unidad</x:v>
      </x:c>
      <x:c r="F7" s="13" t="str">
        <x:v>Mínimo exploración</x:v>
      </x:c>
      <x:c r="G7" s="13" t="str">
        <x:v>Máximo exploración</x:v>
      </x:c>
      <x:c r="H7" s="13" t="str">
        <x:v>Uso</x:v>
      </x:c>
      <x:c r="I7" s="13" t="str">
        <x:v>Motivo</x:v>
      </x:c>
    </x:row>
    <x:row r="8" ht="60" customHeight="1">
      <x:c r="A8" s="14" t="str">
        <x:v>PAR-01</x:v>
      </x:c>
      <x:c r="B8" s="14" t="str">
        <x:v>Simulación</x:v>
      </x:c>
      <x:c r="C8" s="14" t="str">
        <x:v>Paso fijo</x:v>
      </x:c>
      <x:c r="D8" s="23" t="n">
        <x:v>0.016666666666666666</x:v>
      </x:c>
      <x:c r="E8" s="24" t="str">
        <x:v>s</x:v>
      </x:c>
      <x:c r="F8" s="24" t="n">
        <x:v>0.004166666666666667</x:v>
      </x:c>
      <x:c r="G8" s="24" t="n">
        <x:v>0.03333333333333333</x:v>
      </x:c>
      <x:c r="H8" s="14" t="str">
        <x:v>Tiempo de cada update</x:v>
      </x:c>
      <x:c r="I8" s="14" t="str">
        <x:v>Evitar velocidad dependiente del render.</x:v>
      </x:c>
    </x:row>
    <x:row r="9" ht="60" customHeight="1">
      <x:c r="A9" s="9" t="str">
        <x:v>PAR-02</x:v>
      </x:c>
      <x:c r="B9" s="9" t="str">
        <x:v>Jugador</x:v>
      </x:c>
      <x:c r="C9" s="9" t="str">
        <x:v>Velocidad lateral</x:v>
      </x:c>
      <x:c r="D9" s="20" t="n">
        <x:v>6</x:v>
      </x:c>
      <x:c r="E9" s="22" t="str">
        <x:v>u/s</x:v>
      </x:c>
      <x:c r="F9" s="22" t="n">
        <x:v>2</x:v>
      </x:c>
      <x:c r="G9" s="22" t="n">
        <x:v>12</x:v>
      </x:c>
      <x:c r="H9" s="9" t="str">
        <x:v>Desplazamiento en x</x:v>
      </x:c>
      <x:c r="I9" s="9" t="str">
        <x:v>Respuesta rápida con límites verificables.</x:v>
      </x:c>
    </x:row>
    <x:row r="10" ht="60" customHeight="1">
      <x:c r="A10" s="14" t="str">
        <x:v>PAR-03</x:v>
      </x:c>
      <x:c r="B10" s="14" t="str">
        <x:v>Jugador</x:v>
      </x:c>
      <x:c r="C10" s="14" t="str">
        <x:v>Radio de contacto</x:v>
      </x:c>
      <x:c r="D10" s="20" t="n">
        <x:v>0.32</x:v>
      </x:c>
      <x:c r="E10" s="21" t="str">
        <x:v>u</x:v>
      </x:c>
      <x:c r="F10" s="21" t="n">
        <x:v>0.1</x:v>
      </x:c>
      <x:c r="G10" s="21" t="n">
        <x:v>0.7</x:v>
      </x:c>
      <x:c r="H10" s="14" t="str">
        <x:v>Círculo en x/y</x:v>
      </x:c>
      <x:c r="I10" s="14" t="str">
        <x:v>Menor que la silueta para permitir esquiva.</x:v>
      </x:c>
    </x:row>
    <x:row r="11" ht="60" customHeight="1">
      <x:c r="A11" s="9" t="str">
        <x:v>PAR-04</x:v>
      </x:c>
      <x:c r="B11" s="9" t="str">
        <x:v>Campo</x:v>
      </x:c>
      <x:c r="C11" s="9" t="str">
        <x:v>Semiancho</x:v>
      </x:c>
      <x:c r="D11" s="20" t="n">
        <x:v>8</x:v>
      </x:c>
      <x:c r="E11" s="22" t="str">
        <x:v>u</x:v>
      </x:c>
      <x:c r="F11" s="22" t="n">
        <x:v>6</x:v>
      </x:c>
      <x:c r="G11" s="22" t="n">
        <x:v>12</x:v>
      </x:c>
      <x:c r="H11" s="9" t="str">
        <x:v>Límite de centros = ±(semiancho-radio)</x:v>
      </x:c>
      <x:c r="I11" s="9" t="str">
        <x:v>Mantener coherencia entre cámara y colisión.</x:v>
      </x:c>
    </x:row>
    <x:row r="12" ht="60" customHeight="1">
      <x:c r="A12" s="14" t="str">
        <x:v>PAR-05</x:v>
      </x:c>
      <x:c r="B12" s="14" t="str">
        <x:v>Jugador</x:v>
      </x:c>
      <x:c r="C12" s="14" t="str">
        <x:v>Posición y</x:v>
      </x:c>
      <x:c r="D12" s="20" t="n">
        <x:v>-4</x:v>
      </x:c>
      <x:c r="E12" s="21" t="str">
        <x:v>u</x:v>
      </x:c>
      <x:c r="F12" s="21" t="n">
        <x:v>-5</x:v>
      </x:c>
      <x:c r="G12" s="21" t="n">
        <x:v>-3</x:v>
      </x:c>
      <x:c r="H12" s="14" t="str">
        <x:v>Altura fija jugable</x:v>
      </x:c>
      <x:c r="I12" s="14" t="str">
        <x:v>Conservar lectura arcade.</x:v>
      </x:c>
    </x:row>
    <x:row r="13" ht="60" customHeight="1">
      <x:c r="A13" s="9" t="str">
        <x:v>PAR-06</x:v>
      </x:c>
      <x:c r="B13" s="9" t="str">
        <x:v>Jugador</x:v>
      </x:c>
      <x:c r="C13" s="9" t="str">
        <x:v>Vidas iniciales</x:v>
      </x:c>
      <x:c r="D13" s="20" t="n">
        <x:v>3</x:v>
      </x:c>
      <x:c r="E13" s="22" t="str">
        <x:v>vidas</x:v>
      </x:c>
      <x:c r="F13" s="22" t="n">
        <x:v>1</x:v>
      </x:c>
      <x:c r="G13" s="22" t="n">
        <x:v>5</x:v>
      </x:c>
      <x:c r="H13" s="9" t="str">
        <x:v>Sesión nueva</x:v>
      </x:c>
      <x:c r="I13" s="9" t="str">
        <x:v>Sin vidas extra en P0.</x:v>
      </x:c>
    </x:row>
    <x:row r="14" ht="60" customHeight="1">
      <x:c r="A14" s="14" t="str">
        <x:v>PAR-07</x:v>
      </x:c>
      <x:c r="B14" s="14" t="str">
        <x:v>Disparo</x:v>
      </x:c>
      <x:c r="C14" s="14" t="str">
        <x:v>Recarga mínima</x:v>
      </x:c>
      <x:c r="D14" s="20" t="n">
        <x:v>0.22</x:v>
      </x:c>
      <x:c r="E14" s="21" t="str">
        <x:v>s</x:v>
      </x:c>
      <x:c r="F14" s="21" t="n">
        <x:v>0.15</x:v>
      </x:c>
      <x:c r="G14" s="21" t="n">
        <x:v>0.4</x:v>
      </x:c>
      <x:c r="H14" s="14" t="str">
        <x:v>Intervalo mínimo</x:v>
      </x:c>
      <x:c r="I14" s="14" t="str">
        <x:v>Con paso fijo se acepta al primer tick válido.</x:v>
      </x:c>
    </x:row>
    <x:row r="15" ht="60" customHeight="1">
      <x:c r="A15" s="9" t="str">
        <x:v>PAR-08</x:v>
      </x:c>
      <x:c r="B15" s="9" t="str">
        <x:v>Disparo</x:v>
      </x:c>
      <x:c r="C15" s="9" t="str">
        <x:v>Máximo activo</x:v>
      </x:c>
      <x:c r="D15" s="20" t="n">
        <x:v>4</x:v>
      </x:c>
      <x:c r="E15" s="22" t="str">
        <x:v>balas</x:v>
      </x:c>
      <x:c r="F15" s="22" t="n">
        <x:v>2</x:v>
      </x:c>
      <x:c r="G15" s="22" t="n">
        <x:v>8</x:v>
      </x:c>
      <x:c r="H15" s="9" t="str">
        <x:v>Nave simple</x:v>
      </x:c>
      <x:c r="I15" s="9" t="str">
        <x:v>Controlar densidad y coste.</x:v>
      </x:c>
    </x:row>
    <x:row r="16" ht="60" customHeight="1">
      <x:c r="A16" s="14" t="str">
        <x:v>PAR-09</x:v>
      </x:c>
      <x:c r="B16" s="14" t="str">
        <x:v>Disparo</x:v>
      </x:c>
      <x:c r="C16" s="14" t="str">
        <x:v>Velocidad aliada</x:v>
      </x:c>
      <x:c r="D16" s="20" t="n">
        <x:v>18</x:v>
      </x:c>
      <x:c r="E16" s="21" t="str">
        <x:v>u/s</x:v>
      </x:c>
      <x:c r="F16" s="21" t="n">
        <x:v>10</x:v>
      </x:c>
      <x:c r="G16" s="21" t="n">
        <x:v>25</x:v>
      </x:c>
      <x:c r="H16" s="14" t="str">
        <x:v>y positiva</x:v>
      </x:c>
      <x:c r="I16" s="14" t="str">
        <x:v>Exige barrido relativo.</x:v>
      </x:c>
    </x:row>
    <x:row r="17" ht="60" customHeight="1">
      <x:c r="A17" s="9" t="str">
        <x:v>PAR-10</x:v>
      </x:c>
      <x:c r="B17" s="9" t="str">
        <x:v>Disparo</x:v>
      </x:c>
      <x:c r="C17" s="9" t="str">
        <x:v>Velocidad hostil</x:v>
      </x:c>
      <x:c r="D17" s="20" t="n">
        <x:v>4</x:v>
      </x:c>
      <x:c r="E17" s="22" t="str">
        <x:v>u/s</x:v>
      </x:c>
      <x:c r="F17" s="22" t="n">
        <x:v>2</x:v>
      </x:c>
      <x:c r="G17" s="22" t="n">
        <x:v>7</x:v>
      </x:c>
      <x:c r="H17" s="9" t="str">
        <x:v>y negativa o abanico</x:v>
      </x:c>
      <x:c r="I17" s="9" t="str">
        <x:v>Dar tiempo de reacción.</x:v>
      </x:c>
    </x:row>
    <x:row r="18" ht="60" customHeight="1">
      <x:c r="A18" s="14" t="str">
        <x:v>PAR-11</x:v>
      </x:c>
      <x:c r="B18" s="14" t="str">
        <x:v>Disparo</x:v>
      </x:c>
      <x:c r="C18" s="14" t="str">
        <x:v>Radio</x:v>
      </x:c>
      <x:c r="D18" s="20" t="n">
        <x:v>0.1</x:v>
      </x:c>
      <x:c r="E18" s="21" t="str">
        <x:v>u</x:v>
      </x:c>
      <x:c r="F18" s="21" t="n">
        <x:v>0.05</x:v>
      </x:c>
      <x:c r="G18" s="21" t="n">
        <x:v>0.2</x:v>
      </x:c>
      <x:c r="H18" s="14" t="str">
        <x:v>Círculo</x:v>
      </x:c>
      <x:c r="I18" s="14" t="str">
        <x:v>Proyectil y collider coherentes.</x:v>
      </x:c>
    </x:row>
    <x:row r="19" ht="60" customHeight="1">
      <x:c r="A19" s="9" t="str">
        <x:v>PAR-12</x:v>
      </x:c>
      <x:c r="B19" s="9" t="str">
        <x:v>Disparo</x:v>
      </x:c>
      <x:c r="C19" s="9" t="str">
        <x:v>TTL</x:v>
      </x:c>
      <x:c r="D19" s="20" t="n">
        <x:v>3.5</x:v>
      </x:c>
      <x:c r="E19" s="22" t="str">
        <x:v>s</x:v>
      </x:c>
      <x:c r="F19" s="22" t="n">
        <x:v>1</x:v>
      </x:c>
      <x:c r="G19" s="22" t="n">
        <x:v>6</x:v>
      </x:c>
      <x:c r="H19" s="9" t="str">
        <x:v>Caducidad</x:v>
      </x:c>
      <x:c r="I19" s="9" t="str">
        <x:v>No acumular balas fuera de campo.</x:v>
      </x:c>
    </x:row>
    <x:row r="20" ht="60" customHeight="1">
      <x:c r="A20" s="14" t="str">
        <x:v>PAR-13</x:v>
      </x:c>
      <x:c r="B20" s="14" t="str">
        <x:v>Jugador</x:v>
      </x:c>
      <x:c r="C20" s="14" t="str">
        <x:v>Espera de reaparición</x:v>
      </x:c>
      <x:c r="D20" s="20" t="n">
        <x:v>0.75</x:v>
      </x:c>
      <x:c r="E20" s="21" t="str">
        <x:v>s</x:v>
      </x:c>
      <x:c r="F20" s="21" t="n">
        <x:v>0.25</x:v>
      </x:c>
      <x:c r="G20" s="21" t="n">
        <x:v>1.5</x:v>
      </x:c>
      <x:c r="H20" s="14" t="str">
        <x:v>Estado sin control</x:v>
      </x:c>
      <x:c r="I20" s="14" t="str">
        <x:v>Separar muerte y reaparición.</x:v>
      </x:c>
    </x:row>
    <x:row r="21" ht="60" customHeight="1">
      <x:c r="A21" s="9" t="str">
        <x:v>PAR-14</x:v>
      </x:c>
      <x:c r="B21" s="9" t="str">
        <x:v>Jugador</x:v>
      </x:c>
      <x:c r="C21" s="9" t="str">
        <x:v>Invulnerabilidad</x:v>
      </x:c>
      <x:c r="D21" s="20" t="n">
        <x:v>1.5</x:v>
      </x:c>
      <x:c r="E21" s="22" t="str">
        <x:v>s</x:v>
      </x:c>
      <x:c r="F21" s="22" t="n">
        <x:v>0.5</x:v>
      </x:c>
      <x:c r="G21" s="22" t="n">
        <x:v>2.5</x:v>
      </x:c>
      <x:c r="H21" s="9" t="str">
        <x:v>Tras reaparición</x:v>
      </x:c>
      <x:c r="I21" s="9" t="str">
        <x:v>Evitar varias pérdidas seguidas.</x:v>
      </x:c>
    </x:row>
    <x:row r="22" ht="60" customHeight="1">
      <x:c r="A22" s="14" t="str">
        <x:v>PAR-15</x:v>
      </x:c>
      <x:c r="B22" s="14" t="str">
        <x:v>Profundidad</x:v>
      </x:c>
      <x:c r="C22" s="14" t="str">
        <x:v>z plano A</x:v>
      </x:c>
      <x:c r="D22" s="20" t="n">
        <x:v>0</x:v>
      </x:c>
      <x:c r="E22" s="21" t="str">
        <x:v>u</x:v>
      </x:c>
      <x:c r="F22" s="21" t="n">
        <x:v>-1</x:v>
      </x:c>
      <x:c r="G22" s="21" t="n">
        <x:v>1</x:v>
      </x:c>
      <x:c r="H22" s="14" t="str">
        <x:v>Centro del plano cercano</x:v>
      </x:c>
      <x:c r="I22" s="14" t="str">
        <x:v>Referencia espacial.</x:v>
      </x:c>
    </x:row>
    <x:row r="23" ht="60" customHeight="1">
      <x:c r="A23" s="9" t="str">
        <x:v>PAR-16</x:v>
      </x:c>
      <x:c r="B23" s="9" t="str">
        <x:v>Profundidad</x:v>
      </x:c>
      <x:c r="C23" s="9" t="str">
        <x:v>z plano B</x:v>
      </x:c>
      <x:c r="D23" s="20" t="n">
        <x:v>-3</x:v>
      </x:c>
      <x:c r="E23" s="22" t="str">
        <x:v>u</x:v>
      </x:c>
      <x:c r="F23" s="22" t="n">
        <x:v>-6</x:v>
      </x:c>
      <x:c r="G23" s="22" t="n">
        <x:v>-1.5</x:v>
      </x:c>
      <x:c r="H23" s="9" t="str">
        <x:v>Centro del plano lejano</x:v>
      </x:c>
      <x:c r="I23" s="9" t="str">
        <x:v>Separación visual discernible.</x:v>
      </x:c>
    </x:row>
    <x:row r="24" ht="60" customHeight="1">
      <x:c r="A24" s="14" t="str">
        <x:v>PAR-17</x:v>
      </x:c>
      <x:c r="B24" s="14" t="str">
        <x:v>Profundidad</x:v>
      </x:c>
      <x:c r="C24" s="14" t="str">
        <x:v>Transición</x:v>
      </x:c>
      <x:c r="D24" s="20" t="n">
        <x:v>0.25</x:v>
      </x:c>
      <x:c r="E24" s="21" t="str">
        <x:v>s</x:v>
      </x:c>
      <x:c r="F24" s="21" t="n">
        <x:v>0.15</x:v>
      </x:c>
      <x:c r="G24" s="21" t="n">
        <x:v>0.5</x:v>
      </x:c>
      <x:c r="H24" s="14" t="str">
        <x:v>Sin disparo y sin colisión</x:v>
      </x:c>
      <x:c r="I24" s="14" t="str">
        <x:v>Cambio táctico con coste.</x:v>
      </x:c>
    </x:row>
    <x:row r="25" ht="60" customHeight="1">
      <x:c r="A25" s="9" t="str">
        <x:v>PAR-18</x:v>
      </x:c>
      <x:c r="B25" s="9" t="str">
        <x:v>Profundidad</x:v>
      </x:c>
      <x:c r="C25" s="9" t="str">
        <x:v>Recarga</x:v>
      </x:c>
      <x:c r="D25" s="20" t="n">
        <x:v>1.2</x:v>
      </x:c>
      <x:c r="E25" s="22" t="str">
        <x:v>s</x:v>
      </x:c>
      <x:c r="F25" s="22" t="n">
        <x:v>0.6</x:v>
      </x:c>
      <x:c r="G25" s="22" t="n">
        <x:v>2</x:v>
      </x:c>
      <x:c r="H25" s="9" t="str">
        <x:v>Desde fin de transición</x:v>
      </x:c>
      <x:c r="I25" s="9" t="str">
        <x:v>Evitar invulnerabilidad permanente.</x:v>
      </x:c>
    </x:row>
    <x:row r="26" ht="60" customHeight="1">
      <x:c r="A26" s="14" t="str">
        <x:v>PAR-19</x:v>
      </x:c>
      <x:c r="B26" s="14" t="str">
        <x:v>Enemigos</x:v>
      </x:c>
      <x:c r="C26" s="14" t="str">
        <x:v>Aviso</x:v>
      </x:c>
      <x:c r="D26" s="20" t="n">
        <x:v>0.65</x:v>
      </x:c>
      <x:c r="E26" s="21" t="str">
        <x:v>s</x:v>
      </x:c>
      <x:c r="F26" s="21" t="n">
        <x:v>0.4</x:v>
      </x:c>
      <x:c r="G26" s="21" t="n">
        <x:v>1</x:v>
      </x:c>
      <x:c r="H26" s="14" t="str">
        <x:v>Antes de picado</x:v>
      </x:c>
      <x:c r="I26" s="14" t="str">
        <x:v>Anticipación del ataque.</x:v>
      </x:c>
    </x:row>
    <x:row r="27" ht="60" customHeight="1">
      <x:c r="A27" s="9" t="str">
        <x:v>PAR-20</x:v>
      </x:c>
      <x:c r="B27" s="9" t="str">
        <x:v>Enemigos</x:v>
      </x:c>
      <x:c r="C27" s="9" t="str">
        <x:v>Picado</x:v>
      </x:c>
      <x:c r="D27" s="20" t="n">
        <x:v>2.5</x:v>
      </x:c>
      <x:c r="E27" s="22" t="str">
        <x:v>s</x:v>
      </x:c>
      <x:c r="F27" s="22" t="n">
        <x:v>1.5</x:v>
      </x:c>
      <x:c r="G27" s="22" t="n">
        <x:v>4</x:v>
      </x:c>
      <x:c r="H27" s="9" t="str">
        <x:v>Duración de ruta</x:v>
      </x:c>
      <x:c r="I27" s="9" t="str">
        <x:v>Base para equilibrar.</x:v>
      </x:c>
    </x:row>
    <x:row r="28" ht="60" customHeight="1">
      <x:c r="A28" s="14" t="str">
        <x:v>PAR-21</x:v>
      </x:c>
      <x:c r="B28" s="14" t="str">
        <x:v>Formación</x:v>
      </x:c>
      <x:c r="C28" s="14" t="str">
        <x:v>Amplitud x</x:v>
      </x:c>
      <x:c r="D28" s="20" t="n">
        <x:v>0.45</x:v>
      </x:c>
      <x:c r="E28" s="21" t="str">
        <x:v>u</x:v>
      </x:c>
      <x:c r="F28" s="21" t="n">
        <x:v>0</x:v>
      </x:c>
      <x:c r="G28" s="21" t="n">
        <x:v>0.8</x:v>
      </x:c>
      <x:c r="H28" s="14" t="str">
        <x:v>Oscilación</x:v>
      </x:c>
      <x:c r="I28" s="14" t="str">
        <x:v>No desplazar slots fuera de límites.</x:v>
      </x:c>
    </x:row>
    <x:row r="29" ht="60" customHeight="1">
      <x:c r="A29" s="9" t="str">
        <x:v>PAR-22</x:v>
      </x:c>
      <x:c r="B29" s="9" t="str">
        <x:v>Formación</x:v>
      </x:c>
      <x:c r="C29" s="9" t="str">
        <x:v>Periodo</x:v>
      </x:c>
      <x:c r="D29" s="20" t="n">
        <x:v>4</x:v>
      </x:c>
      <x:c r="E29" s="22" t="str">
        <x:v>s</x:v>
      </x:c>
      <x:c r="F29" s="22" t="n">
        <x:v>2</x:v>
      </x:c>
      <x:c r="G29" s="22" t="n">
        <x:v>6</x:v>
      </x:c>
      <x:c r="H29" s="9" t="str">
        <x:v>Oscilación</x:v>
      </x:c>
      <x:c r="I29" s="9" t="str">
        <x:v>Movimiento estable.</x:v>
      </x:c>
    </x:row>
    <x:row r="30" ht="60" customHeight="1">
      <x:c r="A30" s="14" t="str">
        <x:v>PAR-23</x:v>
      </x:c>
      <x:c r="B30" s="14" t="str">
        <x:v>Formación</x:v>
      </x:c>
      <x:c r="C30" s="14" t="str">
        <x:v>Separación x</x:v>
      </x:c>
      <x:c r="D30" s="20" t="n">
        <x:v>1.6</x:v>
      </x:c>
      <x:c r="E30" s="21" t="str">
        <x:v>u</x:v>
      </x:c>
      <x:c r="F30" s="21" t="n">
        <x:v>1.2</x:v>
      </x:c>
      <x:c r="G30" s="21" t="n">
        <x:v>2</x:v>
      </x:c>
      <x:c r="H30" s="14" t="str">
        <x:v>Seis columnas</x:v>
      </x:c>
      <x:c r="I30" s="14" t="str">
        <x:v>Evitar solapamientos excesivos.</x:v>
      </x:c>
    </x:row>
    <x:row r="31" ht="60" customHeight="1">
      <x:c r="A31" s="9" t="str">
        <x:v>PAR-24</x:v>
      </x:c>
      <x:c r="B31" s="9" t="str">
        <x:v>Formación</x:v>
      </x:c>
      <x:c r="C31" s="9" t="str">
        <x:v>Fila superior y</x:v>
      </x:c>
      <x:c r="D31" s="20" t="n">
        <x:v>6</x:v>
      </x:c>
      <x:c r="E31" s="22" t="str">
        <x:v>u</x:v>
      </x:c>
      <x:c r="F31" s="22" t="n">
        <x:v>4.5</x:v>
      </x:c>
      <x:c r="G31" s="22" t="n">
        <x:v>6.5</x:v>
      </x:c>
      <x:c r="H31" s="9" t="str">
        <x:v>Máximo cinco filas</x:v>
      </x:c>
      <x:c r="I31" s="9" t="str">
        <x:v>Todas las filas dentro del campo.</x:v>
      </x:c>
    </x:row>
    <x:row r="32" ht="60" customHeight="1">
      <x:c r="A32" s="14" t="str">
        <x:v>PAR-25</x:v>
      </x:c>
      <x:c r="B32" s="14" t="str">
        <x:v>Formación</x:v>
      </x:c>
      <x:c r="C32" s="14" t="str">
        <x:v>Separación y</x:v>
      </x:c>
      <x:c r="D32" s="20" t="n">
        <x:v>1.25</x:v>
      </x:c>
      <x:c r="E32" s="21" t="str">
        <x:v>u</x:v>
      </x:c>
      <x:c r="F32" s="21" t="n">
        <x:v>0.9</x:v>
      </x:c>
      <x:c r="G32" s="21" t="n">
        <x:v>1.4</x:v>
      </x:c>
      <x:c r="H32" s="14" t="str">
        <x:v>y=filaSuperior-fila*separación</x:v>
      </x:c>
      <x:c r="I32" s="14" t="str">
        <x:v>Cinco filas entre 1 y 6.</x:v>
      </x:c>
    </x:row>
    <x:row r="33" ht="60" customHeight="1">
      <x:c r="A33" s="9" t="str">
        <x:v>PAR-26</x:v>
      </x:c>
      <x:c r="B33" s="9" t="str">
        <x:v>Enemigos</x:v>
      </x:c>
      <x:c r="C33" s="9" t="str">
        <x:v>Paso de spawn</x:v>
      </x:c>
      <x:c r="D33" s="20" t="n">
        <x:v>0.25</x:v>
      </x:c>
      <x:c r="E33" s="22" t="str">
        <x:v>s</x:v>
      </x:c>
      <x:c r="F33" s="22" t="n">
        <x:v>0.15</x:v>
      </x:c>
      <x:c r="G33" s="22" t="n">
        <x:v>0.5</x:v>
      </x:c>
      <x:c r="H33" s="9" t="str">
        <x:v>Intervalo entre entradas</x:v>
      </x:c>
      <x:c r="I33" s="9" t="str">
        <x:v>Cadencia de aparición.</x:v>
      </x:c>
    </x:row>
    <x:row r="34" ht="60" customHeight="1">
      <x:c r="A34" s="14" t="str">
        <x:v>PAR-27</x:v>
      </x:c>
      <x:c r="B34" s="14" t="str">
        <x:v>Jefe</x:v>
      </x:c>
      <x:c r="C34" s="14" t="str">
        <x:v>hp inicial</x:v>
      </x:c>
      <x:c r="D34" s="20" t="n">
        <x:v>24</x:v>
      </x:c>
      <x:c r="E34" s="21" t="str">
        <x:v>hp</x:v>
      </x:c>
      <x:c r="F34" s="21" t="n">
        <x:v>12</x:v>
      </x:c>
      <x:c r="G34" s="21" t="n">
        <x:v>40</x:v>
      </x:c>
      <x:c r="H34" s="14" t="str">
        <x:v>Jefe final</x:v>
      </x:c>
      <x:c r="I34" s="14" t="str">
        <x:v>Valor inicial pendiente de balance.</x:v>
      </x:c>
    </x:row>
    <x:row r="35" ht="60" customHeight="1">
      <x:c r="A35" s="9" t="str">
        <x:v>PAR-28</x:v>
      </x:c>
      <x:c r="B35" s="9" t="str">
        <x:v>Jefe</x:v>
      </x:c>
      <x:c r="C35" s="9" t="str">
        <x:v>Umbral fase 2</x:v>
      </x:c>
      <x:c r="D35" s="20" t="n">
        <x:v>12</x:v>
      </x:c>
      <x:c r="E35" s="22" t="str">
        <x:v>hp</x:v>
      </x:c>
      <x:c r="F35" s="22" t="n">
        <x:v>6</x:v>
      </x:c>
      <x:c r="G35" s="22" t="n">
        <x:v>20</x:v>
      </x:c>
      <x:c r="H35" s="9" t="str">
        <x:v>Se activa en siguiente Aviso</x:v>
      </x:c>
      <x:c r="I35" s="9" t="str">
        <x:v>No mezclar ataques a mitad de ráfaga.</x:v>
      </x:c>
    </x:row>
    <x:row r="36" ht="60" customHeight="1">
      <x:c r="A36" s="14" t="str">
        <x:v>PAR-29</x:v>
      </x:c>
      <x:c r="B36" s="14" t="str">
        <x:v>Jefe</x:v>
      </x:c>
      <x:c r="C36" s="14" t="str">
        <x:v>Aviso</x:v>
      </x:c>
      <x:c r="D36" s="20" t="n">
        <x:v>0.8</x:v>
      </x:c>
      <x:c r="E36" s="21" t="str">
        <x:v>s</x:v>
      </x:c>
      <x:c r="F36" s="21" t="n">
        <x:v>0.5</x:v>
      </x:c>
      <x:c r="G36" s="21" t="n">
        <x:v>1.2</x:v>
      </x:c>
      <x:c r="H36" s="14" t="str">
        <x:v>Antes de ráfaga</x:v>
      </x:c>
      <x:c r="I36" s="14" t="str">
        <x:v>Incluye transición P1.</x:v>
      </x:c>
    </x:row>
    <x:row r="37" ht="60" customHeight="1">
      <x:c r="A37" s="9" t="str">
        <x:v>PAR-30</x:v>
      </x:c>
      <x:c r="B37" s="9" t="str">
        <x:v>Jefe</x:v>
      </x:c>
      <x:c r="C37" s="9" t="str">
        <x:v>Ráfaga</x:v>
      </x:c>
      <x:c r="D37" s="20" t="n">
        <x:v>1.8</x:v>
      </x:c>
      <x:c r="E37" s="22" t="str">
        <x:v>s</x:v>
      </x:c>
      <x:c r="F37" s="22" t="n">
        <x:v>1</x:v>
      </x:c>
      <x:c r="G37" s="22" t="n">
        <x:v>2.5</x:v>
      </x:c>
      <x:c r="H37" s="9" t="str">
        <x:v>Ventana de emisión</x:v>
      </x:c>
      <x:c r="I37" s="9" t="str">
        <x:v>Tres disparos a intervalos de 0,6 s.</x:v>
      </x:c>
    </x:row>
    <x:row r="38" ht="60" customHeight="1">
      <x:c r="A38" s="14" t="str">
        <x:v>PAR-31</x:v>
      </x:c>
      <x:c r="B38" s="14" t="str">
        <x:v>Jefe</x:v>
      </x:c>
      <x:c r="C38" s="14" t="str">
        <x:v>Recuperación fase 1</x:v>
      </x:c>
      <x:c r="D38" s="20" t="n">
        <x:v>1.6</x:v>
      </x:c>
      <x:c r="E38" s="21" t="str">
        <x:v>s</x:v>
      </x:c>
      <x:c r="F38" s="21" t="n">
        <x:v>1</x:v>
      </x:c>
      <x:c r="G38" s="21" t="n">
        <x:v>2.5</x:v>
      </x:c>
      <x:c r="H38" s="14" t="str">
        <x:v>Vulnerable</x:v>
      </x:c>
      <x:c r="I38" s="14" t="str">
        <x:v>Ventana de ataque del jugador.</x:v>
      </x:c>
    </x:row>
    <x:row r="39" ht="60" customHeight="1">
      <x:c r="A39" s="9" t="str">
        <x:v>PAR-32</x:v>
      </x:c>
      <x:c r="B39" s="9" t="str">
        <x:v>Jefe</x:v>
      </x:c>
      <x:c r="C39" s="9" t="str">
        <x:v>Recuperación fase 2</x:v>
      </x:c>
      <x:c r="D39" s="20" t="n">
        <x:v>1.2</x:v>
      </x:c>
      <x:c r="E39" s="22" t="str">
        <x:v>s</x:v>
      </x:c>
      <x:c r="F39" s="22" t="n">
        <x:v>0.8</x:v>
      </x:c>
      <x:c r="G39" s="22" t="n">
        <x:v>2</x:v>
      </x:c>
      <x:c r="H39" s="9" t="str">
        <x:v>Vulnerable</x:v>
      </x:c>
      <x:c r="I39" s="9" t="str">
        <x:v>Aumentar presión con moderación.</x:v>
      </x:c>
    </x:row>
    <x:row r="40" ht="60" customHeight="1">
      <x:c r="A40" s="14" t="str">
        <x:v>PAR-33</x:v>
      </x:c>
      <x:c r="B40" s="14" t="str">
        <x:v>Cámara</x:v>
      </x:c>
      <x:c r="C40" s="14" t="str">
        <x:v>FOV vertical</x:v>
      </x:c>
      <x:c r="D40" s="20" t="n">
        <x:v>45</x:v>
      </x:c>
      <x:c r="E40" s="21" t="str">
        <x:v>grados</x:v>
      </x:c>
      <x:c r="F40" s="21" t="n">
        <x:v>35</x:v>
      </x:c>
      <x:c r="G40" s="21" t="n">
        <x:v>60</x:v>
      </x:c>
      <x:c r="H40" s="14" t="str">
        <x:v>Perspective</x:v>
      </x:c>
      <x:c r="I40" s="14" t="str">
        <x:v>Equilibrar volumen y legibilidad.</x:v>
      </x:c>
    </x:row>
    <x:row r="41" ht="60" customHeight="1">
      <x:c r="A41" s="9" t="str">
        <x:v>PAR-34</x:v>
      </x:c>
      <x:c r="B41" s="9" t="str">
        <x:v>Cámara</x:v>
      </x:c>
      <x:c r="C41" s="9" t="str">
        <x:v>Near</x:v>
      </x:c>
      <x:c r="D41" s="20" t="n">
        <x:v>0.1</x:v>
      </x:c>
      <x:c r="E41" s="22" t="str">
        <x:v>u</x:v>
      </x:c>
      <x:c r="F41" s="22" t="n">
        <x:v>0.05</x:v>
      </x:c>
      <x:c r="G41" s="22" t="n">
        <x:v>0.5</x:v>
      </x:c>
      <x:c r="H41" s="9" t="str">
        <x:v>Plano cercano</x:v>
      </x:c>
      <x:c r="I41" s="9" t="str">
        <x:v>Debe ser positivo y menor que far.</x:v>
      </x:c>
    </x:row>
    <x:row r="42" ht="60" customHeight="1">
      <x:c r="A42" s="14" t="str">
        <x:v>PAR-35</x:v>
      </x:c>
      <x:c r="B42" s="14" t="str">
        <x:v>Cámara</x:v>
      </x:c>
      <x:c r="C42" s="14" t="str">
        <x:v>Far</x:v>
      </x:c>
      <x:c r="D42" s="20" t="n">
        <x:v>100</x:v>
      </x:c>
      <x:c r="E42" s="21" t="str">
        <x:v>u</x:v>
      </x:c>
      <x:c r="F42" s="21" t="n">
        <x:v>30</x:v>
      </x:c>
      <x:c r="G42" s="21" t="n">
        <x:v>150</x:v>
      </x:c>
      <x:c r="H42" s="14" t="str">
        <x:v>Plano lejano</x:v>
      </x:c>
      <x:c r="I42" s="14" t="str">
        <x:v>Campo visible y profundidad útil.</x:v>
      </x:c>
    </x:row>
    <x:row r="43" ht="60" customHeight="1">
      <x:c r="A43" s="9" t="str">
        <x:v>PAR-36</x:v>
      </x:c>
      <x:c r="B43" s="9" t="str">
        <x:v>Cámara</x:v>
      </x:c>
      <x:c r="C43" s="9" t="str">
        <x:v>Distancia z</x:v>
      </x:c>
      <x:c r="D43" s="20" t="n">
        <x:v>22</x:v>
      </x:c>
      <x:c r="E43" s="22" t="str">
        <x:v>u</x:v>
      </x:c>
      <x:c r="F43" s="22" t="n">
        <x:v>18</x:v>
      </x:c>
      <x:c r="G43" s="22" t="n">
        <x:v>30</x:v>
      </x:c>
      <x:c r="H43" s="9" t="str">
        <x:v>Cámara mirando a y=1</x:v>
      </x:c>
      <x:c r="I43" s="9" t="str">
        <x:v>No recortar campo.</x:v>
      </x:c>
    </x:row>
    <x:row r="44" ht="60" customHeight="1">
      <x:c r="A44" s="14" t="str">
        <x:v>PAR-37</x:v>
      </x:c>
      <x:c r="B44" s="14" t="str">
        <x:v>Visual</x:v>
      </x:c>
      <x:c r="C44" s="14" t="str">
        <x:v>Alabeo máximo</x:v>
      </x:c>
      <x:c r="D44" s="20" t="n">
        <x:v>20</x:v>
      </x:c>
      <x:c r="E44" s="21" t="str">
        <x:v>grados</x:v>
      </x:c>
      <x:c r="F44" s="21" t="n">
        <x:v>0</x:v>
      </x:c>
      <x:c r="G44" s="21" t="n">
        <x:v>35</x:v>
      </x:c>
      <x:c r="H44" s="14" t="str">
        <x:v>Rotación visual en ruta</x:v>
      </x:c>
      <x:c r="I44" s="14" t="str">
        <x:v>El collider no gira ni cambia de tamaño.</x:v>
      </x:c>
    </x:row>
    <x:row r="45" ht="60" customHeight="1">
      <x:c r="A45" s="9" t="str">
        <x:v>PAR-38</x:v>
      </x:c>
      <x:c r="B45" s="9" t="str">
        <x:v>Calidad</x:v>
      </x:c>
      <x:c r="C45" s="9" t="str">
        <x:v>Objetivo p95 frame</x:v>
      </x:c>
      <x:c r="D45" s="20" t="n">
        <x:v>16.7</x:v>
      </x:c>
      <x:c r="E45" s="22" t="str">
        <x:v>ms</x:v>
      </x:c>
      <x:c r="F45" s="22" t="n">
        <x:v>8</x:v>
      </x:c>
      <x:c r="G45" s="22" t="n">
        <x:v>33.3</x:v>
      </x:c>
      <x:c r="H45" s="9" t="str">
        <x:v>Build y equipo registrados</x:v>
      </x:c>
      <x:c r="I45" s="9" t="str">
        <x:v>Objetivo orientativo 60 FPS.</x:v>
      </x:c>
    </x:row>
    <x:row r="46" ht="60" customHeight="1">
      <x:c r="A46" s="14" t="str">
        <x:v>PAR-39</x:v>
      </x:c>
      <x:c r="B46" s="14" t="str">
        <x:v>Balance</x:v>
      </x:c>
      <x:c r="C46" s="14" t="str">
        <x:v>Duración mínima</x:v>
      </x:c>
      <x:c r="D46" s="20" t="n">
        <x:v>300</x:v>
      </x:c>
      <x:c r="E46" s="21" t="str">
        <x:v>s</x:v>
      </x:c>
      <x:c r="F46" s="21" t="n">
        <x:v>180</x:v>
      </x:c>
      <x:c r="G46" s="21" t="n">
        <x:v>480</x:v>
      </x:c>
      <x:c r="H46" s="14" t="str">
        <x:v>Tiempo activo</x:v>
      </x:c>
      <x:c r="I46" s="14" t="str">
        <x:v>Objetivo del acta.</x:v>
      </x:c>
    </x:row>
    <x:row r="47" ht="60" customHeight="1">
      <x:c r="A47" s="9" t="str">
        <x:v>PAR-40</x:v>
      </x:c>
      <x:c r="B47" s="9" t="str">
        <x:v>Balance</x:v>
      </x:c>
      <x:c r="C47" s="9" t="str">
        <x:v>Duración máxima</x:v>
      </x:c>
      <x:c r="D47" s="20" t="n">
        <x:v>480</x:v>
      </x:c>
      <x:c r="E47" s="22" t="str">
        <x:v>s</x:v>
      </x:c>
      <x:c r="F47" s="22" t="n">
        <x:v>300</x:v>
      </x:c>
      <x:c r="G47" s="22" t="n">
        <x:v>600</x:v>
      </x:c>
      <x:c r="H47" s="9" t="str">
        <x:v>Tiempo activo</x:v>
      </x:c>
      <x:c r="I47" s="9" t="str">
        <x:v>Objetivo del acta.</x:v>
      </x:c>
    </x:row>
    <x:row r="48" ht="20" customHeight="1">
      <x:c r="A48" s="4"/>
      <x:c r="B48" s="4"/>
      <x:c r="C48" s="4"/>
      <x:c r="D48" s="4"/>
      <x:c r="E48" s="4"/>
      <x:c r="F48" s="4"/>
      <x:c r="G48" s="4"/>
      <x:c r="H48" s="4"/>
      <x:c r="I48" s="4"/>
    </x:row>
    <x:row r="49" ht="20" customHeight="1">
      <x:c r="A49" s="4"/>
      <x:c r="B49" s="4"/>
      <x:c r="C49" s="4"/>
      <x:c r="D49" s="4"/>
      <x:c r="E49" s="4"/>
      <x:c r="F49" s="4"/>
      <x:c r="G49" s="4"/>
      <x:c r="H49" s="4"/>
      <x:c r="I49" s="4"/>
    </x:row>
    <x:row r="50" ht="20" customHeight="1">
      <x:c r="A50" s="4"/>
      <x:c r="B50" s="4"/>
      <x:c r="C50" s="4"/>
      <x:c r="D50" s="4"/>
      <x:c r="E50" s="4"/>
      <x:c r="F50" s="4"/>
      <x:c r="G50" s="4"/>
      <x:c r="H50" s="4"/>
      <x:c r="I50" s="4"/>
    </x:row>
    <x:row r="51" ht="20" customHeight="1">
      <x:c r="A51" s="4"/>
      <x:c r="B51" s="4"/>
      <x:c r="C51" s="4"/>
      <x:c r="D51" s="4"/>
      <x:c r="E51" s="4"/>
      <x:c r="F51" s="4"/>
      <x:c r="G51" s="4"/>
      <x:c r="H51" s="4"/>
      <x:c r="I51" s="4"/>
    </x:row>
    <x:row r="52" ht="20" customHeight="1">
      <x:c r="A52" s="4"/>
      <x:c r="B52" s="4"/>
      <x:c r="C52" s="4"/>
      <x:c r="D52" s="4"/>
      <x:c r="E52" s="4"/>
      <x:c r="F52" s="4"/>
      <x:c r="G52" s="4"/>
      <x:c r="H52" s="4"/>
      <x:c r="I52" s="4"/>
    </x:row>
    <x:row r="53" ht="20" customHeight="1">
      <x:c r="A53" s="4"/>
      <x:c r="B53" s="4"/>
      <x:c r="C53" s="4"/>
      <x:c r="D53" s="4"/>
      <x:c r="E53" s="4"/>
      <x:c r="F53" s="4"/>
      <x:c r="G53" s="4"/>
      <x:c r="H53" s="4"/>
      <x:c r="I53" s="4"/>
    </x:row>
    <x:row r="54" ht="20" customHeight="1">
      <x:c r="A54" s="4"/>
      <x:c r="B54" s="4"/>
      <x:c r="C54" s="4"/>
      <x:c r="D54" s="4"/>
      <x:c r="E54" s="4"/>
      <x:c r="F54" s="4"/>
      <x:c r="G54" s="4"/>
      <x:c r="H54" s="4"/>
      <x:c r="I54" s="4"/>
    </x:row>
    <x:row r="55" ht="20" customHeight="1">
      <x:c r="A55" s="4"/>
      <x:c r="B55" s="4"/>
      <x:c r="C55" s="4"/>
      <x:c r="D55" s="4"/>
      <x:c r="E55" s="4"/>
      <x:c r="F55" s="4"/>
      <x:c r="G55" s="4"/>
      <x:c r="H55" s="4"/>
      <x:c r="I55" s="4"/>
    </x:row>
    <x:row r="56" ht="20" customHeight="1">
      <x:c r="A56" s="4"/>
      <x:c r="B56" s="4"/>
      <x:c r="C56" s="4"/>
      <x:c r="D56" s="4"/>
      <x:c r="E56" s="4"/>
      <x:c r="F56" s="4"/>
      <x:c r="G56" s="4"/>
      <x:c r="H56" s="4"/>
      <x:c r="I56" s="4"/>
    </x:row>
    <x:row r="57" ht="20" customHeight="1">
      <x:c r="A57" s="4"/>
      <x:c r="B57" s="4"/>
      <x:c r="C57" s="4"/>
      <x:c r="D57" s="4"/>
      <x:c r="E57" s="4"/>
      <x:c r="F57" s="4"/>
      <x:c r="G57" s="4"/>
      <x:c r="H57" s="4"/>
      <x:c r="I57" s="4"/>
    </x:row>
    <x:row r="58" ht="20" customHeight="1">
      <x:c r="A58" s="4"/>
      <x:c r="B58" s="4"/>
      <x:c r="C58" s="4"/>
      <x:c r="D58" s="4"/>
      <x:c r="E58" s="4"/>
      <x:c r="F58" s="4"/>
      <x:c r="G58" s="4"/>
      <x:c r="H58" s="4"/>
      <x:c r="I58" s="4"/>
    </x:row>
    <x:row r="59" ht="20" customHeight="1">
      <x:c r="A59" s="4"/>
      <x:c r="B59" s="4"/>
      <x:c r="C59" s="4"/>
      <x:c r="D59" s="4"/>
      <x:c r="E59" s="4"/>
      <x:c r="F59" s="4"/>
      <x:c r="G59" s="4"/>
      <x:c r="H59" s="4"/>
      <x:c r="I59" s="4"/>
    </x:row>
    <x:row r="60" ht="20" customHeight="1">
      <x:c r="A60" s="4"/>
      <x:c r="B60" s="4"/>
      <x:c r="C60" s="4"/>
      <x:c r="D60" s="4"/>
      <x:c r="E60" s="4"/>
      <x:c r="F60" s="4"/>
      <x:c r="G60" s="4"/>
      <x:c r="H60" s="4"/>
      <x:c r="I60" s="4"/>
    </x:row>
  </x:sheetData>
  <x:dataValidations count="40">
    <x:dataValidation type="decimal" operator="between" sqref="D8">
      <x:formula1>F8</x:formula1>
      <x:formula2>G8</x:formula2>
    </x:dataValidation>
    <x:dataValidation type="decimal" operator="between" sqref="D9">
      <x:formula1>F9</x:formula1>
      <x:formula2>G9</x:formula2>
    </x:dataValidation>
    <x:dataValidation type="decimal" operator="between" sqref="D10">
      <x:formula1>F10</x:formula1>
      <x:formula2>G10</x:formula2>
    </x:dataValidation>
    <x:dataValidation type="decimal" operator="between" sqref="D11">
      <x:formula1>F11</x:formula1>
      <x:formula2>G11</x:formula2>
    </x:dataValidation>
    <x:dataValidation type="decimal" operator="between" sqref="D12">
      <x:formula1>F12</x:formula1>
      <x:formula2>G12</x:formula2>
    </x:dataValidation>
    <x:dataValidation type="whole" operator="between" sqref="D13">
      <x:formula1>F13</x:formula1>
      <x:formula2>G13</x:formula2>
    </x:dataValidation>
    <x:dataValidation type="decimal" operator="between" sqref="D14">
      <x:formula1>F14</x:formula1>
      <x:formula2>G14</x:formula2>
    </x:dataValidation>
    <x:dataValidation type="whole" operator="between" sqref="D15">
      <x:formula1>F15</x:formula1>
      <x:formula2>G15</x:formula2>
    </x:dataValidation>
    <x:dataValidation type="decimal" operator="between" sqref="D16">
      <x:formula1>F16</x:formula1>
      <x:formula2>G16</x:formula2>
    </x:dataValidation>
    <x:dataValidation type="decimal" operator="between" sqref="D17">
      <x:formula1>F17</x:formula1>
      <x:formula2>G17</x:formula2>
    </x:dataValidation>
    <x:dataValidation type="decimal" operator="between" sqref="D18">
      <x:formula1>F18</x:formula1>
      <x:formula2>G18</x:formula2>
    </x:dataValidation>
    <x:dataValidation type="decimal" operator="between" sqref="D19">
      <x:formula1>F19</x:formula1>
      <x:formula2>G19</x:formula2>
    </x:dataValidation>
    <x:dataValidation type="decimal" operator="between" sqref="D20">
      <x:formula1>F20</x:formula1>
      <x:formula2>G20</x:formula2>
    </x:dataValidation>
    <x:dataValidation type="decimal" operator="between" sqref="D21">
      <x:formula1>F21</x:formula1>
      <x:formula2>G21</x:formula2>
    </x:dataValidation>
    <x:dataValidation type="decimal" operator="between" sqref="D22">
      <x:formula1>F22</x:formula1>
      <x:formula2>G22</x:formula2>
    </x:dataValidation>
    <x:dataValidation type="decimal" operator="between" sqref="D23">
      <x:formula1>F23</x:formula1>
      <x:formula2>G23</x:formula2>
    </x:dataValidation>
    <x:dataValidation type="decimal" operator="between" sqref="D24">
      <x:formula1>F24</x:formula1>
      <x:formula2>G24</x:formula2>
    </x:dataValidation>
    <x:dataValidation type="decimal" operator="between" sqref="D25">
      <x:formula1>F25</x:formula1>
      <x:formula2>G25</x:formula2>
    </x:dataValidation>
    <x:dataValidation type="decimal" operator="between" sqref="D26">
      <x:formula1>F26</x:formula1>
      <x:formula2>G26</x:formula2>
    </x:dataValidation>
    <x:dataValidation type="decimal" operator="between" sqref="D27">
      <x:formula1>F27</x:formula1>
      <x:formula2>G27</x:formula2>
    </x:dataValidation>
    <x:dataValidation type="decimal" operator="between" sqref="D28">
      <x:formula1>F28</x:formula1>
      <x:formula2>G28</x:formula2>
    </x:dataValidation>
    <x:dataValidation type="decimal" operator="between" sqref="D29">
      <x:formula1>F29</x:formula1>
      <x:formula2>G29</x:formula2>
    </x:dataValidation>
    <x:dataValidation type="decimal" operator="between" sqref="D30">
      <x:formula1>F30</x:formula1>
      <x:formula2>G30</x:formula2>
    </x:dataValidation>
    <x:dataValidation type="decimal" operator="between" sqref="D31">
      <x:formula1>F31</x:formula1>
      <x:formula2>G31</x:formula2>
    </x:dataValidation>
    <x:dataValidation type="decimal" operator="between" sqref="D32">
      <x:formula1>F32</x:formula1>
      <x:formula2>G32</x:formula2>
    </x:dataValidation>
    <x:dataValidation type="decimal" operator="between" sqref="D33">
      <x:formula1>F33</x:formula1>
      <x:formula2>G33</x:formula2>
    </x:dataValidation>
    <x:dataValidation type="whole" operator="between" sqref="D34">
      <x:formula1>F34</x:formula1>
      <x:formula2>G34</x:formula2>
    </x:dataValidation>
    <x:dataValidation type="whole" operator="between" sqref="D35">
      <x:formula1>F35</x:formula1>
      <x:formula2>G35</x:formula2>
    </x:dataValidation>
    <x:dataValidation type="decimal" operator="between" sqref="D36">
      <x:formula1>F36</x:formula1>
      <x:formula2>G36</x:formula2>
    </x:dataValidation>
    <x:dataValidation type="decimal" operator="between" sqref="D37">
      <x:formula1>F37</x:formula1>
      <x:formula2>G37</x:formula2>
    </x:dataValidation>
    <x:dataValidation type="decimal" operator="between" sqref="D38">
      <x:formula1>F38</x:formula1>
      <x:formula2>G38</x:formula2>
    </x:dataValidation>
    <x:dataValidation type="decimal" operator="between" sqref="D39">
      <x:formula1>F39</x:formula1>
      <x:formula2>G39</x:formula2>
    </x:dataValidation>
    <x:dataValidation type="decimal" operator="between" sqref="D40">
      <x:formula1>F40</x:formula1>
      <x:formula2>G40</x:formula2>
    </x:dataValidation>
    <x:dataValidation type="decimal" operator="between" sqref="D41">
      <x:formula1>F41</x:formula1>
      <x:formula2>G41</x:formula2>
    </x:dataValidation>
    <x:dataValidation type="decimal" operator="between" sqref="D42">
      <x:formula1>F42</x:formula1>
      <x:formula2>G42</x:formula2>
    </x:dataValidation>
    <x:dataValidation type="decimal" operator="between" sqref="D43">
      <x:formula1>F43</x:formula1>
      <x:formula2>G43</x:formula2>
    </x:dataValidation>
    <x:dataValidation type="decimal" operator="between" sqref="D44">
      <x:formula1>F44</x:formula1>
      <x:formula2>G44</x:formula2>
    </x:dataValidation>
    <x:dataValidation type="decimal" operator="between" sqref="D45">
      <x:formula1>F45</x:formula1>
      <x:formula2>G45</x:formula2>
    </x:dataValidation>
    <x:dataValidation type="decimal" operator="between" sqref="D46">
      <x:formula1>F46</x:formula1>
      <x:formula2>G46</x:formula2>
    </x:dataValidation>
    <x:dataValidation type="decimal" operator="between" sqref="D47">
      <x:formula1>F47</x:formula1>
      <x:formula2>G47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18ccefb3bce4d39"/>
  </x:tableParts>
</x:worksheet>
</file>

<file path=xl/worksheets/sheet3.xml><?xml version="1.0" encoding="utf-8"?>
<x:worksheet xmlns:x="http://schemas.openxmlformats.org/spreadsheetml/2006/main">
  <x:sheetPr>
    <x:tabColor rgb="FF153553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2" hidden="0" customWidth="1"/>
    <x:col min="6" max="6" width="16" hidden="0" customWidth="1"/>
    <x:col min="7" max="7" width="20" hidden="0" customWidth="1"/>
    <x:col min="8" max="8" width="18" hidden="0" customWidth="1"/>
    <x:col min="9" max="9" width="18" hidden="0" customWidth="1"/>
    <x:col min="10" max="10" width="20" hidden="0" customWidth="1"/>
    <x:col min="11" max="11" width="18" hidden="0" customWidth="1"/>
    <x:col min="12" max="12" width="42" hidden="0" customWidth="1"/>
  </x:cols>
  <x:sheetData>
    <x:row r="1" ht="20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0" customHeight="1">
      <x:c r="A2" s="6" t="str">
        <x:v>Composición y ventanas objetivo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0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0" customHeight="1">
      <x:c r="A4" s="8" t="str">
        <x:v>Cálculos de contenido y tiempos orientativos; no predicen por sí solos la duración real.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</x:row>
    <x:row r="5" ht="20" customHeight="1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</x:row>
    <x:row r="6" ht="20" customHeight="1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</x:row>
    <x:row r="7" ht="34" customHeight="1">
      <x:c r="A7" s="13" t="str">
        <x:v>Fase</x:v>
      </x:c>
      <x:c r="B7" s="13" t="str">
        <x:v>Exploradores</x:v>
      </x:c>
      <x:c r="C7" s="13" t="str">
        <x:v>Interceptores</x:v>
      </x:c>
      <x:c r="D7" s="13" t="str">
        <x:v>Guardianes</x:v>
      </x:c>
      <x:c r="E7" s="13" t="str">
        <x:v>Total</x:v>
      </x:c>
      <x:c r="F7" s="13" t="str">
        <x:v>Picados máximos</x:v>
      </x:c>
      <x:c r="G7" s="13" t="str">
        <x:v>Intervalo ataque s</x:v>
      </x:c>
      <x:c r="H7" s="13" t="str">
        <x:v>Tiempo mínimo s</x:v>
      </x:c>
      <x:c r="I7" s="13" t="str">
        <x:v>Tiempo máximo s</x:v>
      </x:c>
      <x:c r="J7" s="13" t="str">
        <x:v>Intervalo spawn s</x:v>
      </x:c>
      <x:c r="K7" s="13" t="str">
        <x:v>Salida última s</x:v>
      </x:c>
      <x:c r="L7" s="13" t="str">
        <x:v>Objetivo</x:v>
      </x:c>
    </x:row>
    <x:row r="8" ht="60" customHeight="1">
      <x:c r="A8" s="14" t="str">
        <x:v>Oleada 1</x:v>
      </x:c>
      <x:c r="B8" s="16" t="n">
        <x:v>12</x:v>
      </x:c>
      <x:c r="C8" s="16" t="n">
        <x:v>6</x:v>
      </x:c>
      <x:c r="D8" s="16" t="n">
        <x:v>0</x:v>
      </x:c>
      <x:c r="E8" s="14" t="n">
        <x:f>SUM(B8:D8)</x:f>
        <x:v>18</x:v>
      </x:c>
      <x:c r="F8" s="16" t="n">
        <x:v>1</x:v>
      </x:c>
      <x:c r="G8" s="16" t="n">
        <x:v>2.4</x:v>
      </x:c>
      <x:c r="H8" s="16" t="n">
        <x:v>70</x:v>
      </x:c>
      <x:c r="I8" s="16" t="n">
        <x:v>100</x:v>
      </x:c>
      <x:c r="J8" s="21" t="n">
        <x:f>INDEX(Parametros!$D$8:$D$47,MATCH("PAR-26",Parametros!$A$8:$A$47,0))</x:f>
        <x:v>0.25</x:v>
      </x:c>
      <x:c r="K8" s="21" t="n">
        <x:f>(E8-1)*J8</x:f>
        <x:v>4.25</x:v>
      </x:c>
      <x:c r="L8" s="14" t="str">
        <x:v>Aprender movimiento y tiro</x:v>
      </x:c>
    </x:row>
    <x:row r="9" ht="60" customHeight="1">
      <x:c r="A9" s="9" t="str">
        <x:v>Oleada 2</x:v>
      </x:c>
      <x:c r="B9" s="16" t="n">
        <x:v>12</x:v>
      </x:c>
      <x:c r="C9" s="16" t="n">
        <x:v>8</x:v>
      </x:c>
      <x:c r="D9" s="16" t="n">
        <x:v>4</x:v>
      </x:c>
      <x:c r="E9" s="9" t="n">
        <x:f>SUM(B9:D9)</x:f>
        <x:v>24</x:v>
      </x:c>
      <x:c r="F9" s="16" t="n">
        <x:v>2</x:v>
      </x:c>
      <x:c r="G9" s="16" t="n">
        <x:v>1.8</x:v>
      </x:c>
      <x:c r="H9" s="16" t="n">
        <x:v>80</x:v>
      </x:c>
      <x:c r="I9" s="16" t="n">
        <x:v>110</x:v>
      </x:c>
      <x:c r="J9" s="22" t="n">
        <x:f>INDEX(Parametros!$D$8:$D$47,MATCH("PAR-26",Parametros!$A$8:$A$47,0))</x:f>
        <x:v>0.25</x:v>
      </x:c>
      <x:c r="K9" s="22" t="n">
        <x:f>(E9-1)*J9</x:f>
        <x:v>5.75</x:v>
      </x:c>
      <x:c r="L9" s="9" t="str">
        <x:v>Combinar tipos y presión</x:v>
      </x:c>
    </x:row>
    <x:row r="10" ht="60" customHeight="1">
      <x:c r="A10" s="14" t="str">
        <x:v>Oleada 3</x:v>
      </x:c>
      <x:c r="B10" s="16" t="n">
        <x:v>12</x:v>
      </x:c>
      <x:c r="C10" s="16" t="n">
        <x:v>12</x:v>
      </x:c>
      <x:c r="D10" s="16" t="n">
        <x:v>6</x:v>
      </x:c>
      <x:c r="E10" s="14" t="n">
        <x:f>SUM(B10:D10)</x:f>
        <x:v>30</x:v>
      </x:c>
      <x:c r="F10" s="16" t="n">
        <x:v>3</x:v>
      </x:c>
      <x:c r="G10" s="16" t="n">
        <x:v>1.4</x:v>
      </x:c>
      <x:c r="H10" s="16" t="n">
        <x:v>90</x:v>
      </x:c>
      <x:c r="I10" s="16" t="n">
        <x:v>120</x:v>
      </x:c>
      <x:c r="J10" s="21" t="n">
        <x:f>INDEX(Parametros!$D$8:$D$47,MATCH("PAR-26",Parametros!$A$8:$A$47,0))</x:f>
        <x:v>0.25</x:v>
      </x:c>
      <x:c r="K10" s="21" t="n">
        <x:f>(E10-1)*J10</x:f>
        <x:v>7.25</x:v>
      </x:c>
      <x:c r="L10" s="14" t="str">
        <x:v>Dominar patrones y planos</x:v>
      </x:c>
    </x:row>
    <x:row r="11" ht="60" customHeight="1">
      <x:c r="A11" s="9" t="str">
        <x:v>Jefe</x:v>
      </x:c>
      <x:c r="B11" s="9" t="n">
        <x:v>0</x:v>
      </x:c>
      <x:c r="C11" s="9" t="n">
        <x:v>0</x:v>
      </x:c>
      <x:c r="D11" s="9" t="n">
        <x:v>0</x:v>
      </x:c>
      <x:c r="E11" s="9" t="n">
        <x:v>1</x:v>
      </x:c>
      <x:c r="F11" s="16" t="n">
        <x:v>0</x:v>
      </x:c>
      <x:c r="G11" s="16" t="n">
        <x:v>0</x:v>
      </x:c>
      <x:c r="H11" s="16" t="n">
        <x:v>55</x:v>
      </x:c>
      <x:c r="I11" s="16" t="n">
        <x:v>90</x:v>
      </x:c>
      <x:c r="J11" s="22" t="n">
        <x:v>0</x:v>
      </x:c>
      <x:c r="K11" s="22" t="n">
        <x:v>0</x:v>
      </x:c>
      <x:c r="L11" s="9" t="str">
        <x:v>Demostrar decisiones de combate</x:v>
      </x:c>
    </x:row>
    <x:row r="12" ht="20" customHeight="1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</x:row>
    <x:row r="13" ht="20" customHeight="1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</x:row>
    <x:row r="14" ht="20" customHeight="1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</x:row>
    <x:row r="15" ht="20" customHeight="1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</x:row>
    <x:row r="16" ht="20" customHeight="1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</x:row>
    <x:row r="17" ht="20" customHeight="1">
      <x:c r="A17" s="4" t="str">
        <x:v>Ventana objetivo</x:v>
      </x:c>
      <x:c r="B17" s="4" t="str">
        <x:v>Mínimo s</x:v>
      </x:c>
      <x:c r="C17" s="4" t="str">
        <x:v>Máximo s</x:v>
      </x:c>
      <x:c r="D17" s="4"/>
      <x:c r="E17" s="4"/>
      <x:c r="F17" s="4"/>
      <x:c r="G17" s="4"/>
      <x:c r="H17" s="4"/>
      <x:c r="I17" s="4"/>
      <x:c r="J17" s="4"/>
      <x:c r="K17" s="4"/>
      <x:c r="L17" s="4"/>
    </x:row>
    <x:row r="18" ht="20" customHeight="1">
      <x:c r="A18" s="4" t="str">
        <x:v>Combate</x:v>
      </x:c>
      <x:c r="B18" s="4" t="n">
        <x:f>SUM(H8:H11)</x:f>
        <x:v>295</x:v>
      </x:c>
      <x:c r="C18" s="4" t="n">
        <x:f>SUM(I8:I11)</x:f>
        <x:v>420</x:v>
      </x:c>
      <x:c r="D18" s="4"/>
      <x:c r="E18" s="4"/>
      <x:c r="F18" s="4"/>
      <x:c r="G18" s="4"/>
      <x:c r="H18" s="4"/>
      <x:c r="I18" s="4"/>
      <x:c r="J18" s="4"/>
      <x:c r="K18" s="4"/>
      <x:c r="L18" s="4"/>
    </x:row>
    <x:row r="19" ht="20" customHeight="1">
      <x:c r="A19" s="4" t="str">
        <x:v>Intro y transiciones</x:v>
      </x:c>
      <x:c r="B19" s="4" t="n">
        <x:v>12</x:v>
      </x:c>
      <x:c r="C19" s="4" t="n">
        <x:v>12</x:v>
      </x:c>
      <x:c r="D19" s="4"/>
      <x:c r="E19" s="4"/>
      <x:c r="F19" s="4"/>
      <x:c r="G19" s="4"/>
      <x:c r="H19" s="4"/>
      <x:c r="I19" s="4"/>
      <x:c r="J19" s="4"/>
      <x:c r="K19" s="4"/>
      <x:c r="L19" s="4"/>
    </x:row>
    <x:row r="20" ht="20" customHeight="1">
      <x:c r="A20" s="4" t="str">
        <x:v>Total sin muertes</x:v>
      </x:c>
      <x:c r="B20" s="4" t="n">
        <x:f>SUM(B18:B19)</x:f>
        <x:v>307</x:v>
      </x:c>
      <x:c r="C20" s="4" t="n">
        <x:f>SUM(C18:C19)</x:f>
        <x:v>432</x:v>
      </x:c>
      <x:c r="D20" s="4"/>
      <x:c r="E20" s="4"/>
      <x:c r="F20" s="4"/>
      <x:c r="G20" s="4"/>
      <x:c r="H20" s="4"/>
      <x:c r="I20" s="4"/>
      <x:c r="J20" s="4"/>
      <x:c r="K20" s="4"/>
      <x:c r="L20" s="4"/>
    </x:row>
    <x:row r="21" ht="20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</x:row>
    <x:row r="22" ht="20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</x:row>
    <x:row r="23" ht="20" customHeight="1">
      <x:c r="A23" s="7" t="str">
        <x:v>Las entradas están incluidas en tiempos de cada fase. Reapariciones añaden tiempo activo; pausas se excluyen.</x:v>
      </x:c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</x:row>
    <x:row r="24" ht="20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</x:row>
    <x:row r="25" ht="20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</x:row>
    <x:row r="26" ht="20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</x:row>
    <x:row r="27" ht="20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</x:row>
    <x:row r="28" ht="20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</x:row>
    <x:row r="29" ht="20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</x:row>
    <x:row r="30" ht="20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</x:row>
  </x:sheetData>
  <x:dataValidations count="1">
    <x:dataValidation type="whole" operator="between" sqref="B8:D10">
      <x:formula1>0</x:formula1>
      <x:formula2>60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18064a50c1a46c0"/>
  </x:tableParts>
</x:worksheet>
</file>

<file path=xl/worksheets/sheet4.xml><?xml version="1.0" encoding="utf-8"?>
<x:worksheet xmlns:x="http://schemas.openxmlformats.org/spreadsheetml/2006/main">
  <x:sheetPr>
    <x:tabColor rgb="FF153553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2" hidden="0" customWidth="1"/>
    <x:col min="2" max="2" width="45" hidden="0" customWidth="1"/>
    <x:col min="3" max="3" width="60" hidden="0" customWidth="1"/>
    <x:col min="4" max="4" width="65" hidden="0" customWidth="1"/>
    <x:col min="5" max="5" width="28" hidden="0" customWidth="1"/>
    <x:col min="6" max="6" width="10" hidden="0" customWidth="1"/>
  </x:cols>
  <x:sheetData>
    <x:row r="1" ht="20" customHeight="1">
      <x:c r="A1" s="4"/>
      <x:c r="B1" s="4"/>
      <x:c r="C1" s="4"/>
      <x:c r="D1" s="4"/>
      <x:c r="E1" s="4"/>
      <x:c r="F1" s="4"/>
    </x:row>
    <x:row r="2" ht="20" customHeight="1">
      <x:c r="A2" s="6" t="str">
        <x:v>Transformación del juego 2D al 3D</x:v>
      </x:c>
      <x:c r="B2" s="4"/>
      <x:c r="C2" s="4"/>
      <x:c r="D2" s="4"/>
      <x:c r="E2" s="4"/>
      <x:c r="F2" s="4"/>
    </x:row>
    <x:row r="3" ht="20" customHeight="1">
      <x:c r="A3" s="4"/>
      <x:c r="B3" s="4"/>
      <x:c r="C3" s="4"/>
      <x:c r="D3" s="4"/>
      <x:c r="E3" s="4"/>
      <x:c r="F3" s="4"/>
    </x:row>
    <x:row r="4" ht="20" customHeight="1">
      <x:c r="A4" s="8" t="str">
        <x:v>P0: representación volumétrica. P1: profundidad jugable. P2: ampliación opcional.</x:v>
      </x:c>
      <x:c r="B4" s="4"/>
      <x:c r="C4" s="4"/>
      <x:c r="D4" s="4"/>
      <x:c r="E4" s="4"/>
      <x:c r="F4" s="4"/>
    </x:row>
    <x:row r="5" ht="20" customHeight="1">
      <x:c r="A5" s="4"/>
      <x:c r="B5" s="4"/>
      <x:c r="C5" s="4"/>
      <x:c r="D5" s="4"/>
      <x:c r="E5" s="4"/>
      <x:c r="F5" s="4"/>
    </x:row>
    <x:row r="6" ht="20" customHeight="1">
      <x:c r="A6" s="4"/>
      <x:c r="B6" s="4"/>
      <x:c r="C6" s="4"/>
      <x:c r="D6" s="4"/>
      <x:c r="E6" s="4"/>
      <x:c r="F6" s="4"/>
    </x:row>
    <x:row r="7" ht="34" customHeight="1">
      <x:c r="A7" s="13" t="str">
        <x:v>Aspecto</x:v>
      </x:c>
      <x:c r="B7" s="13" t="str">
        <x:v>Referencia 2D</x:v>
      </x:c>
      <x:c r="C7" s="13" t="str">
        <x:v>Adaptación 3D propuesta</x:v>
      </x:c>
      <x:c r="D7" s="13" t="str">
        <x:v>Prueba de valor o comprensión</x:v>
      </x:c>
      <x:c r="E7" s="13" t="str">
        <x:v>Requisitos</x:v>
      </x:c>
      <x:c r="F7" s="13" t="str">
        <x:v>Fase</x:v>
      </x:c>
    </x:row>
    <x:row r="8" ht="60" customHeight="1">
      <x:c r="A8" s="14" t="str">
        <x:v>Control</x:v>
      </x:c>
      <x:c r="B8" s="14" t="str">
        <x:v>Movimiento lateral con lectura plana</x:v>
      </x:c>
      <x:c r="C8" s="14" t="str">
        <x:v>Mantener x como eje de control y añadir selección A/B</x:v>
      </x:c>
      <x:c r="D8" s="14" t="str">
        <x:v>El jugador decide cuándo cambiar de profundidad</x:v>
      </x:c>
      <x:c r="E8" s="14" t="str">
        <x:v>RQ-003;RQ-038</x:v>
      </x:c>
      <x:c r="F8" s="14" t="str">
        <x:v>P1</x:v>
      </x:c>
    </x:row>
    <x:row r="9" ht="60" customHeight="1">
      <x:c r="A9" s="9" t="str">
        <x:v>Nave</x:v>
      </x:c>
      <x:c r="B9" s="9" t="str">
        <x:v>Sprite</x:v>
      </x:c>
      <x:c r="C9" s="9" t="str">
        <x:v>Malla con cuerpo, alas, motores y normales</x:v>
      </x:c>
      <x:c r="D9" s="9" t="str">
        <x:v>Volumen reconocible desde dos ángulos</x:v>
      </x:c>
      <x:c r="E9" s="9" t="str">
        <x:v>RQ-031</x:v>
      </x:c>
      <x:c r="F9" s="9" t="str">
        <x:v>P0</x:v>
      </x:c>
    </x:row>
    <x:row r="10" ht="60" customHeight="1">
      <x:c r="A10" s="14" t="str">
        <x:v>Enemigos</x:v>
      </x:c>
      <x:c r="B10" s="14" t="str">
        <x:v>Siluetas de píxeles</x:v>
      </x:c>
      <x:c r="C10" s="14" t="str">
        <x:v>Tres mallas distinguibles por geometría</x:v>
      </x:c>
      <x:c r="D10" s="14" t="str">
        <x:v>Tipo reconocible con color reducido</x:v>
      </x:c>
      <x:c r="E10" s="14" t="str">
        <x:v>RQ-031;RQ-033</x:v>
      </x:c>
      <x:c r="F10" s="14" t="str">
        <x:v>P0</x:v>
      </x:c>
    </x:row>
    <x:row r="11" ht="60" customHeight="1">
      <x:c r="A11" s="9" t="str">
        <x:v>Escena</x:v>
      </x:c>
      <x:c r="B11" s="9" t="str">
        <x:v>Fondo plano</x:v>
      </x:c>
      <x:c r="C11" s="9" t="str">
        <x:v>Campo 3D con referencias discretas de profundidad</x:v>
      </x:c>
      <x:c r="D11" s="9" t="str">
        <x:v>Contexto espacial sin tapar amenazas</x:v>
      </x:c>
      <x:c r="E11" s="9" t="str">
        <x:v>RQ-034;RQ-036</x:v>
      </x:c>
      <x:c r="F11" s="9" t="str">
        <x:v>P0</x:v>
      </x:c>
    </x:row>
    <x:row r="12" ht="60" customHeight="1">
      <x:c r="A12" s="14" t="str">
        <x:v>Cámara</x:v>
      </x:c>
      <x:c r="B12" s="14" t="str">
        <x:v>Vista plana fija</x:v>
      </x:c>
      <x:c r="C12" s="14" t="str">
        <x:v>Cámara perspectiva fija calibrada a dos aspectos</x:v>
      </x:c>
      <x:c r="D12" s="14" t="str">
        <x:v>Perspectiva legible, sin vuelo libre</x:v>
      </x:c>
      <x:c r="E12" s="14" t="str">
        <x:v>RQ-032;RQ-036</x:v>
      </x:c>
      <x:c r="F12" s="14" t="str">
        <x:v>P0</x:v>
      </x:c>
    </x:row>
    <x:row r="13" ht="60" customHeight="1">
      <x:c r="A13" s="9" t="str">
        <x:v>Formación</x:v>
      </x:c>
      <x:c r="B13" s="9" t="str">
        <x:v>Posiciones de pantalla</x:v>
      </x:c>
      <x:c r="C13" s="9" t="str">
        <x:v>Slots en coordenadas del mundo</x:v>
      </x:c>
      <x:c r="D13" s="9" t="str">
        <x:v>Escala y límites independientes de resolución</x:v>
      </x:c>
      <x:c r="E13" s="9" t="str">
        <x:v>RQ-009;RQ-032</x:v>
      </x:c>
      <x:c r="F13" s="9" t="str">
        <x:v>P0</x:v>
      </x:c>
    </x:row>
    <x:row r="14" ht="60" customHeight="1">
      <x:c r="A14" s="14" t="str">
        <x:v>Picado</x:v>
      </x:c>
      <x:c r="B14" s="14" t="str">
        <x:v>Trayectoria plana</x:v>
      </x:c>
      <x:c r="C14" s="14" t="str">
        <x:v>Ruta en mundo y modelo orientado por tangente</x:v>
      </x:c>
      <x:c r="D14" s="14" t="str">
        <x:v>Alabeo y volumen visibles sin collider engañoso</x:v>
      </x:c>
      <x:c r="E14" s="14" t="str">
        <x:v>RQ-011;RQ-035</x:v>
      </x:c>
      <x:c r="F14" s="14" t="str">
        <x:v>P0</x:v>
      </x:c>
    </x:row>
    <x:row r="15" ht="60" customHeight="1">
      <x:c r="A15" s="9" t="str">
        <x:v>Proyectiles</x:v>
      </x:c>
      <x:c r="B15" s="9" t="str">
        <x:v>Trazos en pantalla</x:v>
      </x:c>
      <x:c r="C15" s="9" t="str">
        <x:v>Objetos del mundo ligados a un plano</x:v>
      </x:c>
      <x:c r="D15" s="9" t="str">
        <x:v>Una bala A atraviesa visualmente B sin daño</x:v>
      </x:c>
      <x:c r="E15" s="9" t="str">
        <x:v>RQ-041;RQ-042</x:v>
      </x:c>
      <x:c r="F15" s="9" t="str">
        <x:v>P1</x:v>
      </x:c>
    </x:row>
    <x:row r="16" ht="60" customHeight="1">
      <x:c r="A16" s="14" t="str">
        <x:v>Colisiones</x:v>
      </x:c>
      <x:c r="B16" s="14" t="str">
        <x:v>Contacto en pantalla</x:v>
      </x:c>
      <x:c r="C16" s="14" t="str">
        <x:v>Filtrado lógico por plano y barrido en mundo</x:v>
      </x:c>
      <x:c r="D16" s="14" t="str">
        <x:v>Un impacto no depende de la proyección</x:v>
      </x:c>
      <x:c r="E16" s="14" t="str">
        <x:v>RQ-021;RQ-041</x:v>
      </x:c>
      <x:c r="F16" s="14" t="str">
        <x:v>P1</x:v>
      </x:c>
    </x:row>
    <x:row r="17" ht="60" customHeight="1">
      <x:c r="A17" s="9" t="str">
        <x:v>Iluminación</x:v>
      </x:c>
      <x:c r="B17" s="9" t="str">
        <x:v>Colores predefinidos</x:v>
      </x:c>
      <x:c r="C17" s="9" t="str">
        <x:v>Respuesta de normales y materiales a la luz</x:v>
      </x:c>
      <x:c r="D17" s="9" t="str">
        <x:v>Cambiar luz permite apreciar caras</x:v>
      </x:c>
      <x:c r="E17" s="9" t="str">
        <x:v>RQ-033</x:v>
      </x:c>
      <x:c r="F17" s="9" t="str">
        <x:v>P0</x:v>
      </x:c>
    </x:row>
    <x:row r="18" ht="60" customHeight="1">
      <x:c r="A18" s="14" t="str">
        <x:v>Oclusión</x:v>
      </x:c>
      <x:c r="B18" s="14" t="str">
        <x:v>Orden de sprites</x:v>
      </x:c>
      <x:c r="C18" s="14" t="str">
        <x:v>Depth buffer para geometría opaca</x:v>
      </x:c>
      <x:c r="D18" s="14" t="str">
        <x:v>Cercano/lejos correcto al invertir dibujo</x:v>
      </x:c>
      <x:c r="E18" s="14" t="str">
        <x:v>RQ-034</x:v>
      </x:c>
      <x:c r="F18" s="14" t="str">
        <x:v>P0</x:v>
      </x:c>
    </x:row>
    <x:row r="19" ht="60" customHeight="1">
      <x:c r="A19" s="9" t="str">
        <x:v>Cambio z</x:v>
      </x:c>
      <x:c r="B19" s="9" t="str">
        <x:v>Ausente</x:v>
      </x:c>
      <x:c r="C19" s="9" t="str">
        <x:v>Interpolación real z durante 0,25 s</x:v>
      </x:c>
      <x:c r="D19" s="9" t="str">
        <x:v>Movimiento entre planos con bloqueo de disparo</x:v>
      </x:c>
      <x:c r="E19" s="9" t="str">
        <x:v>RQ-038;RQ-039</x:v>
      </x:c>
      <x:c r="F19" s="9" t="str">
        <x:v>P1</x:v>
      </x:c>
    </x:row>
    <x:row r="20" ht="60" customHeight="1">
      <x:c r="A20" s="14" t="str">
        <x:v>Jefe</x:v>
      </x:c>
      <x:c r="B20" s="14" t="str">
        <x:v>Referencia de la serie</x:v>
      </x:c>
      <x:c r="C20" s="14" t="str">
        <x:v>Jefe volumétrico con dos fases y aviso A/B</x:v>
      </x:c>
      <x:c r="D20" s="14" t="str">
        <x:v>La profundidad obliga a escoger plano</x:v>
      </x:c>
      <x:c r="E20" s="14" t="str">
        <x:v>RQ-018;RQ-045</x:v>
      </x:c>
      <x:c r="F20" s="14" t="str">
        <x:v>P1</x:v>
      </x:c>
    </x:row>
    <x:row r="21" ht="60" customHeight="1">
      <x:c r="A21" s="9" t="str">
        <x:v>HUD</x:v>
      </x:c>
      <x:c r="B21" s="9" t="str">
        <x:v>Vida y puntos</x:v>
      </x:c>
      <x:c r="C21" s="9" t="str">
        <x:v>Añadir plano, transición y recarga</x:v>
      </x:c>
      <x:c r="D21" s="9" t="str">
        <x:v>Color, letra y forma redundantes</x:v>
      </x:c>
      <x:c r="E21" s="9" t="str">
        <x:v>RQ-037;RQ-043</x:v>
      </x:c>
      <x:c r="F21" s="9" t="str">
        <x:v>P1</x:v>
      </x:c>
    </x:row>
    <x:row r="22" ht="60" customHeight="1">
      <x:c r="A22" s="14" t="str">
        <x:v>Rescate</x:v>
      </x:c>
      <x:c r="B22" s="14" t="str">
        <x:v>Doble nave como referencia</x:v>
      </x:c>
      <x:c r="C22" s="14" t="str">
        <x:v>Aliada cautiva opcional y acoplamiento 3D</x:v>
      </x:c>
      <x:c r="D22" s="14" t="str">
        <x:v>Recompensa con hitbox combinada</x:v>
      </x:c>
      <x:c r="E22" s="14" t="str">
        <x:v>RQ-051;RQ-052</x:v>
      </x:c>
      <x:c r="F22" s="14" t="str">
        <x:v>P2</x:v>
      </x:c>
    </x:row>
    <x:row r="23" ht="20" customHeight="1">
      <x:c r="A23" s="4"/>
      <x:c r="B23" s="4"/>
      <x:c r="C23" s="4"/>
      <x:c r="D23" s="4"/>
      <x:c r="E23" s="4"/>
      <x:c r="F23" s="4"/>
    </x:row>
    <x:row r="24" ht="20" customHeight="1">
      <x:c r="A24" s="4"/>
      <x:c r="B24" s="4"/>
      <x:c r="C24" s="4"/>
      <x:c r="D24" s="4"/>
      <x:c r="E24" s="4"/>
      <x:c r="F24" s="4"/>
    </x:row>
    <x:row r="25" ht="20" customHeight="1">
      <x:c r="A25" s="4"/>
      <x:c r="B25" s="4"/>
      <x:c r="C25" s="4"/>
      <x:c r="D25" s="4"/>
      <x:c r="E25" s="4"/>
      <x:c r="F25" s="4"/>
    </x:row>
    <x:row r="26" ht="20" customHeight="1">
      <x:c r="A26" s="4"/>
      <x:c r="B26" s="4"/>
      <x:c r="C26" s="4"/>
      <x:c r="D26" s="4"/>
      <x:c r="E26" s="4"/>
      <x:c r="F26" s="4"/>
    </x:row>
    <x:row r="27" ht="20" customHeight="1">
      <x:c r="A27" s="4"/>
      <x:c r="B27" s="4"/>
      <x:c r="C27" s="4"/>
      <x:c r="D27" s="4"/>
      <x:c r="E27" s="4"/>
      <x:c r="F27" s="4"/>
    </x:row>
    <x:row r="28" ht="20" customHeight="1">
      <x:c r="A28" s="4"/>
      <x:c r="B28" s="4"/>
      <x:c r="C28" s="4"/>
      <x:c r="D28" s="4"/>
      <x:c r="E28" s="4"/>
      <x:c r="F28" s="4"/>
    </x:row>
    <x:row r="29" ht="20" customHeight="1">
      <x:c r="A29" s="4"/>
      <x:c r="B29" s="4"/>
      <x:c r="C29" s="4"/>
      <x:c r="D29" s="4"/>
      <x:c r="E29" s="4"/>
      <x:c r="F29" s="4"/>
    </x:row>
    <x:row r="30" ht="20" customHeight="1">
      <x:c r="A30" s="4"/>
      <x:c r="B30" s="4"/>
      <x:c r="C30" s="4"/>
      <x:c r="D30" s="4"/>
      <x:c r="E30" s="4"/>
      <x:c r="F30" s="4"/>
    </x:row>
  </x:sheetData>
  <x:pageMargins left="0.7" right="0.7" top="0.75" bottom="0.75" header="0.3" footer="0.3"/>
  <x:tableParts count="1">
    <x:tablePart xmlns:r="http://schemas.openxmlformats.org/officeDocument/2006/relationships" r:id="R4c4be4264cba47be"/>
  </x:tableParts>
</x:worksheet>
</file>

<file path=xl/worksheets/sheet5.xml><?xml version="1.0" encoding="utf-8"?>
<x:worksheet xmlns:x="http://schemas.openxmlformats.org/spreadsheetml/2006/main">
  <x:sheetPr>
    <x:tabColor rgb="FF153553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38" hidden="0" customWidth="1"/>
    <x:col min="4" max="4" width="26" hidden="0" customWidth="1"/>
    <x:col min="5" max="5" width="55" hidden="0" customWidth="1"/>
    <x:col min="6" max="6" width="48" hidden="0" customWidth="1"/>
    <x:col min="7" max="7" width="14" hidden="0" customWidth="1"/>
  </x:cols>
  <x:sheetData>
    <x:row r="1" ht="20" customHeight="1">
      <x:c r="A1" s="4"/>
      <x:c r="B1" s="4"/>
      <x:c r="C1" s="4"/>
      <x:c r="D1" s="4"/>
      <x:c r="E1" s="4"/>
      <x:c r="F1" s="4"/>
      <x:c r="G1" s="4"/>
    </x:row>
    <x:row r="2" ht="20" customHeight="1">
      <x:c r="A2" s="6" t="str">
        <x:v>Transiciones de juego y entidades</x:v>
      </x:c>
      <x:c r="B2" s="4"/>
      <x:c r="C2" s="4"/>
      <x:c r="D2" s="4"/>
      <x:c r="E2" s="4"/>
      <x:c r="F2" s="4"/>
      <x:c r="G2" s="4"/>
    </x:row>
    <x:row r="3" ht="20" customHeight="1">
      <x:c r="A3" s="4"/>
      <x:c r="B3" s="4"/>
      <x:c r="C3" s="4"/>
      <x:c r="D3" s="4"/>
      <x:c r="E3" s="4"/>
      <x:c r="F3" s="4"/>
      <x:c r="G3" s="4"/>
    </x:row>
    <x:row r="4" ht="20" customHeight="1">
      <x:c r="A4" s="8" t="str">
        <x:v>Precondición, efecto y entrada admitida; usar enum class y eventos únicos.</x:v>
      </x:c>
      <x:c r="B4" s="4"/>
      <x:c r="C4" s="4"/>
      <x:c r="D4" s="4"/>
      <x:c r="E4" s="4"/>
      <x:c r="F4" s="4"/>
      <x:c r="G4" s="4"/>
    </x:row>
    <x:row r="5" ht="20" customHeight="1">
      <x:c r="A5" s="4"/>
      <x:c r="B5" s="4"/>
      <x:c r="C5" s="4"/>
      <x:c r="D5" s="4"/>
      <x:c r="E5" s="4"/>
      <x:c r="F5" s="4"/>
      <x:c r="G5" s="4"/>
    </x:row>
    <x:row r="6" ht="20" customHeight="1">
      <x:c r="A6" s="4"/>
      <x:c r="B6" s="4"/>
      <x:c r="C6" s="4"/>
      <x:c r="D6" s="4"/>
      <x:c r="E6" s="4"/>
      <x:c r="F6" s="4"/>
      <x:c r="G6" s="4"/>
    </x:row>
    <x:row r="7" ht="34" customHeight="1">
      <x:c r="A7" s="13" t="str">
        <x:v>Entidad</x:v>
      </x:c>
      <x:c r="B7" s="13" t="str">
        <x:v>Estado origen</x:v>
      </x:c>
      <x:c r="C7" s="13" t="str">
        <x:v>Evento o condición</x:v>
      </x:c>
      <x:c r="D7" s="13" t="str">
        <x:v>Estado destino</x:v>
      </x:c>
      <x:c r="E7" s="13" t="str">
        <x:v>Efecto</x:v>
      </x:c>
      <x:c r="F7" s="13" t="str">
        <x:v>Entradas y límites</x:v>
      </x:c>
      <x:c r="G7" s="13" t="str">
        <x:v>Requisito</x:v>
      </x:c>
    </x:row>
    <x:row r="8" ht="60" customHeight="1">
      <x:c r="A8" s="14" t="str">
        <x:v>Partida</x:v>
      </x:c>
      <x:c r="B8" s="14" t="str">
        <x:v>Menú</x:v>
      </x:c>
      <x:c r="C8" s="14" t="str">
        <x:v>Iniciar</x:v>
      </x:c>
      <x:c r="D8" s="14" t="str">
        <x:v>Intro</x:v>
      </x:c>
      <x:c r="E8" s="14" t="str">
        <x:v>Crear sesión limpia; 3 vidas; 0 puntos</x:v>
      </x:c>
      <x:c r="F8" s="14" t="str">
        <x:v>Solo botón iniciar</x:v>
      </x:c>
      <x:c r="G8" s="14" t="str">
        <x:v>RQ-028</x:v>
      </x:c>
    </x:row>
    <x:row r="9" ht="60" customHeight="1">
      <x:c r="A9" s="9" t="str">
        <x:v>Partida</x:v>
      </x:c>
      <x:c r="B9" s="9" t="str">
        <x:v>Intro</x:v>
      </x:c>
      <x:c r="C9" s="9" t="str">
        <x:v>2 s activos</x:v>
      </x:c>
      <x:c r="D9" s="9" t="str">
        <x:v>Jugando</x:v>
      </x:c>
      <x:c r="E9" s="9" t="str">
        <x:v>Crear oleada y activar entrada</x:v>
      </x:c>
      <x:c r="F9" s="9" t="str">
        <x:v>P pausa; resto ignorado</x:v>
      </x:c>
      <x:c r="G9" s="9" t="str">
        <x:v>RQ-001</x:v>
      </x:c>
    </x:row>
    <x:row r="10" ht="60" customHeight="1">
      <x:c r="A10" s="14" t="str">
        <x:v>Partida</x:v>
      </x:c>
      <x:c r="B10" s="14" t="str">
        <x:v>Jugando</x:v>
      </x:c>
      <x:c r="C10" s="14" t="str">
        <x:v>Todos destruidos y spawn terminado</x:v>
      </x:c>
      <x:c r="D10" s="14" t="str">
        <x:v>Transición</x:v>
      </x:c>
      <x:c r="E10" s="14" t="str">
        <x:v>Limpiar balas hostiles y esperar 2 s</x:v>
      </x:c>
      <x:c r="F10" s="14" t="str">
        <x:v>P pausa</x:v>
      </x:c>
      <x:c r="G10" s="14" t="str">
        <x:v>RQ-017</x:v>
      </x:c>
    </x:row>
    <x:row r="11" ht="60" customHeight="1">
      <x:c r="A11" s="9" t="str">
        <x:v>Partida</x:v>
      </x:c>
      <x:c r="B11" s="9" t="str">
        <x:v>Transición</x:v>
      </x:c>
      <x:c r="C11" s="9" t="str">
        <x:v>2 s y oleada &lt;3</x:v>
      </x:c>
      <x:c r="D11" s="9" t="str">
        <x:v>Intro</x:v>
      </x:c>
      <x:c r="E11" s="9" t="str">
        <x:v>Incrementar índice de oleada</x:v>
      </x:c>
      <x:c r="F11" s="9" t="str">
        <x:v>P pausa</x:v>
      </x:c>
      <x:c r="G11" s="9" t="str">
        <x:v>RQ-014</x:v>
      </x:c>
    </x:row>
    <x:row r="12" ht="60" customHeight="1">
      <x:c r="A12" s="14" t="str">
        <x:v>Partida</x:v>
      </x:c>
      <x:c r="B12" s="14" t="str">
        <x:v>Transición</x:v>
      </x:c>
      <x:c r="C12" s="14" t="str">
        <x:v>2 s tras oleada 3</x:v>
      </x:c>
      <x:c r="D12" s="14" t="str">
        <x:v>Jefe</x:v>
      </x:c>
      <x:c r="E12" s="14" t="str">
        <x:v>Crear jefe de 24 hp</x:v>
      </x:c>
      <x:c r="F12" s="14" t="str">
        <x:v>P pausa</x:v>
      </x:c>
      <x:c r="G12" s="14" t="str">
        <x:v>RQ-018</x:v>
      </x:c>
    </x:row>
    <x:row r="13" ht="60" customHeight="1">
      <x:c r="A13" s="9" t="str">
        <x:v>Partida</x:v>
      </x:c>
      <x:c r="B13" s="9" t="str">
        <x:v>Jugando o Jefe</x:v>
      </x:c>
      <x:c r="C13" s="9" t="str">
        <x:v>Vidas=0</x:v>
      </x:c>
      <x:c r="D13" s="9" t="str">
        <x:v>Derrota</x:v>
      </x:c>
      <x:c r="E13" s="9" t="str">
        <x:v>Bloquear daño y nuevas emisiones</x:v>
      </x:c>
      <x:c r="F13" s="9" t="str">
        <x:v>Reinicio o menú</x:v>
      </x:c>
      <x:c r="G13" s="9" t="str">
        <x:v>RQ-029</x:v>
      </x:c>
    </x:row>
    <x:row r="14" ht="60" customHeight="1">
      <x:c r="A14" s="14" t="str">
        <x:v>Partida</x:v>
      </x:c>
      <x:c r="B14" s="14" t="str">
        <x:v>Jefe</x:v>
      </x:c>
      <x:c r="C14" s="14" t="str">
        <x:v>hp=0 y vidas&gt;0</x:v>
      </x:c>
      <x:c r="D14" s="14" t="str">
        <x:v>Victoria</x:v>
      </x:c>
      <x:c r="E14" s="14" t="str">
        <x:v>Limpiar amenazas; guardar resultado</x:v>
      </x:c>
      <x:c r="F14" s="14" t="str">
        <x:v>Reinicio o menú</x:v>
      </x:c>
      <x:c r="G14" s="14" t="str">
        <x:v>RQ-029</x:v>
      </x:c>
    </x:row>
    <x:row r="15" ht="60" customHeight="1">
      <x:c r="A15" s="9" t="str">
        <x:v>Partida</x:v>
      </x:c>
      <x:c r="B15" s="9" t="str">
        <x:v>Estado activo</x:v>
      </x:c>
      <x:c r="C15" s="9" t="str">
        <x:v>P o pérdida de foco</x:v>
      </x:c>
      <x:c r="D15" s="9" t="str">
        <x:v>Pausa</x:v>
      </x:c>
      <x:c r="E15" s="9" t="str">
        <x:v>Guardar estado previo; limpiar input</x:v>
      </x:c>
      <x:c r="F15" s="9" t="str">
        <x:v>P reanuda</x:v>
      </x:c>
      <x:c r="G15" s="9" t="str">
        <x:v>RQ-026</x:v>
      </x:c>
    </x:row>
    <x:row r="16" ht="60" customHeight="1">
      <x:c r="A16" s="14" t="str">
        <x:v>Partida</x:v>
      </x:c>
      <x:c r="B16" s="14" t="str">
        <x:v>Pausa</x:v>
      </x:c>
      <x:c r="C16" s="14" t="str">
        <x:v>P recién pulsada</x:v>
      </x:c>
      <x:c r="D16" s="14" t="str">
        <x:v>Estado previo</x:v>
      </x:c>
      <x:c r="E16" s="14" t="str">
        <x:v>Reiniciar reloj real; no recuperar inputs</x:v>
      </x:c>
      <x:c r="F16" s="14" t="str">
        <x:v>Exigir nueva pulsación</x:v>
      </x:c>
      <x:c r="G16" s="14" t="str">
        <x:v>RQ-026</x:v>
      </x:c>
    </x:row>
    <x:row r="17" ht="60" customHeight="1">
      <x:c r="A17" s="9" t="str">
        <x:v>Partida</x:v>
      </x:c>
      <x:c r="B17" s="9" t="str">
        <x:v>Resultado</x:v>
      </x:c>
      <x:c r="C17" s="9" t="str">
        <x:v>Reiniciar</x:v>
      </x:c>
      <x:c r="D17" s="9" t="str">
        <x:v>Intro</x:v>
      </x:c>
      <x:c r="E17" s="9" t="str">
        <x:v>Eliminar todas las entidades y timers</x:v>
      </x:c>
      <x:c r="F17" s="9" t="str">
        <x:v>Controles limpios</x:v>
      </x:c>
      <x:c r="G17" s="9" t="str">
        <x:v>RQ-028</x:v>
      </x:c>
    </x:row>
    <x:row r="18" ht="60" customHeight="1">
      <x:c r="A18" s="14" t="str">
        <x:v>Jugador</x:v>
      </x:c>
      <x:c r="B18" s="14" t="str">
        <x:v>Vivo</x:v>
      </x:c>
      <x:c r="C18" s="14" t="str">
        <x:v>Daño válido</x:v>
      </x:c>
      <x:c r="D18" s="14" t="str">
        <x:v>Espera</x:v>
      </x:c>
      <x:c r="E18" s="14" t="str">
        <x:v>Restar una vida; desactivar control</x:v>
      </x:c>
      <x:c r="F18" s="14" t="str">
        <x:v>Sin entradas de combate</x:v>
      </x:c>
      <x:c r="G18" s="14" t="str">
        <x:v>RQ-024</x:v>
      </x:c>
    </x:row>
    <x:row r="19" ht="60" customHeight="1">
      <x:c r="A19" s="9" t="str">
        <x:v>Jugador</x:v>
      </x:c>
      <x:c r="B19" s="9" t="str">
        <x:v>Espera</x:v>
      </x:c>
      <x:c r="C19" s="9" t="str">
        <x:v>0,75 s; vidas&gt;0</x:v>
      </x:c>
      <x:c r="D19" s="9" t="str">
        <x:v>Invulnerable</x:v>
      </x:c>
      <x:c r="E19" s="9" t="str">
        <x:v>x=0; mismo plano; inv=1,5 s</x:v>
      </x:c>
      <x:c r="F19" s="9" t="str">
        <x:v>Movimiento y disparo</x:v>
      </x:c>
      <x:c r="G19" s="9" t="str">
        <x:v>RQ-025</x:v>
      </x:c>
    </x:row>
    <x:row r="20" ht="60" customHeight="1">
      <x:c r="A20" s="14" t="str">
        <x:v>Jugador</x:v>
      </x:c>
      <x:c r="B20" s="14" t="str">
        <x:v>Invulnerable</x:v>
      </x:c>
      <x:c r="C20" s="14" t="str">
        <x:v>Timer agotado</x:v>
      </x:c>
      <x:c r="D20" s="14" t="str">
        <x:v>Vivo</x:v>
      </x:c>
      <x:c r="E20" s="14" t="str">
        <x:v>Activar recepción de daño</x:v>
      </x:c>
      <x:c r="F20" s="14" t="str">
        <x:v>Movimiento y disparo</x:v>
      </x:c>
      <x:c r="G20" s="14" t="str">
        <x:v>RQ-025</x:v>
      </x:c>
    </x:row>
    <x:row r="21" ht="60" customHeight="1">
      <x:c r="A21" s="9" t="str">
        <x:v>Jugador</x:v>
      </x:c>
      <x:c r="B21" s="9" t="str">
        <x:v>Vivo o Invulnerable</x:v>
      </x:c>
      <x:c r="C21" s="9" t="str">
        <x:v>E libre</x:v>
      </x:c>
      <x:c r="D21" s="9" t="str">
        <x:v>Cambiando</x:v>
      </x:c>
      <x:c r="E21" s="9" t="str">
        <x:v>Interpolar z; bloquear tiro y colisión</x:v>
      </x:c>
      <x:c r="F21" s="9" t="str">
        <x:v>Movimiento x; E ignorada</x:v>
      </x:c>
      <x:c r="G21" s="9" t="str">
        <x:v>RQ-039</x:v>
      </x:c>
    </x:row>
    <x:row r="22" ht="60" customHeight="1">
      <x:c r="A22" s="14" t="str">
        <x:v>Jugador</x:v>
      </x:c>
      <x:c r="B22" s="14" t="str">
        <x:v>Cambiando</x:v>
      </x:c>
      <x:c r="C22" s="14" t="str">
        <x:v>0,25 s</x:v>
      </x:c>
      <x:c r="D22" s="14" t="str">
        <x:v>Vivo o Invulnerable según timer restante</x:v>
      </x:c>
      <x:c r="E22" s="14" t="str">
        <x:v>Fijar destino; iniciar cooldown; conservar inv restante</x:v>
      </x:c>
      <x:c r="F22" s="14" t="str">
        <x:v>Pausa conserva progreso</x:v>
      </x:c>
      <x:c r="G22" s="14" t="str">
        <x:v>RQ-039</x:v>
      </x:c>
    </x:row>
    <x:row r="23" ht="60" customHeight="1">
      <x:c r="A23" s="9" t="str">
        <x:v>Enemigo</x:v>
      </x:c>
      <x:c r="B23" s="9" t="str">
        <x:v>Entrando</x:v>
      </x:c>
      <x:c r="C23" s="9" t="str">
        <x:v>Ruta terminada</x:v>
      </x:c>
      <x:c r="D23" s="9" t="str">
        <x:v>Formación</x:v>
      </x:c>
      <x:c r="E23" s="9" t="str">
        <x:v>Ocupar slot actual</x:v>
      </x:c>
      <x:c r="F23" s="9" t="str">
        <x:v>Recibe daño si está activo</x:v>
      </x:c>
      <x:c r="G23" s="9" t="str">
        <x:v>RQ-008</x:v>
      </x:c>
    </x:row>
    <x:row r="24" ht="60" customHeight="1">
      <x:c r="A24" s="14" t="str">
        <x:v>Enemigo</x:v>
      </x:c>
      <x:c r="B24" s="14" t="str">
        <x:v>Formación</x:v>
      </x:c>
      <x:c r="C24" s="14" t="str">
        <x:v>Selección del director</x:v>
      </x:c>
      <x:c r="D24" s="14" t="str">
        <x:v>Aviso</x:v>
      </x:c>
      <x:c r="E24" s="14" t="str">
        <x:v>Destacar modelo; timer 0,65 s</x:v>
      </x:c>
      <x:c r="F24" s="14" t="str">
        <x:v>Sin disparo en aviso</x:v>
      </x:c>
      <x:c r="G24" s="14" t="str">
        <x:v>RQ-010</x:v>
      </x:c>
    </x:row>
    <x:row r="25" ht="60" customHeight="1">
      <x:c r="A25" s="9" t="str">
        <x:v>Enemigo</x:v>
      </x:c>
      <x:c r="B25" s="9" t="str">
        <x:v>Aviso</x:v>
      </x:c>
      <x:c r="C25" s="9" t="str">
        <x:v>Timer agotado</x:v>
      </x:c>
      <x:c r="D25" s="9" t="str">
        <x:v>Picado</x:v>
      </x:c>
      <x:c r="E25" s="9" t="str">
        <x:v>Fijar targetX y ruta</x:v>
      </x:c>
      <x:c r="F25" s="9" t="str">
        <x:v>Puede disparar una vez</x:v>
      </x:c>
      <x:c r="G25" s="9" t="str">
        <x:v>RQ-011</x:v>
      </x:c>
    </x:row>
    <x:row r="26" ht="60" customHeight="1">
      <x:c r="A26" s="14" t="str">
        <x:v>Enemigo</x:v>
      </x:c>
      <x:c r="B26" s="14" t="str">
        <x:v>Picado</x:v>
      </x:c>
      <x:c r="C26" s="14" t="str">
        <x:v>Ruta terminada</x:v>
      </x:c>
      <x:c r="D26" s="14" t="str">
        <x:v>Retorno</x:v>
      </x:c>
      <x:c r="E26" s="14" t="str">
        <x:v>Ruta exterior hasta slot</x:v>
      </x:c>
      <x:c r="F26" s="14" t="str">
        <x:v>Sigue vivo fuera de pantalla</x:v>
      </x:c>
      <x:c r="G26" s="14" t="str">
        <x:v>RQ-012</x:v>
      </x:c>
    </x:row>
    <x:row r="27" ht="60" customHeight="1">
      <x:c r="A27" s="9" t="str">
        <x:v>Enemigo</x:v>
      </x:c>
      <x:c r="B27" s="9" t="str">
        <x:v>Retorno</x:v>
      </x:c>
      <x:c r="C27" s="9" t="str">
        <x:v>Slot alcanzado</x:v>
      </x:c>
      <x:c r="D27" s="9" t="str">
        <x:v>Formación</x:v>
      </x:c>
      <x:c r="E27" s="9" t="str">
        <x:v>Restaurar posición de formación</x:v>
      </x:c>
      <x:c r="F27" s="9" t="str">
        <x:v>Sin reasignar slot</x:v>
      </x:c>
      <x:c r="G27" s="9" t="str">
        <x:v>RQ-012</x:v>
      </x:c>
    </x:row>
    <x:row r="28" ht="60" customHeight="1">
      <x:c r="A28" s="14" t="str">
        <x:v>Enemigo</x:v>
      </x:c>
      <x:c r="B28" s="14" t="str">
        <x:v>Cualquier vivo</x:v>
      </x:c>
      <x:c r="C28" s="14" t="str">
        <x:v>hp=0</x:v>
      </x:c>
      <x:c r="D28" s="14" t="str">
        <x:v>Destruido</x:v>
      </x:c>
      <x:c r="E28" s="14" t="str">
        <x:v>Evento único; collider inactivo</x:v>
      </x:c>
      <x:c r="F28" s="14" t="str">
        <x:v>Sin más daño ni puntos</x:v>
      </x:c>
      <x:c r="G28" s="14" t="str">
        <x:v>RQ-013</x:v>
      </x:c>
    </x:row>
    <x:row r="29" ht="60" customHeight="1">
      <x:c r="A29" s="9" t="str">
        <x:v>Jefe</x:v>
      </x:c>
      <x:c r="B29" s="9" t="str">
        <x:v>Entrada</x:v>
      </x:c>
      <x:c r="C29" s="9" t="str">
        <x:v>2 s</x:v>
      </x:c>
      <x:c r="D29" s="9" t="str">
        <x:v>Aviso</x:v>
      </x:c>
      <x:c r="E29" s="9" t="str">
        <x:v>Activar barra y patrón</x:v>
      </x:c>
      <x:c r="F29" s="9" t="str">
        <x:v>No recibe daño en Entrada</x:v>
      </x:c>
      <x:c r="G29" s="9" t="str">
        <x:v>RQ-018</x:v>
      </x:c>
    </x:row>
    <x:row r="30" ht="60" customHeight="1">
      <x:c r="A30" s="14" t="str">
        <x:v>Jefe</x:v>
      </x:c>
      <x:c r="B30" s="14" t="str">
        <x:v>Aviso</x:v>
      </x:c>
      <x:c r="C30" s="14" t="str">
        <x:v>0,8 s</x:v>
      </x:c>
      <x:c r="D30" s="14" t="str">
        <x:v>Ráfaga</x:v>
      </x:c>
      <x:c r="E30" s="14" t="str">
        <x:v>Fijar dirección de ataque</x:v>
      </x:c>
      <x:c r="F30" s="14" t="str">
        <x:v>P1 incluye cambio de 0,25 s</x:v>
      </x:c>
      <x:c r="G30" s="14" t="str">
        <x:v>RQ-045</x:v>
      </x:c>
    </x:row>
    <x:row r="31" ht="60" customHeight="1">
      <x:c r="A31" s="9" t="str">
        <x:v>Jefe</x:v>
      </x:c>
      <x:c r="B31" s="9" t="str">
        <x:v>Ráfaga</x:v>
      </x:c>
      <x:c r="C31" s="9" t="str">
        <x:v>1,8 s</x:v>
      </x:c>
      <x:c r="D31" s="9" t="str">
        <x:v>Recuperación</x:v>
      </x:c>
      <x:c r="E31" s="9" t="str">
        <x:v>Parar emisión</x:v>
      </x:c>
      <x:c r="F31" s="9" t="str">
        <x:v>Puede recibir daño</x:v>
      </x:c>
      <x:c r="G31" s="9" t="str">
        <x:v>RQ-019</x:v>
      </x:c>
    </x:row>
    <x:row r="32" ht="60" customHeight="1">
      <x:c r="A32" s="14" t="str">
        <x:v>Jefe</x:v>
      </x:c>
      <x:c r="B32" s="14" t="str">
        <x:v>Recuperación</x:v>
      </x:c>
      <x:c r="C32" s="14" t="str">
        <x:v>Timer de fase agotado</x:v>
      </x:c>
      <x:c r="D32" s="14" t="str">
        <x:v>Aviso</x:v>
      </x:c>
      <x:c r="E32" s="14" t="str">
        <x:v>Seleccionar fase según hp</x:v>
      </x:c>
      <x:c r="F32" s="14" t="str">
        <x:v>Cambio de fase solo aquí</x:v>
      </x:c>
      <x:c r="G32" s="14" t="str">
        <x:v>RQ-019</x:v>
      </x:c>
    </x:row>
    <x:row r="33" ht="60" customHeight="1">
      <x:c r="A33" s="9" t="str">
        <x:v>Aliada</x:v>
      </x:c>
      <x:c r="B33" s="9" t="str">
        <x:v>Cautiva</x:v>
      </x:c>
      <x:c r="C33" s="9" t="str">
        <x:v>Portador muere en Picado</x:v>
      </x:c>
      <x:c r="D33" s="9" t="str">
        <x:v>Liberada</x:v>
      </x:c>
      <x:c r="E33" s="9" t="str">
        <x:v>Desacoplar de enemigo</x:v>
      </x:c>
      <x:c r="F33" s="9" t="str">
        <x:v>P2; sin collider</x:v>
      </x:c>
      <x:c r="G33" s="9" t="str">
        <x:v>RQ-051</x:v>
      </x:c>
    </x:row>
    <x:row r="34" ht="60" customHeight="1">
      <x:c r="A34" s="14" t="str">
        <x:v>Aliada</x:v>
      </x:c>
      <x:c r="B34" s="14" t="str">
        <x:v>Liberada</x:v>
      </x:c>
      <x:c r="C34" s="14" t="str">
        <x:v>1 s</x:v>
      </x:c>
      <x:c r="D34" s="14" t="str">
        <x:v>Acoplada</x:v>
      </x:c>
      <x:c r="E34" s="14" t="str">
        <x:v>Activar parejas de disparos</x:v>
      </x:c>
      <x:c r="F34" s="14" t="str">
        <x:v>P2; dos colliders</x:v>
      </x:c>
      <x:c r="G34" s="14" t="str">
        <x:v>RQ-052</x:v>
      </x:c>
    </x:row>
    <x:row r="35" ht="60" customHeight="1">
      <x:c r="A35" s="9" t="str">
        <x:v>Aliada</x:v>
      </x:c>
      <x:c r="B35" s="9" t="str">
        <x:v>Acoplada</x:v>
      </x:c>
      <x:c r="C35" s="9" t="str">
        <x:v>Primer impacto válido</x:v>
      </x:c>
      <x:c r="D35" s="9" t="str">
        <x:v>Perdida</x:v>
      </x:c>
      <x:c r="E35" s="9" t="str">
        <x:v>Volver a nave simple; no restar vida</x:v>
      </x:c>
      <x:c r="F35" s="9" t="str">
        <x:v>P2; inv 1,5 s</x:v>
      </x:c>
      <x:c r="G35" s="9" t="str">
        <x:v>RQ-052</x:v>
      </x:c>
    </x:row>
    <x:row r="36" ht="20" customHeight="1">
      <x:c r="A36" s="4"/>
      <x:c r="B36" s="4"/>
      <x:c r="C36" s="4"/>
      <x:c r="D36" s="4"/>
      <x:c r="E36" s="4"/>
      <x:c r="F36" s="4"/>
      <x:c r="G36" s="4"/>
    </x:row>
    <x:row r="37" ht="20" customHeight="1">
      <x:c r="A37" s="4"/>
      <x:c r="B37" s="4"/>
      <x:c r="C37" s="4"/>
      <x:c r="D37" s="4"/>
      <x:c r="E37" s="4"/>
      <x:c r="F37" s="4"/>
      <x:c r="G37" s="4"/>
    </x:row>
    <x:row r="38" ht="20" customHeight="1">
      <x:c r="A38" s="4"/>
      <x:c r="B38" s="4"/>
      <x:c r="C38" s="4"/>
      <x:c r="D38" s="4"/>
      <x:c r="E38" s="4"/>
      <x:c r="F38" s="4"/>
      <x:c r="G38" s="4"/>
    </x:row>
    <x:row r="39" ht="20" customHeight="1">
      <x:c r="A39" s="4"/>
      <x:c r="B39" s="4"/>
      <x:c r="C39" s="4"/>
      <x:c r="D39" s="4"/>
      <x:c r="E39" s="4"/>
      <x:c r="F39" s="4"/>
      <x:c r="G39" s="4"/>
    </x:row>
    <x:row r="40" ht="20" customHeight="1">
      <x:c r="A40" s="4"/>
      <x:c r="B40" s="4"/>
      <x:c r="C40" s="4"/>
      <x:c r="D40" s="4"/>
      <x:c r="E40" s="4"/>
      <x:c r="F40" s="4"/>
      <x:c r="G40" s="4"/>
    </x:row>
    <x:row r="41" ht="20" customHeight="1">
      <x:c r="A41" s="4"/>
      <x:c r="B41" s="4"/>
      <x:c r="C41" s="4"/>
      <x:c r="D41" s="4"/>
      <x:c r="E41" s="4"/>
      <x:c r="F41" s="4"/>
      <x:c r="G41" s="4"/>
    </x:row>
    <x:row r="42" ht="20" customHeight="1">
      <x:c r="A42" s="4"/>
      <x:c r="B42" s="4"/>
      <x:c r="C42" s="4"/>
      <x:c r="D42" s="4"/>
      <x:c r="E42" s="4"/>
      <x:c r="F42" s="4"/>
      <x:c r="G42" s="4"/>
    </x:row>
    <x:row r="43" ht="20" customHeight="1">
      <x:c r="A43" s="4"/>
      <x:c r="B43" s="4"/>
      <x:c r="C43" s="4"/>
      <x:c r="D43" s="4"/>
      <x:c r="E43" s="4"/>
      <x:c r="F43" s="4"/>
      <x:c r="G43" s="4"/>
    </x:row>
    <x:row r="44" ht="20" customHeight="1">
      <x:c r="A44" s="4"/>
      <x:c r="B44" s="4"/>
      <x:c r="C44" s="4"/>
      <x:c r="D44" s="4"/>
      <x:c r="E44" s="4"/>
      <x:c r="F44" s="4"/>
      <x:c r="G44" s="4"/>
    </x:row>
    <x:row r="45" ht="20" customHeight="1">
      <x:c r="A45" s="4"/>
      <x:c r="B45" s="4"/>
      <x:c r="C45" s="4"/>
      <x:c r="D45" s="4"/>
      <x:c r="E45" s="4"/>
      <x:c r="F45" s="4"/>
      <x:c r="G45" s="4"/>
    </x:row>
  </x:sheetData>
  <x:pageMargins left="0.7" right="0.7" top="0.75" bottom="0.75" header="0.3" footer="0.3"/>
  <x:tableParts count="1">
    <x:tablePart xmlns:r="http://schemas.openxmlformats.org/officeDocument/2006/relationships" r:id="R8b3653e7b31140d1"/>
  </x:tableParts>
</x:worksheet>
</file>

<file path=xl/worksheets/sheet6.xml><?xml version="1.0" encoding="utf-8"?>
<x:worksheet xmlns:x="http://schemas.openxmlformats.org/spreadsheetml/2006/main">
  <x:sheetPr>
    <x:tabColor rgb="FF153553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3" hidden="0" customWidth="1"/>
    <x:col min="2" max="2" width="38" hidden="0" customWidth="1"/>
    <x:col min="3" max="3" width="50" hidden="0" customWidth="1"/>
    <x:col min="4" max="4" width="65" hidden="0" customWidth="1"/>
    <x:col min="5" max="5" width="28" hidden="0" customWidth="1"/>
    <x:col min="6" max="6" width="18" hidden="0" customWidth="1"/>
    <x:col min="7" max="7" width="35" hidden="0" customWidth="1"/>
  </x:cols>
  <x:sheetData>
    <x:row r="1" ht="20" customHeight="1">
      <x:c r="A1" s="4"/>
      <x:c r="B1" s="4"/>
      <x:c r="C1" s="4"/>
      <x:c r="D1" s="4"/>
      <x:c r="E1" s="4"/>
      <x:c r="F1" s="4"/>
      <x:c r="G1" s="4"/>
    </x:row>
    <x:row r="2" ht="20" customHeight="1">
      <x:c r="A2" s="6" t="str">
        <x:v>Registro de decisiones del diseño</x:v>
      </x:c>
      <x:c r="B2" s="4"/>
      <x:c r="C2" s="4"/>
      <x:c r="D2" s="4"/>
      <x:c r="E2" s="4"/>
      <x:c r="F2" s="4"/>
      <x:c r="G2" s="4"/>
    </x:row>
    <x:row r="3" ht="20" customHeight="1">
      <x:c r="A3" s="4"/>
      <x:c r="B3" s="4"/>
      <x:c r="C3" s="4"/>
      <x:c r="D3" s="4"/>
      <x:c r="E3" s="4"/>
      <x:c r="F3" s="4"/>
      <x:c r="G3" s="4"/>
    </x:row>
    <x:row r="4" ht="20" customHeight="1">
      <x:c r="A4" s="8" t="str">
        <x:v>Validar con el grupo antes de cambiar estado a Aprobada.</x:v>
      </x:c>
      <x:c r="B4" s="4"/>
      <x:c r="C4" s="4"/>
      <x:c r="D4" s="4"/>
      <x:c r="E4" s="4"/>
      <x:c r="F4" s="4"/>
      <x:c r="G4" s="4"/>
    </x:row>
    <x:row r="5" ht="20" customHeight="1">
      <x:c r="A5" s="4"/>
      <x:c r="B5" s="4"/>
      <x:c r="C5" s="4"/>
      <x:c r="D5" s="4"/>
      <x:c r="E5" s="4"/>
      <x:c r="F5" s="4"/>
      <x:c r="G5" s="4"/>
    </x:row>
    <x:row r="6" ht="20" customHeight="1">
      <x:c r="A6" s="4"/>
      <x:c r="B6" s="4"/>
      <x:c r="C6" s="4"/>
      <x:c r="D6" s="4"/>
      <x:c r="E6" s="4"/>
      <x:c r="F6" s="4"/>
      <x:c r="G6" s="4"/>
    </x:row>
    <x:row r="7" ht="34" customHeight="1">
      <x:c r="A7" s="13" t="str">
        <x:v>ID</x:v>
      </x:c>
      <x:c r="B7" s="13" t="str">
        <x:v>Decisión</x:v>
      </x:c>
      <x:c r="C7" s="13" t="str">
        <x:v>Alternativas</x:v>
      </x:c>
      <x:c r="D7" s="13" t="str">
        <x:v>Motivo</x:v>
      </x:c>
      <x:c r="E7" s="13" t="str">
        <x:v>Requisitos</x:v>
      </x:c>
      <x:c r="F7" s="13" t="str">
        <x:v>Estado</x:v>
      </x:c>
      <x:c r="G7" s="13" t="str">
        <x:v>Fecha y validadores</x:v>
      </x:c>
    </x:row>
    <x:row r="8" ht="60" customHeight="1">
      <x:c r="A8" s="14" t="str">
        <x:v>DEC-01</x:v>
      </x:c>
      <x:c r="B8" s="14" t="str">
        <x:v>Mantener control lateral</x:v>
      </x:c>
      <x:c r="C8" s="14" t="str">
        <x:v>Vuela libre / restringido</x:v>
      </x:c>
      <x:c r="D8" s="14" t="str">
        <x:v>Conservar lectura arcade y alcance</x:v>
      </x:c>
      <x:c r="E8" s="14" t="str">
        <x:v>RQ-003;RQ-036</x:v>
      </x:c>
      <x:c r="F8" s="16" t="str">
        <x:v>Propuesta</x:v>
      </x:c>
      <x:c r="G8" s="16" t="str"/>
    </x:row>
    <x:row r="9" ht="60" customHeight="1">
      <x:c r="A9" s="9" t="str">
        <x:v>DEC-02</x:v>
      </x:c>
      <x:c r="B9" s="9" t="str">
        <x:v>Añadir dos planos jugables</x:v>
      </x:c>
      <x:c r="C9" s="9" t="str">
        <x:v>Un plano / dos / continuo</x:v>
      </x:c>
      <x:c r="D9" s="9" t="str">
        <x:v>Elegir ataque y esquiva en profundidad</x:v>
      </x:c>
      <x:c r="E9" s="9" t="str">
        <x:v>RQ-038;RQ-041</x:v>
      </x:c>
      <x:c r="F9" s="16" t="str">
        <x:v>Propuesta</x:v>
      </x:c>
      <x:c r="G9" s="16" t="str"/>
    </x:row>
    <x:row r="10" ht="60" customHeight="1">
      <x:c r="A10" s="14" t="str">
        <x:v>DEC-03</x:v>
      </x:c>
      <x:c r="B10" s="14" t="str">
        <x:v>Colisión por plano y círculo</x:v>
      </x:c>
      <x:c r="C10" s="14" t="str">
        <x:v>Malla / esfera / círculo por plano</x:v>
      </x:c>
      <x:c r="D10" s="14" t="str">
        <x:v>Regla legible mientras z es discreta</x:v>
      </x:c>
      <x:c r="E10" s="14" t="str">
        <x:v>RQ-020;RQ-021;RQ-041</x:v>
      </x:c>
      <x:c r="F10" s="16" t="str">
        <x:v>Propuesta</x:v>
      </x:c>
      <x:c r="G10" s="16" t="str"/>
    </x:row>
    <x:row r="11" ht="60" customHeight="1">
      <x:c r="A11" s="9" t="str">
        <x:v>DEC-04</x:v>
      </x:c>
      <x:c r="B11" s="9" t="str">
        <x:v>Paso fijo con tiempo monotónico</x:v>
      </x:c>
      <x:c r="C11" s="9" t="str">
        <x:v>Variable / fijo</x:v>
      </x:c>
      <x:c r="D11" s="9" t="str">
        <x:v>Repetir pruebas de movimiento y cadencia</x:v>
      </x:c>
      <x:c r="E11" s="9" t="str">
        <x:v>RQ-046</x:v>
      </x:c>
      <x:c r="F11" s="16" t="str">
        <x:v>Propuesta</x:v>
      </x:c>
      <x:c r="G11" s="16" t="str"/>
    </x:row>
    <x:row r="12" ht="60" customHeight="1">
      <x:c r="A12" s="14" t="str">
        <x:v>DEC-05</x:v>
      </x:c>
      <x:c r="B12" s="14" t="str">
        <x:v>Transición sin colisión y con recarga</x:v>
      </x:c>
      <x:c r="C12" s="14" t="str">
        <x:v>Daño en tránsito / breve invulnerabilidad</x:v>
      </x:c>
      <x:c r="D12" s="14" t="str">
        <x:v>Regla táctica simple que debe equilibrarse</x:v>
      </x:c>
      <x:c r="E12" s="14" t="str">
        <x:v>RQ-039;RQ-040</x:v>
      </x:c>
      <x:c r="F12" s="16" t="str">
        <x:v>Propuesta</x:v>
      </x:c>
      <x:c r="G12" s="16" t="str"/>
    </x:row>
    <x:row r="13" ht="60" customHeight="1">
      <x:c r="A13" s="9" t="str">
        <x:v>DEC-06</x:v>
      </x:c>
      <x:c r="B13" s="9" t="str">
        <x:v>Derrota prevalece en doble muerte</x:v>
      </x:c>
      <x:c r="C13" s="9" t="str">
        <x:v>Victoria / derrota / empate</x:v>
      </x:c>
      <x:c r="D13" s="9" t="str">
        <x:v>Resolver final sin contradicción</x:v>
      </x:c>
      <x:c r="E13" s="9" t="str">
        <x:v>RQ-029</x:v>
      </x:c>
      <x:c r="F13" s="16" t="str">
        <x:v>Propuesta</x:v>
      </x:c>
      <x:c r="G13" s="16" t="str"/>
    </x:row>
    <x:row r="14" ht="60" customHeight="1">
      <x:c r="A14" s="14" t="str">
        <x:v>DEC-07</x:v>
      </x:c>
      <x:c r="B14" s="14" t="str">
        <x:v>Rescate como P2</x:v>
      </x:c>
      <x:c r="C14" s="14" t="str">
        <x:v>Integrar al inicio / al final</x:v>
      </x:c>
      <x:c r="D14" s="14" t="str">
        <x:v>No bloquear P0/P1</x:v>
      </x:c>
      <x:c r="E14" s="14" t="str">
        <x:v>RQ-051;RQ-052</x:v>
      </x:c>
      <x:c r="F14" s="16" t="str">
        <x:v>Propuesta</x:v>
      </x:c>
      <x:c r="G14" s="16" t="str"/>
    </x:row>
    <x:row r="15" ht="60" customHeight="1">
      <x:c r="A15" s="9" t="str">
        <x:v>DEC-08</x:v>
      </x:c>
      <x:c r="B15" s="9" t="str">
        <x:v>Geometría y collider separados</x:v>
      </x:c>
      <x:c r="C15" s="9" t="str">
        <x:v>Colisión por malla / aproximación</x:v>
      </x:c>
      <x:c r="D15" s="9" t="str">
        <x:v>Alabeo no cambia alcance de contactos</x:v>
      </x:c>
      <x:c r="E15" s="9" t="str">
        <x:v>RQ-031;RQ-035</x:v>
      </x:c>
      <x:c r="F15" s="16" t="str">
        <x:v>Propuesta</x:v>
      </x:c>
      <x:c r="G15" s="16" t="str"/>
    </x:row>
    <x:row r="16" ht="60" customHeight="1">
      <x:c r="A16" s="14" t="str">
        <x:v>DEC-09</x:v>
      </x:c>
      <x:c r="B16" s="14" t="str">
        <x:v>Cámara fija en partida</x:v>
      </x:c>
      <x:c r="C16" s="14" t="str">
        <x:v>Libre / fija / seguimiento</x:v>
      </x:c>
      <x:c r="D16" s="14" t="str">
        <x:v>Mantener amenazas legibles</x:v>
      </x:c>
      <x:c r="E16" s="14" t="str">
        <x:v>RQ-036</x:v>
      </x:c>
      <x:c r="F16" s="16" t="str">
        <x:v>Propuesta</x:v>
      </x:c>
      <x:c r="G16" s="16" t="str"/>
    </x:row>
    <x:row r="17" ht="60" customHeight="1">
      <x:c r="A17" s="9" t="str">
        <x:v>DEC-10</x:v>
      </x:c>
      <x:c r="B17" s="9" t="str">
        <x:v>Medir duración antes de prometer</x:v>
      </x:c>
      <x:c r="C17" s="9" t="str">
        <x:v>Tiempo supuesto / medición</x:v>
      </x:c>
      <x:c r="D17" s="9" t="str">
        <x:v>Comprobar objetivo 5 a 8 minutos</x:v>
      </x:c>
      <x:c r="E17" s="9" t="str">
        <x:v>RQ-002</x:v>
      </x:c>
      <x:c r="F17" s="16" t="str">
        <x:v>Propuesta</x:v>
      </x:c>
      <x:c r="G17" s="16" t="str"/>
    </x:row>
    <x:row r="18" ht="20" customHeight="1">
      <x:c r="A18" s="4"/>
      <x:c r="B18" s="4"/>
      <x:c r="C18" s="4"/>
      <x:c r="D18" s="4"/>
      <x:c r="E18" s="4"/>
      <x:c r="F18" s="4"/>
      <x:c r="G18" s="4"/>
    </x:row>
    <x:row r="19" ht="20" customHeight="1">
      <x:c r="A19" s="4"/>
      <x:c r="B19" s="4"/>
      <x:c r="C19" s="4"/>
      <x:c r="D19" s="4"/>
      <x:c r="E19" s="4"/>
      <x:c r="F19" s="4"/>
      <x:c r="G19" s="4"/>
    </x:row>
    <x:row r="20" ht="20" customHeight="1">
      <x:c r="A20" s="4"/>
      <x:c r="B20" s="4"/>
      <x:c r="C20" s="4"/>
      <x:c r="D20" s="4"/>
      <x:c r="E20" s="4"/>
      <x:c r="F20" s="4"/>
      <x:c r="G20" s="4"/>
    </x:row>
    <x:row r="21" ht="20" customHeight="1">
      <x:c r="A21" s="4"/>
      <x:c r="B21" s="4"/>
      <x:c r="C21" s="4"/>
      <x:c r="D21" s="4"/>
      <x:c r="E21" s="4"/>
      <x:c r="F21" s="4"/>
      <x:c r="G21" s="4"/>
    </x:row>
    <x:row r="22" ht="20" customHeight="1">
      <x:c r="A22" s="4"/>
      <x:c r="B22" s="4"/>
      <x:c r="C22" s="4"/>
      <x:c r="D22" s="4"/>
      <x:c r="E22" s="4"/>
      <x:c r="F22" s="4"/>
      <x:c r="G22" s="4"/>
    </x:row>
    <x:row r="23" ht="20" customHeight="1">
      <x:c r="A23" s="4"/>
      <x:c r="B23" s="4"/>
      <x:c r="C23" s="4"/>
      <x:c r="D23" s="4"/>
      <x:c r="E23" s="4"/>
      <x:c r="F23" s="4"/>
      <x:c r="G23" s="4"/>
    </x:row>
    <x:row r="24" ht="20" customHeight="1">
      <x:c r="A24" s="4"/>
      <x:c r="B24" s="4"/>
      <x:c r="C24" s="4"/>
      <x:c r="D24" s="4"/>
      <x:c r="E24" s="4"/>
      <x:c r="F24" s="4"/>
      <x:c r="G24" s="4"/>
    </x:row>
    <x:row r="25" ht="20" customHeight="1">
      <x:c r="A25" s="4"/>
      <x:c r="B25" s="4"/>
      <x:c r="C25" s="4"/>
      <x:c r="D25" s="4"/>
      <x:c r="E25" s="4"/>
      <x:c r="F25" s="4"/>
      <x:c r="G25" s="4"/>
    </x:row>
    <x:row r="26" ht="20" customHeight="1">
      <x:c r="A26" s="4"/>
      <x:c r="B26" s="4"/>
      <x:c r="C26" s="4"/>
      <x:c r="D26" s="4"/>
      <x:c r="E26" s="4"/>
      <x:c r="F26" s="4"/>
      <x:c r="G26" s="4"/>
    </x:row>
    <x:row r="27" ht="20" customHeight="1">
      <x:c r="A27" s="4"/>
      <x:c r="B27" s="4"/>
      <x:c r="C27" s="4"/>
      <x:c r="D27" s="4"/>
      <x:c r="E27" s="4"/>
      <x:c r="F27" s="4"/>
      <x:c r="G27" s="4"/>
    </x:row>
    <x:row r="28" ht="20" customHeight="1">
      <x:c r="A28" s="4"/>
      <x:c r="B28" s="4"/>
      <x:c r="C28" s="4"/>
      <x:c r="D28" s="4"/>
      <x:c r="E28" s="4"/>
      <x:c r="F28" s="4"/>
      <x:c r="G28" s="4"/>
    </x:row>
    <x:row r="29" ht="20" customHeight="1">
      <x:c r="A29" s="4"/>
      <x:c r="B29" s="4"/>
      <x:c r="C29" s="4"/>
      <x:c r="D29" s="4"/>
      <x:c r="E29" s="4"/>
      <x:c r="F29" s="4"/>
      <x:c r="G29" s="4"/>
    </x:row>
    <x:row r="30" ht="20" customHeight="1">
      <x:c r="A30" s="4"/>
      <x:c r="B30" s="4"/>
      <x:c r="C30" s="4"/>
      <x:c r="D30" s="4"/>
      <x:c r="E30" s="4"/>
      <x:c r="F30" s="4"/>
      <x:c r="G30" s="4"/>
    </x:row>
    <x:row r="31" ht="20" customHeight="1">
      <x:c r="A31" s="4"/>
      <x:c r="B31" s="4"/>
      <x:c r="C31" s="4"/>
      <x:c r="D31" s="4"/>
      <x:c r="E31" s="4"/>
      <x:c r="F31" s="4"/>
      <x:c r="G31" s="4"/>
    </x:row>
    <x:row r="32" ht="20" customHeight="1">
      <x:c r="A32" s="4"/>
      <x:c r="B32" s="4"/>
      <x:c r="C32" s="4"/>
      <x:c r="D32" s="4"/>
      <x:c r="E32" s="4"/>
      <x:c r="F32" s="4"/>
      <x:c r="G32" s="4"/>
    </x:row>
    <x:row r="33" ht="20" customHeight="1">
      <x:c r="A33" s="4"/>
      <x:c r="B33" s="4"/>
      <x:c r="C33" s="4"/>
      <x:c r="D33" s="4"/>
      <x:c r="E33" s="4"/>
      <x:c r="F33" s="4"/>
      <x:c r="G33" s="4"/>
    </x:row>
    <x:row r="34" ht="20" customHeight="1">
      <x:c r="A34" s="4"/>
      <x:c r="B34" s="4"/>
      <x:c r="C34" s="4"/>
      <x:c r="D34" s="4"/>
      <x:c r="E34" s="4"/>
      <x:c r="F34" s="4"/>
      <x:c r="G34" s="4"/>
    </x:row>
    <x:row r="35" ht="20" customHeight="1">
      <x:c r="A35" s="4"/>
      <x:c r="B35" s="4"/>
      <x:c r="C35" s="4"/>
      <x:c r="D35" s="4"/>
      <x:c r="E35" s="4"/>
      <x:c r="F35" s="4"/>
      <x:c r="G35" s="4"/>
    </x:row>
  </x:sheetData>
  <x:dataValidations count="1">
    <x:dataValidation type="list" sqref="F8:F17">
      <x:formula1>"Propuesta,Aprobada,Modificada,Descartada"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0b08946a7941cf"/>
  </x:tableParts>
</x:worksheet>
</file>