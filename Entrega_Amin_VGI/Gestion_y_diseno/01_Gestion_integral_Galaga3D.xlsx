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63bcaf37c14a53" /></Relationships>
</file>

<file path=xl/workbook.xml><?xml version="1.0" encoding="utf-8"?>
<x:workbook xmlns:x="http://schemas.openxmlformats.org/spreadsheetml/2006/main">
  <x:sheets>
    <x:sheet xmlns:r="http://schemas.openxmlformats.org/officeDocument/2006/relationships" name="Inicio" sheetId="1" r:id="R9a26bf7f83c04e05"/>
    <x:sheet xmlns:r="http://schemas.openxmlformats.org/officeDocument/2006/relationships" name="Tareas" sheetId="2" r:id="Rc909c015be59477d"/>
    <x:sheet xmlns:r="http://schemas.openxmlformats.org/officeDocument/2006/relationships" name="Requisitos" sheetId="3" r:id="R6838c6526e08475d"/>
    <x:sheet xmlns:r="http://schemas.openxmlformats.org/officeDocument/2006/relationships" name="Pruebas" sheetId="4" r:id="Rf1688f6cb37d4a03"/>
    <x:sheet xmlns:r="http://schemas.openxmlformats.org/officeDocument/2006/relationships" name="Calendario" sheetId="5" r:id="R11c4b723538149c2"/>
    <x:sheet xmlns:r="http://schemas.openxmlformats.org/officeDocument/2006/relationships" name="Equipo" sheetId="6" r:id="Rf59e64f7816d45f1"/>
    <x:sheet xmlns:r="http://schemas.openxmlformats.org/officeDocument/2006/relationships" name="Acuerdos" sheetId="7" r:id="Rcf27abbf391b4295"/>
    <x:sheet xmlns:r="http://schemas.openxmlformats.org/officeDocument/2006/relationships" name="Guia" sheetId="8" r:id="Re8c92ad9deb24066"/>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dd/mm/yyyy"/>
    <x:numFmt numFmtId="201" formatCode="0.0"/>
    <x:numFmt numFmtId="202" formatCode="0%"/>
    <x:numFmt numFmtId="203" formatCode="0"/>
    <x:numFmt numFmtId="204" formatCode="&quot;S&quot;0"/>
    <x:numFmt numFmtId="205" formatCode="dd/mm"/>
  </x:numFmts>
  <x:fonts count="17">
    <x:font>
      <x:sz val="11"/>
      <x:name val="Carlito"/>
    </x:font>
    <x:font>
      <x:sz val="11"/>
      <x:name val="Arial"/>
    </x:font>
    <x:font>
      <x:sz val="11"/>
      <x:color rgb="FF273D4D"/>
      <x:name val="Arial"/>
    </x:font>
    <x:font>
      <x:sz val="16"/>
      <x:color rgb="FF273D4D"/>
      <x:name val="Arial"/>
    </x:font>
    <x:font>
      <x:b/>
      <x:sz val="16"/>
      <x:color rgb="FF273D4D"/>
      <x:name val="Arial"/>
    </x:font>
    <x:font>
      <x:sz val="11"/>
      <x:color rgb="FF6B7C89"/>
      <x:name val="Arial"/>
    </x:font>
    <x:font>
      <x:i/>
      <x:sz val="11"/>
      <x:color rgb="FF6B7C89"/>
      <x:name val="Arial"/>
    </x:font>
    <x:font>
      <x:sz val="11"/>
      <x:color rgb="FF356F94"/>
      <x:name val="Arial"/>
    </x:font>
    <x:font>
      <x:b/>
      <x:sz val="11"/>
      <x:color rgb="FF356F94"/>
      <x:name val="Arial"/>
    </x:font>
    <x:font>
      <x:sz val="11"/>
      <x:color rgb="FFFFFFFF"/>
      <x:name val="Arial"/>
    </x:font>
    <x:font>
      <x:sz val="11"/>
      <x:color rgb="FFFFFFFF"/>
      <x:name val="Carlito"/>
    </x:font>
    <x:font>
      <x:b/>
      <x:sz val="11"/>
      <x:color rgb="FFFFFFFF"/>
      <x:name val="Arial"/>
    </x:font>
    <x:font>
      <x:b/>
      <x:sz val="11"/>
      <x:color rgb="FFFFFFFF"/>
      <x:name val="Carlito"/>
    </x:font>
    <x:font>
      <x:sz val="11"/>
      <x:color rgb="FF356F94"/>
      <x:name val="Carlito"/>
    </x:font>
    <x:font>
      <x:sz val="10"/>
      <x:color rgb="FF273D4D"/>
      <x:name val="Arial"/>
    </x:font>
    <x:font>
      <x:sz val="10"/>
      <x:color rgb="FFFFFFFF"/>
      <x:name val="Arial"/>
    </x:font>
    <x:font>
      <x:b/>
      <x:sz val="10"/>
      <x:color rgb="FFFFFFFF"/>
      <x:name val="Arial"/>
    </x:font>
  </x:fonts>
  <x:fills count="6">
    <x:fill>
      <x:patternFill patternType="none"/>
    </x:fill>
    <x:fill>
      <x:patternFill patternType="gray125"/>
    </x:fill>
    <x:fill>
      <x:patternFill patternType="solid">
        <x:fgColor rgb="FFFFF4DA"/>
      </x:patternFill>
    </x:fill>
    <x:fill>
      <x:patternFill patternType="solid">
        <x:fgColor rgb="FF18344A"/>
      </x:patternFill>
    </x:fill>
    <x:fill>
      <x:patternFill patternType="solid">
        <x:fgColor rgb="FFF5F8FA"/>
      </x:patternFill>
    </x:fill>
    <x:fill>
      <x:patternFill patternType="solid">
        <x:fgColor rgb="FFEAF2F8"/>
      </x:patternFill>
    </x:fill>
  </x:fills>
  <x:borders count="1">
    <x:border>
      <x:left/>
      <x:right/>
      <x:top/>
      <x:bottom/>
      <x:diagonal/>
    </x:border>
  </x:borders>
  <x:cellStyleXfs count="1">
    <x:xf numFmtId="0" fontId="0" fillId="0" borderId="0"/>
  </x:cellStyleXfs>
  <x:cellXfs count="7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2" fillId="2" borderId="0" xfId="0" applyNumberFormat="1" applyFont="1" applyFill="1" applyBorder="1" applyAlignment="1">
      <x:alignment vertical="center"/>
    </x:xf>
    <x:xf numFmtId="200" fontId="2" fillId="2" borderId="0" xfId="0" applyNumberFormat="1" applyFont="1" applyFill="1" applyBorder="1" applyAlignment="1">
      <x:alignment vertical="center"/>
    </x:xf>
    <x:xf numFmtId="200" fontId="2" fillId="2" borderId="0" xfId="0" applyNumberFormat="1" applyFont="1" applyFill="1" applyBorder="1" applyAlignment="1">
      <x:alignment horizontal="right" vertical="center"/>
    </x:xf>
    <x:xf numFmtId="0" fontId="8"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0" xfId="0" applyNumberFormat="1" applyFont="1" applyFill="1" applyBorder="1" applyAlignment="1">
      <x:alignment wrapText="1"/>
    </x:xf>
    <x:xf numFmtId="0" fontId="9" fillId="3" borderId="0" xfId="0" applyNumberFormat="1" applyFont="1" applyFill="1" applyBorder="1" applyAlignment="1">
      <x:alignment vertical="center" wrapText="1"/>
    </x:xf>
    <x:xf numFmtId="0" fontId="10" fillId="3" borderId="0" xfId="0" applyNumberFormat="1" applyFont="1" applyFill="1" applyBorder="1" applyAlignment="1">
      <x:alignment wrapText="1"/>
    </x:xf>
    <x:xf numFmtId="0" fontId="11" fillId="3" borderId="0" xfId="0" applyNumberFormat="1" applyFont="1" applyFill="1" applyBorder="1" applyAlignment="1">
      <x:alignment vertical="center" wrapText="1"/>
    </x:xf>
    <x:xf numFmtId="0" fontId="12" fillId="3" borderId="0" xfId="0" applyNumberFormat="1" applyFont="1" applyFill="1" applyBorder="1" applyAlignment="1">
      <x:alignment wrapText="1"/>
    </x:xf>
    <x:xf numFmtId="0" fontId="11" fillId="3" borderId="0" xfId="0" applyNumberFormat="1" applyFont="1" applyFill="1" applyBorder="1" applyAlignment="1">
      <x:alignment horizontal="center" vertical="center" wrapText="1"/>
    </x:xf>
    <x:xf numFmtId="0" fontId="12" fillId="3" borderId="0" xfId="0" applyNumberFormat="1" applyFont="1" applyFill="1" applyBorder="1" applyAlignment="1">
      <x:alignment horizontal="center" wrapText="1"/>
    </x:xf>
    <x:xf numFmtId="0" fontId="2" fillId="4" borderId="0" xfId="0" applyNumberFormat="1" applyFont="1" applyFill="1" applyBorder="1" applyAlignment="1">
      <x:alignment vertical="center" wrapText="1"/>
    </x:xf>
    <x:xf numFmtId="0" fontId="0" fillId="4"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0" fillId="2" borderId="0" xfId="0" applyNumberFormat="1" applyFont="1" applyFill="1" applyBorder="1"/>
    <x:xf numFmtId="201" fontId="2" fillId="2" borderId="0" xfId="0" applyNumberFormat="1" applyFont="1" applyFill="1" applyBorder="1" applyAlignment="1">
      <x:alignment vertical="center" wrapText="1"/>
    </x:xf>
    <x:xf numFmtId="201" fontId="2" fillId="2" borderId="0" xfId="0" applyNumberFormat="1" applyFont="1" applyFill="1" applyBorder="1" applyAlignment="1">
      <x:alignment horizontal="right" vertical="center" wrapText="1"/>
    </x:xf>
    <x:xf numFmtId="202" fontId="2" fillId="2" borderId="0" xfId="0" applyNumberFormat="1" applyFont="1" applyFill="1" applyBorder="1" applyAlignment="1">
      <x:alignment vertical="center" wrapText="1"/>
    </x:xf>
    <x:xf numFmtId="202" fontId="2" fillId="2" borderId="0" xfId="0" applyNumberFormat="1" applyFont="1" applyFill="1" applyBorder="1" applyAlignment="1">
      <x:alignment horizontal="right" vertical="center" wrapText="1"/>
    </x:xf>
    <x:xf numFmtId="200" fontId="2" fillId="2" borderId="0" xfId="0" applyNumberFormat="1" applyFont="1" applyFill="1" applyBorder="1" applyAlignment="1">
      <x:alignment vertical="center" wrapText="1"/>
    </x:xf>
    <x:xf numFmtId="200" fontId="2" fillId="4" borderId="0"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2" borderId="0" xfId="0" applyNumberFormat="1" applyFont="1" applyFill="1" applyBorder="1" applyAlignment="1">
      <x:alignment horizontal="right" vertical="center" wrapText="1"/>
    </x:xf>
    <x:xf numFmtId="200" fontId="2" fillId="4" borderId="0" xfId="0" applyNumberFormat="1" applyFont="1" applyFill="1" applyBorder="1" applyAlignment="1">
      <x:alignment horizontal="right" vertical="center" wrapText="1"/>
    </x:xf>
    <x:xf numFmtId="200" fontId="2" fillId="0" borderId="0" xfId="0" applyNumberFormat="1" applyFont="1" applyFill="1" applyBorder="1" applyAlignment="1">
      <x:alignment horizontal="right" vertical="center" wrapText="1"/>
    </x:xf>
    <x:xf numFmtId="203" fontId="2" fillId="2" borderId="0" xfId="0" applyNumberFormat="1" applyFont="1" applyFill="1" applyBorder="1" applyAlignment="1">
      <x:alignment vertical="center" wrapText="1"/>
    </x:xf>
    <x:xf numFmtId="203" fontId="2" fillId="2" borderId="0" xfId="0" applyNumberFormat="1" applyFont="1" applyFill="1" applyBorder="1" applyAlignment="1">
      <x:alignment horizontal="right" vertical="center" wrapText="1"/>
    </x:xf>
    <x:xf numFmtId="201" fontId="2" fillId="4" borderId="0" xfId="0" applyNumberFormat="1" applyFont="1" applyFill="1" applyBorder="1" applyAlignment="1">
      <x:alignment vertical="center" wrapText="1"/>
    </x:xf>
    <x:xf numFmtId="201" fontId="2" fillId="0" borderId="0" xfId="0" applyNumberFormat="1" applyFont="1" applyFill="1" applyBorder="1" applyAlignment="1">
      <x:alignment vertical="center" wrapText="1"/>
    </x:xf>
    <x:xf numFmtId="201" fontId="2" fillId="4" borderId="0" xfId="0" applyNumberFormat="1" applyFont="1" applyFill="1" applyBorder="1" applyAlignment="1">
      <x:alignment horizontal="right" vertical="center" wrapText="1"/>
    </x:xf>
    <x:xf numFmtId="201" fontId="2" fillId="0" borderId="0" xfId="0" applyNumberFormat="1" applyFont="1" applyFill="1" applyBorder="1" applyAlignment="1">
      <x:alignment horizontal="right" vertical="center" wrapText="1"/>
    </x:xf>
    <x:xf numFmtId="0" fontId="2" fillId="5" borderId="0" xfId="0" applyNumberFormat="1" applyFont="1" applyFill="1" applyBorder="1" applyAlignment="1">
      <x:alignment vertical="center" wrapText="1"/>
    </x:xf>
    <x:xf numFmtId="0" fontId="7" fillId="5" borderId="0" xfId="0" applyNumberFormat="1" applyFont="1" applyFill="1" applyBorder="1" applyAlignment="1">
      <x:alignment vertical="center" wrapText="1"/>
    </x:xf>
    <x:xf numFmtId="200" fontId="2" fillId="5" borderId="0" xfId="0" applyNumberFormat="1" applyFont="1" applyFill="1" applyBorder="1" applyAlignment="1">
      <x:alignment horizontal="right" vertical="center" wrapText="1"/>
    </x:xf>
    <x:xf numFmtId="200" fontId="7" fillId="5" borderId="0" xfId="0" applyNumberFormat="1" applyFont="1" applyFill="1" applyBorder="1" applyAlignment="1">
      <x:alignment horizontal="right" vertical="center" wrapText="1"/>
    </x:xf>
    <x:xf numFmtId="201" fontId="2" fillId="5" borderId="0" xfId="0" applyNumberFormat="1" applyFont="1" applyFill="1" applyBorder="1" applyAlignment="1">
      <x:alignment horizontal="right" vertical="center" wrapText="1"/>
    </x:xf>
    <x:xf numFmtId="201" fontId="7" fillId="5" borderId="0" xfId="0" applyNumberFormat="1" applyFont="1" applyFill="1" applyBorder="1" applyAlignment="1">
      <x:alignment horizontal="right" vertical="center" wrapText="1"/>
    </x:xf>
    <x:xf numFmtId="0" fontId="0" fillId="5" borderId="0" xfId="0" applyNumberFormat="1" applyFont="1" applyFill="1" applyBorder="1" applyAlignment="1">
      <x:alignment wrapText="1"/>
    </x:xf>
    <x:xf numFmtId="0" fontId="13" fillId="5" borderId="0" xfId="0" applyNumberFormat="1" applyFont="1" applyFill="1" applyBorder="1" applyAlignment="1">
      <x:alignment wrapText="1"/>
    </x:xf>
    <x:xf numFmtId="201" fontId="7" fillId="5" borderId="0" xfId="0" applyNumberFormat="1" applyFont="1" applyFill="1" applyBorder="1" applyAlignment="1">
      <x:alignment vertical="center" wrapText="1"/>
    </x:xf>
    <x:xf numFmtId="202" fontId="7" fillId="5" borderId="0" xfId="0" applyNumberFormat="1" applyFont="1" applyFill="1" applyBorder="1" applyAlignment="1">
      <x:alignment vertical="center" wrapText="1"/>
    </x:xf>
    <x:xf numFmtId="202" fontId="7" fillId="5" borderId="0" xfId="0" applyNumberFormat="1" applyFont="1" applyFill="1" applyBorder="1" applyAlignment="1">
      <x:alignment horizontal="right" vertical="center" wrapText="1"/>
    </x:xf>
    <x:xf numFmtId="0" fontId="14" fillId="0" borderId="0" xfId="0" applyNumberFormat="1" applyFont="1" applyFill="1" applyBorder="1" applyAlignment="1">
      <x:alignment vertical="center"/>
    </x:xf>
    <x:xf numFmtId="0" fontId="14" fillId="3" borderId="0" xfId="0" applyNumberFormat="1" applyFont="1" applyFill="1" applyBorder="1" applyAlignment="1">
      <x:alignment vertical="center"/>
    </x:xf>
    <x:xf numFmtId="0" fontId="15" fillId="3" borderId="0" xfId="0" applyNumberFormat="1" applyFont="1" applyFill="1" applyBorder="1" applyAlignment="1">
      <x:alignment vertical="center"/>
    </x:xf>
    <x:xf numFmtId="0" fontId="16" fillId="3" borderId="0" xfId="0" applyNumberFormat="1" applyFont="1" applyFill="1" applyBorder="1" applyAlignment="1">
      <x:alignment vertical="center"/>
    </x:xf>
    <x:xf numFmtId="204" fontId="16" fillId="3" borderId="0" xfId="0" applyNumberFormat="1" applyFont="1" applyFill="1" applyBorder="1" applyAlignment="1">
      <x:alignment vertical="center"/>
    </x:xf>
    <x:xf numFmtId="204" fontId="16" fillId="3" borderId="0" xfId="0" applyNumberFormat="1" applyFont="1" applyFill="1" applyBorder="1" applyAlignment="1">
      <x:alignment horizontal="right" vertical="center"/>
    </x:xf>
    <x:xf numFmtId="205" fontId="2" fillId="0" borderId="0" xfId="0" applyNumberFormat="1" applyFont="1" applyFill="1" applyBorder="1" applyAlignment="1">
      <x:alignment vertical="center"/>
    </x:xf>
    <x:xf numFmtId="205" fontId="2" fillId="0" borderId="0" xfId="0" applyNumberFormat="1" applyFont="1" applyFill="1" applyBorder="1" applyAlignment="1">
      <x:alignment horizontal="right" vertical="center"/>
    </x:xf>
    <x:xf numFmtId="0" fontId="14" fillId="0" borderId="0" xfId="0" applyNumberFormat="1" applyFont="1" applyFill="1" applyBorder="1" applyAlignment="1">
      <x:alignment vertical="center" wrapText="1"/>
    </x:xf>
    <x:xf numFmtId="201" fontId="14" fillId="0" borderId="0" xfId="0" applyNumberFormat="1" applyFont="1" applyFill="1" applyBorder="1" applyAlignment="1">
      <x:alignment vertical="center"/>
    </x:xf>
    <x:xf numFmtId="201" fontId="14" fillId="0" borderId="0" xfId="0" applyNumberFormat="1" applyFont="1" applyFill="1" applyBorder="1" applyAlignment="1">
      <x:alignment horizontal="right" vertical="center"/>
    </x:xf>
    <x:xf numFmtId="0" fontId="2" fillId="3" borderId="0" xfId="0" applyNumberFormat="1" applyFont="1" applyFill="1" applyBorder="1" applyAlignment="1">
      <x:alignment vertical="center"/>
    </x:xf>
    <x:xf numFmtId="0" fontId="9" fillId="3" borderId="0" xfId="0" applyNumberFormat="1" applyFont="1" applyFill="1" applyBorder="1" applyAlignment="1">
      <x:alignment vertical="center"/>
    </x:xf>
    <x:xf numFmtId="0" fontId="11" fillId="3" borderId="0" xfId="0" applyNumberFormat="1" applyFont="1" applyFill="1" applyBorder="1" applyAlignment="1">
      <x:alignment vertical="center"/>
    </x:xf>
    <x:xf numFmtId="202" fontId="2" fillId="0" borderId="0" xfId="0" applyNumberFormat="1" applyFont="1" applyFill="1" applyBorder="1" applyAlignment="1">
      <x:alignment vertical="center"/>
    </x:xf>
    <x:xf numFmtId="202" fontId="2" fillId="0" borderId="0" xfId="0" applyNumberFormat="1" applyFont="1" applyFill="1" applyBorder="1" applyAlignment="1">
      <x:alignment horizontal="right" vertical="center"/>
    </x:xf>
    <x:xf numFmtId="201" fontId="2" fillId="0" borderId="0" xfId="0" applyNumberFormat="1" applyFont="1" applyFill="1" applyBorder="1" applyAlignment="1">
      <x:alignment vertical="center"/>
    </x:xf>
    <x:xf numFmtId="201" fontId="2" fillId="0" borderId="0" xfId="0" applyNumberFormat="1" applyFont="1" applyFill="1" applyBorder="1" applyAlignment="1">
      <x:alignment horizontal="right" vertical="center"/>
    </x:xf>
    <x:xf numFmtId="203" fontId="7" fillId="5" borderId="0" xfId="0" applyNumberFormat="1" applyFont="1" applyFill="1" applyBorder="1" applyAlignment="1">
      <x:alignment horizontal="right" vertical="center" wrapText="1"/>
    </x:xf>
  </x:cellXfs>
  <x:cellStyles count="1">
    <x:cellStyle name="Normal" xfId="0"/>
  </x:cellStyles>
  <x:dxfs count="51">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color rgb="FF365D47"/>
      </x:font>
      <x:fill>
        <x:patternFill patternType="solid">
          <x:bgColor rgb="FFE6F0EA"/>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color rgb="FF365D47"/>
      </x:font>
      <x:fill>
        <x:patternFill patternType="solid">
          <x:bgColor rgb="FFE6F0EA"/>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color rgb="FF365D47"/>
      </x:font>
      <x:fill>
        <x:patternFill patternType="solid">
          <x:bgColor rgb="FFE6F0EA"/>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color rgb="FF365D47"/>
      </x:font>
      <x:fill>
        <x:patternFill patternType="solid">
          <x:bgColor rgb="FFE6F0EA"/>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color rgb="FF365D47"/>
      </x:font>
      <x:fill>
        <x:patternFill patternType="solid">
          <x:bgColor rgb="FFE6F0EA"/>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b/>
        <x:color rgb="FF963F30"/>
      </x:font>
      <x:fill>
        <x:patternFill patternType="solid">
          <x:bgColor rgb="FFFBE5DF"/>
        </x:patternFill>
      </x:fill>
    </x:dxf>
    <x:dxf>
      <x:font>
        <x:color rgb="FF365D47"/>
      </x:font>
      <x:fill>
        <x:patternFill patternType="solid">
          <x:bgColor rgb="FFE6F0EA"/>
        </x:patternFill>
      </x:fill>
    </x:dxf>
    <x:dxf>
      <x:font>
        <x:b/>
        <x:color rgb="FF963F30"/>
      </x:font>
      <x:fill>
        <x:patternFill patternType="solid">
          <x:bgColor rgb="FFFBE5DF"/>
        </x:patternFill>
      </x:fill>
    </x:dxf>
    <x:dxf>
      <x:font>
        <x:b/>
        <x:color rgb="FF18344A"/>
      </x:font>
      <x:fill>
        <x:patternFill patternType="solid">
          <x:bgColor rgb="FFD8E7F1"/>
        </x:patternFill>
      </x:fill>
    </x:dxf>
    <x:dxf>
      <x:font>
        <x:b/>
        <x:color rgb="FF963F30"/>
      </x:font>
      <x:fill>
        <x:patternFill patternType="solid">
          <x:bgColor rgb="FFFBE5D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4ef196bfbc84d71" /><Relationship Type="http://schemas.openxmlformats.org/officeDocument/2006/relationships/theme" Target="/xl/theme/theme1.xml" Id="Rc4d7b58263bf4aa6" /><Relationship Type="http://schemas.openxmlformats.org/officeDocument/2006/relationships/sharedStrings" Target="/xl/sharedStrings.xml" Id="R4171b5eb23ed40d6" /><Relationship Type="http://schemas.openxmlformats.org/officeDocument/2006/relationships/worksheet" Target="/xl/worksheets/sheet1.xml" Id="R9a26bf7f83c04e05" /><Relationship Type="http://schemas.openxmlformats.org/officeDocument/2006/relationships/worksheet" Target="/xl/worksheets/sheet2.xml" Id="Rc909c015be59477d" /><Relationship Type="http://schemas.openxmlformats.org/officeDocument/2006/relationships/worksheet" Target="/xl/worksheets/sheet3.xml" Id="R6838c6526e08475d" /><Relationship Type="http://schemas.openxmlformats.org/officeDocument/2006/relationships/worksheet" Target="/xl/worksheets/sheet4.xml" Id="Rf1688f6cb37d4a03" /><Relationship Type="http://schemas.openxmlformats.org/officeDocument/2006/relationships/worksheet" Target="/xl/worksheets/sheet5.xml" Id="R11c4b723538149c2" /><Relationship Type="http://schemas.openxmlformats.org/officeDocument/2006/relationships/worksheet" Target="/xl/worksheets/sheet6.xml" Id="Rf59e64f7816d45f1" /><Relationship Type="http://schemas.openxmlformats.org/officeDocument/2006/relationships/worksheet" Target="/xl/worksheets/sheet7.xml" Id="Rcf27abbf391b4295" /><Relationship Type="http://schemas.openxmlformats.org/officeDocument/2006/relationships/worksheet" Target="/xl/worksheets/sheet8.xml" Id="Re8c92ad9deb24066" /></Relationships>
</file>

<file path=xl/drawings/_rels/drawing1.xml.rels>&#65279;<?xml version="1.0" encoding="utf-8"?><Relationships xmlns="http://schemas.openxmlformats.org/package/2006/relationships"><Relationship Type="http://schemas.openxmlformats.org/officeDocument/2006/relationships/chart" Target="/xl/drawings/charts/chart1.xml" Id="Re7779445b8614ef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Carga en la semana elegida (h)</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Carga pendiente h</c:v>
          </c:tx>
          <c:spPr>
            <a:solidFill xmlns:a="http://schemas.openxmlformats.org/drawingml/2006/main">
              <a:srgbClr val="356F94"/>
            </a:solidFill>
          </c:spPr>
          <c:cat>
            <c:strRef>
              <c:f>'Inicio'!$D$28:$D$33</c:f>
              <c:strCache>
                <c:ptCount val="0"/>
              </c:strCache>
            </c:strRef>
          </c:cat>
          <c:val>
            <c:numRef>
              <c:f>'Inicio'!$E$28:$E$33</c:f>
              <c:numCache>
                <c:formatCode>0.0</c:formatCode>
                <c:ptCount val="0"/>
              </c:numCache>
            </c:numRef>
          </c:val>
        </c:ser>
        <c:ser>
          <c:idx val="1"/>
          <c:order val="1"/>
          <c:tx>
            <c:v>Capacidad h</c:v>
          </c:tx>
          <c:spPr>
            <a:solidFill xmlns:a="http://schemas.openxmlformats.org/drawingml/2006/main">
              <a:srgbClr val="BAC9D3"/>
            </a:solidFill>
          </c:spPr>
          <c:cat>
            <c:strRef>
              <c:f>'Inicio'!$D$28:$D$33</c:f>
              <c:strCache>
                <c:ptCount val="0"/>
              </c:strCache>
            </c:strRef>
          </c:cat>
          <c:val>
            <c:numRef>
              <c:f>'Inicio'!$F$28:$F$33</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5</xdr:row>
      <xdr:rowOff>0</xdr:rowOff>
    </xdr:from>
    <xdr:to>
      <xdr:col>14</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7779445b8614ef7"/>
        </a:graphicData>
      </a:graphic>
    </xdr:graphicFrame>
    <xdr:clientData/>
  </xdr:twoCellAnchor>
</xdr:wsDr>
</file>

<file path=xl/tables/table1.xml><?xml version="1.0" encoding="utf-8"?>
<table xmlns="http://schemas.openxmlformats.org/spreadsheetml/2006/main" id="1" name="TblTareas" displayName="TblTareas" ref="A7:AC48" headerRowCount="1" totalsRowCount="0" totalsRowShown="0">
  <autoFilter ref="A7:AC48"/>
  <tableColumns count="29">
    <tableColumn id="1" name="ID"/>
    <tableColumn id="2" name="Responsable"/>
    <tableColumn id="3" name="Estado"/>
    <tableColumn id="4" name="Trabajo"/>
    <tableColumn id="5" name="Fase"/>
    <tableColumn id="6" name="Semana"/>
    <tableColumn id="7" name="Duracion"/>
    <tableColumn id="8" name="Horas"/>
    <tableColumn id="9" name="Apoyo"/>
    <tableColumn id="10" name="Apoyo %"/>
    <tableColumn id="11" name="Predecesora"/>
    <tableColumn id="12" name="Entregable"/>
    <tableColumn id="13" name="Criterio"/>
    <tableColumn id="14" name="Evidencia"/>
    <tableColumn id="15" name="Revisa"/>
    <tableColumn id="16" name="Fecha"/>
    <tableColumn id="17" name="Notas"/>
    <tableColumn id="18" name="Inicio">
      <calculatedColumnFormula>IF(OR(TblTareas[[#This Row],[ID]]="",NOT(ISNUMBER(Inicio!$B$6))),"",Inicio!$B$6+7*(TblTareas[[#This Row],[Semana]]-1))</calculatedColumnFormula>
    </tableColumn>
    <tableColumn id="19" name="Fin">
      <calculatedColumnFormula>IF(TblTareas[[#This Row],[Inicio]]="","",TblTareas[[#This Row],[Inicio]]+7*TblTareas[[#This Row],[Duracion]]-1)</calculatedColumnFormula>
    </tableColumn>
    <tableColumn id="20" name="Aviso">
      <calculatedColumnFormula>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calculatedColumnFormula>
    </tableColumn>
    <tableColumn id="21" name="Cierre">
      <calculatedColumnFormula>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calculatedColumnFormula>
    </tableColumn>
    <tableColumn id="22" name="Activa">
      <calculatedColumnFormula>IF(TblTareas[[#This Row],[ID]]="",0,IF(AND(TblTareas[[#This Row],[Estado]]&lt;&gt;"Descartada",OR(TblTareas[[#This Row],[Fase]]&lt;&gt;"P2",Inicio!$B$9=1)),1,0))</calculatedColumnFormula>
    </tableColumn>
    <tableColumn id="23" name="Horas responsable">
      <calculatedColumnFormula>IF(OR(TblTareas[[#This Row],[Activa]]=0,TblTareas[[#This Row],[Cierre]]="Aceptada",TblTareas[[#This Row],[Control]]&lt;&gt;"OK"),0,TblTareas[[#This Row],[Horas]]*(1-TblTareas[[#This Row],[Apoyo %]]))</calculatedColumnFormula>
    </tableColumn>
    <tableColumn id="24" name="Horas apoyo">
      <calculatedColumnFormula>IF(OR(TblTareas[[#This Row],[Activa]]=0,TblTareas[[#This Row],[Cierre]]="Aceptada",TblTareas[[#This Row],[Control]]&lt;&gt;"OK"),0,TblTareas[[#This Row],[Horas]]*TblTareas[[#This Row],[Apoyo %]])</calculatedColumnFormula>
    </tableColumn>
    <tableColumn id="25" name="Horas aceptadas">
      <calculatedColumnFormula>IF(AND(TblTareas[[#This Row],[Activa]]=1,TblTareas[[#This Row],[Cierre]]="Aceptada"),TblTareas[[#This Row],[Horas]],0)</calculatedColumnFormula>
    </tableColumn>
    <tableColumn id="26" name="Control">
      <calculatedColumnFormula>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calculatedColumnFormula>
    </tableColumn>
    <tableColumn id="27" name="Semana responsable">
      <calculatedColumnFormula>IF(AND(TblTareas[[#This Row],[Activa]]=1,TblTareas[[#This Row],[Control]]="OK",TblTareas[[#This Row],[Semana]]&lt;=Inicio!$B$8,TblTareas[[#This Row],[Semana]]+TblTareas[[#This Row],[Duracion]]&gt;Inicio!$B$8),TblTareas[[#This Row],[Horas responsable]]/TblTareas[[#This Row],[Duracion]],0)</calculatedColumnFormula>
    </tableColumn>
    <tableColumn id="28" name="Semana apoyo">
      <calculatedColumnFormula>IF(AND(TblTareas[[#This Row],[Activa]]=1,TblTareas[[#This Row],[Control]]="OK",TblTareas[[#This Row],[Semana]]&lt;=Inicio!$B$8,TblTareas[[#This Row],[Semana]]+TblTareas[[#This Row],[Duracion]]&gt;Inicio!$B$8),TblTareas[[#This Row],[Horas apoyo]]/TblTareas[[#This Row],[Duracion]],0)</calculatedColumnFormula>
    </tableColumn>
    <tableColumn id="29" name="Revisar datos">
      <calculatedColumnFormula>IF(TblTareas[[#This Row],[ID]]="",0,IF(TblTareas[[#This Row],[Control]]="OK",0,1))</calculatedColumnFormula>
    </tableColumn>
  </tableColumns>
  <tableStyleInfo name="TableStyleLight1" showFirstColumn="0" showLastColumn="0" showRowStripes="1" showColumnStripes="0"/>
</table>
</file>

<file path=xl/tables/table2.xml><?xml version="1.0" encoding="utf-8"?>
<table xmlns="http://schemas.openxmlformats.org/spreadsheetml/2006/main" id="2" name="TblRequisitos" displayName="TblRequisitos" ref="A7:T59" headerRowCount="1" totalsRowCount="0" totalsRowShown="0">
  <autoFilter ref="A7:T59"/>
  <tableColumns count="20">
    <tableColumn id="1" name="ID"/>
    <tableColumn id="2" name="Fase"/>
    <tableColumn id="3" name="Alcance"/>
    <tableColumn id="4" name="Responsable"/>
    <tableColumn id="5" name="Requisito"/>
    <tableColumn id="6" name="Criterio"/>
    <tableColumn id="7" name="Tarea"/>
    <tableColumn id="8" name="Tipo"/>
    <tableColumn id="9" name="Origen"/>
    <tableColumn id="10" name="Aceptacion"/>
    <tableColumn id="11" name="Revisa"/>
    <tableColumn id="12" name="Fecha"/>
    <tableColumn id="13" name="Estado">
      <calculatedColumnFormula>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calculatedColumnFormula>
    </tableColumn>
    <tableColumn id="14" name="Pruebas">
      <calculatedColumnFormula>IF(TblRequisitos[[#This Row],[ID]]="",0,COUNTIF(TblPruebas[Requisito],TblRequisitos[[#This Row],[ID]]))</calculatedColumnFormula>
    </tableColumn>
    <tableColumn id="15" name="Validas">
      <calculatedColumnFormula>IF(TblRequisitos[[#This Row],[ID]]="",0,COUNTIFS(TblPruebas[Requisito],TblRequisitos[[#This Row],[ID]],TblPruebas[Validez],"Valida"))</calculatedColumnFormula>
    </tableColumn>
    <tableColumn id="16" name="Fallidas">
      <calculatedColumnFormula>IF(TblRequisitos[[#This Row],[ID]]="",0,COUNTIFS(TblPruebas[Requisito],TblRequisitos[[#This Row],[ID]],TblPruebas[Resultado],"Fallida"))</calculatedColumnFormula>
    </tableColumn>
    <tableColumn id="17" name="Control">
      <calculatedColumnFormula>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calculatedColumnFormula>
    </tableColumn>
    <tableColumn id="18" name="Notas"/>
    <tableColumn id="19" name="Activa">
      <calculatedColumnFormula>IF(TblRequisitos[[#This Row],[ID]]="",0,IF(OR(TblRequisitos[[#This Row],[Alcance]]="Descartado",AND(TblRequisitos[[#This Row],[Fase]]="P2",Inicio!$B$9=0)),0,1))</calculatedColumnFormula>
    </tableColumn>
    <tableColumn id="20" name="Revisar datos">
      <calculatedColumnFormula>IF(TblRequisitos[[#This Row],[ID]]="",0,IF(TblRequisitos[[#This Row],[Control]]="OK",0,1))</calculatedColumnFormula>
    </tableColumn>
  </tableColumns>
  <tableStyleInfo name="TableStyleLight1" showFirstColumn="0" showLastColumn="0" showRowStripes="1" showColumnStripes="0"/>
</table>
</file>

<file path=xl/tables/table3.xml><?xml version="1.0" encoding="utf-8"?>
<table xmlns="http://schemas.openxmlformats.org/spreadsheetml/2006/main" id="3" name="TblPruebas" displayName="TblPruebas" ref="A7:M67" headerRowCount="1" totalsRowCount="0" totalsRowShown="0">
  <autoFilter ref="A7:M67"/>
  <tableColumns count="13">
    <tableColumn id="1" name="ID"/>
    <tableColumn id="2" name="Requisito"/>
    <tableColumn id="3" name="Ejecuta"/>
    <tableColumn id="4" name="Resultado"/>
    <tableColumn id="5" name="Caso"/>
    <tableColumn id="6" name="Preparacion"/>
    <tableColumn id="7" name="Pasos"/>
    <tableColumn id="8" name="Esperado"/>
    <tableColumn id="9" name="Evidencia"/>
    <tableColumn id="10" name="Build"/>
    <tableColumn id="11" name="Fecha"/>
    <tableColumn id="12" name="Validez">
      <calculatedColumnFormula>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calculatedColumnFormula>
    </tableColumn>
    <tableColumn id="13" name="Control">
      <calculatedColumnFormula>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calculatedColumnFormula>
    </tableColumn>
  </tableColumns>
  <tableStyleInfo name="TableStyleLight1" showFirstColumn="0" showLastColumn="0" showRowStripes="1" showColumnStripes="0"/>
</table>
</file>

<file path=xl/tables/table4.xml><?xml version="1.0" encoding="utf-8"?>
<table xmlns="http://schemas.openxmlformats.org/spreadsheetml/2006/main" id="4" name="TblEquipo" displayName="TblEquipo" ref="A7:I13" headerRowCount="1" totalsRowCount="0" totalsRowShown="0">
  <autoFilter ref="A7:I13"/>
  <tableColumns count="9">
    <tableColumn id="1" name="Persona"/>
    <tableColumn id="2" name="Coordinacion"/>
    <tableColumn id="3" name="Capacidad semanal"/>
    <tableColumn id="4" name="Tareas abiertas">
      <calculatedColumnFormula>COUNTIFS(TblTareas[Responsable],TblEquipo[[#This Row],[Persona]],TblTareas[Activa],1)-COUNTIFS(TblTareas[Responsable],TblEquipo[[#This Row],[Persona]],TblTareas[Activa],1,TblTareas[Cierre],"Aceptada")</calculatedColumnFormula>
    </tableColumn>
    <tableColumn id="5" name="Tareas aceptadas">
      <calculatedColumnFormula>COUNTIFS(TblTareas[Responsable],TblEquipo[[#This Row],[Persona]],TblTareas[Activa],1,TblTareas[Cierre],"Aceptada")</calculatedColumnFormula>
    </tableColumn>
    <tableColumn id="6" name="Horas pendientes">
      <calculatedColumnFormula>SUMIF(TblTareas[Responsable],TblEquipo[[#This Row],[Persona]],TblTareas[Horas responsable])+SUMIF(TblTareas[Apoyo],TblEquipo[[#This Row],[Persona]],TblTareas[Horas apoyo])</calculatedColumnFormula>
    </tableColumn>
    <tableColumn id="7" name="Horas en semana">
      <calculatedColumnFormula>SUMIF(TblTareas[Responsable],TblEquipo[[#This Row],[Persona]],TblTareas[Semana responsable])+SUMIF(TblTareas[Apoyo],TblEquipo[[#This Row],[Persona]],TblTareas[Semana apoyo])</calculatedColumnFormula>
    </tableColumn>
    <tableColumn id="8" name="Ocupacion">
      <calculatedColumnFormula>IF(TblEquipo[[#This Row],[Capacidad semanal]]=0,"n.a.",TblEquipo[[#This Row],[Horas en semana]]/TblEquipo[[#This Row],[Capacidad semanal]])</calculatedColumnFormula>
    </tableColumn>
    <tableColumn id="9" name="Aviso">
      <calculatedColumnFormula>IF(TblEquipo[[#This Row],[Capacidad semanal]]=0,IF(TblEquipo[[#This Row],[Horas en semana]]=0,"Sin carga","Falta capacidad"),IF(TblEquipo[[#This Row],[Horas en semana]]&gt;TblEquipo[[#This Row],[Capacidad semanal]]+0.000001,"Sobrecarga","Dentro de capacidad"))</calculatedColumnFormula>
    </tableColumn>
  </tableColumns>
  <tableStyleInfo name="TableStyleLight1" showFirstColumn="0" showLastColumn="0" showRowStripes="1" showColumnStripes="0"/>
</table>
</file>

<file path=xl/tables/table5.xml><?xml version="1.0" encoding="utf-8"?>
<table xmlns="http://schemas.openxmlformats.org/spreadsheetml/2006/main" id="5" name="TblAcuerdos" displayName="TblAcuerdos" ref="A7:J41" headerRowCount="1" totalsRowCount="0" totalsRowShown="0">
  <autoFilter ref="A7:J41"/>
  <tableColumns count="10">
    <tableColumn id="1" name="ID"/>
    <tableColumn id="2" name="Tipo"/>
    <tableColumn id="3" name="Asunto"/>
    <tableColumn id="4" name="Responsable"/>
    <tableColumn id="5" name="Estado"/>
    <tableColumn id="6" name="Requisito"/>
    <tableColumn id="7" name="Accion o decision"/>
    <tableColumn id="8" name="Disparador o motivo"/>
    <tableColumn id="9" name="Fecha"/>
    <tableColumn id="10" name="Evidencia"/>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16d855235074597" /></Relationships>
</file>

<file path=xl/worksheets/_rels/sheet2.xml.rels>&#65279;<?xml version="1.0" encoding="utf-8"?><Relationships xmlns="http://schemas.openxmlformats.org/package/2006/relationships"><Relationship Type="http://schemas.openxmlformats.org/officeDocument/2006/relationships/table" Target="/xl/tables/table1.xml" Id="Rd7e3c9701ff94865" /></Relationships>
</file>

<file path=xl/worksheets/_rels/sheet3.xml.rels>&#65279;<?xml version="1.0" encoding="utf-8"?><Relationships xmlns="http://schemas.openxmlformats.org/package/2006/relationships"><Relationship Type="http://schemas.openxmlformats.org/officeDocument/2006/relationships/table" Target="/xl/tables/table2.xml" Id="R3d45d2853df34a8d" /></Relationships>
</file>

<file path=xl/worksheets/_rels/sheet4.xml.rels>&#65279;<?xml version="1.0" encoding="utf-8"?><Relationships xmlns="http://schemas.openxmlformats.org/package/2006/relationships"><Relationship Type="http://schemas.openxmlformats.org/officeDocument/2006/relationships/table" Target="/xl/tables/table3.xml" Id="Rd2aab0db2367412b" /></Relationships>
</file>

<file path=xl/worksheets/_rels/sheet6.xml.rels>&#65279;<?xml version="1.0" encoding="utf-8"?><Relationships xmlns="http://schemas.openxmlformats.org/package/2006/relationships"><Relationship Type="http://schemas.openxmlformats.org/officeDocument/2006/relationships/table" Target="/xl/tables/table4.xml" Id="Recb49020b2774443" /></Relationships>
</file>

<file path=xl/worksheets/_rels/sheet7.xml.rels>&#65279;<?xml version="1.0" encoding="utf-8"?><Relationships xmlns="http://schemas.openxmlformats.org/package/2006/relationships"><Relationship Type="http://schemas.openxmlformats.org/officeDocument/2006/relationships/table" Target="/xl/tables/table5.xml" Id="R6a696613b1b34819" /></Relationships>
</file>

<file path=xl/worksheets/sheet1.xml><?xml version="1.0" encoding="utf-8"?>
<worksheet xmlns="http://schemas.openxmlformats.org/spreadsheetml/2006/main" xmlns:ns1="http://schemas.openxmlformats.org/officeDocument/2006/relationships">
  <sheetPr>
    <tabColor rgb="FF18344A"/>
  </sheetPr>
  <sheetViews>
    <sheetView showGridLines="0" workbookViewId="0"/>
  </sheetViews>
  <sheetFormatPr defaultRowHeight="15"/>
  <cols>
    <col min="1" max="1" width="34" hidden="0" customWidth="1"/>
    <col min="2" max="2" width="18" hidden="0" customWidth="1"/>
    <col min="3" max="3" width="11" hidden="0" customWidth="1"/>
    <col min="4" max="4" width="11" hidden="0" customWidth="1"/>
    <col min="5" max="5" width="11" hidden="0" customWidth="1"/>
    <col min="6" max="6" width="11" hidden="0" customWidth="1"/>
    <col min="7" max="7" width="11" hidden="0" customWidth="1"/>
    <col min="8" max="8" width="11" hidden="0" customWidth="1"/>
    <col min="9" max="9" width="11" hidden="0" customWidth="1"/>
    <col min="10" max="10" width="11" hidden="0" customWidth="1"/>
    <col min="11" max="11" width="11" hidden="0" customWidth="1"/>
    <col min="12" max="12" width="11" hidden="0" customWidth="1"/>
    <col min="13" max="13" width="11" hidden="0" customWidth="1"/>
    <col min="14" max="14" width="11" hidden="0" customWidth="1"/>
  </cols>
  <sheetData>
    <row r="1" ht="22" customHeight="1">
      <c r="A1" s="3"/>
      <c r="B1" s="3"/>
      <c r="C1" s="3"/>
      <c r="D1" s="3"/>
      <c r="E1" s="3"/>
      <c r="F1" s="3"/>
      <c r="G1" s="3"/>
      <c r="H1" s="3"/>
      <c r="I1" s="3"/>
      <c r="J1" s="3"/>
      <c r="K1" s="3"/>
      <c r="L1" s="3"/>
      <c r="M1" s="3"/>
      <c r="N1" s="3"/>
    </row>
    <row r="2" ht="22" customHeight="1">
      <c r="A2" s="5" t="str">
        <v>Galaga 3D  Gestión del equipo</v>
      </c>
      <c r="B2" s="3"/>
      <c r="C2" s="3"/>
      <c r="D2" s="3"/>
      <c r="E2" s="3"/>
      <c r="F2" s="3"/>
      <c r="G2" s="3"/>
      <c r="H2" s="3"/>
      <c r="I2" s="3"/>
      <c r="J2" s="3"/>
      <c r="K2" s="3"/>
      <c r="L2" s="3"/>
      <c r="M2" s="3"/>
      <c r="N2" s="3"/>
    </row>
    <row r="3" ht="22" customHeight="1">
      <c r="A3" s="7" t="str">
        <v>Versión 3  ·  Tareas, requisitos y pruebas en un único archivo.</v>
      </c>
      <c r="B3" s="3"/>
      <c r="C3" s="3"/>
      <c r="D3" s="3"/>
      <c r="E3" s="3"/>
      <c r="F3" s="3"/>
      <c r="G3" s="3"/>
      <c r="H3" s="3"/>
      <c r="I3" s="3"/>
      <c r="J3" s="3"/>
      <c r="K3" s="3"/>
      <c r="L3" s="3"/>
      <c r="M3" s="3"/>
      <c r="N3" s="3"/>
    </row>
    <row r="4" ht="22" customHeight="1">
      <c r="A4" s="8" t="str">
        <v>← Inicio</v>
      </c>
      <c r="B4" s="3"/>
      <c r="C4" s="3"/>
      <c r="D4" s="12" t="str">
        <v>Tareas</v>
      </c>
      <c r="E4" s="3"/>
      <c r="F4" s="12" t="str">
        <v>Requisitos</v>
      </c>
      <c r="G4" s="3"/>
      <c r="H4" s="12" t="str">
        <v>Pruebas</v>
      </c>
      <c r="I4" s="3"/>
      <c r="J4" s="12" t="str">
        <v>Calendario</v>
      </c>
      <c r="K4" s="3"/>
      <c r="L4" s="12" t="str">
        <v>Guia</v>
      </c>
      <c r="M4" s="3"/>
      <c r="N4" s="3"/>
    </row>
    <row r="5" ht="22" customHeight="1">
      <c r="A5" s="3"/>
      <c r="B5" s="3"/>
      <c r="C5" s="3"/>
      <c r="D5" s="3"/>
      <c r="E5" s="3"/>
      <c r="F5" s="3"/>
      <c r="G5" s="3"/>
      <c r="H5" s="3"/>
      <c r="I5" s="3"/>
      <c r="J5" s="3"/>
      <c r="K5" s="3"/>
      <c r="L5" s="3"/>
      <c r="M5" s="3"/>
      <c r="N5" s="3"/>
    </row>
    <row r="6" ht="22" customHeight="1">
      <c r="A6" s="3" t="str">
        <v>Inicio confirmado</v>
      </c>
      <c r="B6" s="11"/>
      <c r="C6" s="3"/>
      <c r="D6" s="3"/>
      <c r="E6" s="3"/>
      <c r="F6" s="3"/>
      <c r="G6" s="3"/>
      <c r="H6" s="3"/>
      <c r="I6" s="3"/>
      <c r="J6" s="3"/>
      <c r="K6" s="3"/>
      <c r="L6" s="3"/>
      <c r="M6" s="3"/>
      <c r="N6" s="3"/>
    </row>
    <row r="7" ht="22" customHeight="1">
      <c r="A7" s="3" t="str">
        <v>Fecha de seguimiento</v>
      </c>
      <c r="B7" s="11" t="n">
        <v>46303</v>
      </c>
      <c r="C7" s="3"/>
      <c r="D7" s="3"/>
      <c r="E7" s="3"/>
      <c r="F7" s="3"/>
      <c r="G7" s="3"/>
      <c r="H7" s="3"/>
      <c r="I7" s="3"/>
      <c r="J7" s="3"/>
      <c r="K7" s="3"/>
      <c r="L7" s="3"/>
      <c r="M7" s="3"/>
      <c r="N7" s="3"/>
    </row>
    <row r="8" ht="22" customHeight="1">
      <c r="A8" s="3" t="str">
        <v>Semana inicial de la vista</v>
      </c>
      <c r="B8" s="9" t="n">
        <v>1</v>
      </c>
      <c r="C8" s="3"/>
      <c r="D8" s="3"/>
      <c r="E8" s="3"/>
      <c r="F8" s="3"/>
      <c r="G8" s="3"/>
      <c r="H8" s="3"/>
      <c r="I8" s="3"/>
      <c r="J8" s="3"/>
      <c r="K8" s="3"/>
      <c r="L8" s="3"/>
      <c r="M8" s="3"/>
      <c r="N8" s="3"/>
    </row>
    <row r="9" ht="22" customHeight="1">
      <c r="A9" s="3" t="str">
        <v>Incluir P2 (0/1)</v>
      </c>
      <c r="B9" s="9" t="n">
        <v>0</v>
      </c>
      <c r="C9" s="3"/>
      <c r="D9" s="3"/>
      <c r="E9" s="3"/>
      <c r="F9" s="3"/>
      <c r="G9" s="3"/>
      <c r="H9" s="3"/>
      <c r="I9" s="3"/>
      <c r="J9" s="3"/>
      <c r="K9" s="3"/>
      <c r="L9" s="3"/>
      <c r="M9" s="3"/>
      <c r="N9" s="3"/>
    </row>
    <row r="10" ht="22" customHeight="1">
      <c r="A10" s="3" t="str">
        <v>Entrega confirmada</v>
      </c>
      <c r="B10" s="11"/>
      <c r="C10" s="3"/>
      <c r="D10" s="3"/>
      <c r="E10" s="3"/>
      <c r="F10" s="3"/>
      <c r="G10" s="3"/>
      <c r="H10" s="3"/>
      <c r="I10" s="3"/>
      <c r="J10" s="3"/>
      <c r="K10" s="3"/>
      <c r="L10" s="3"/>
      <c r="M10" s="3"/>
      <c r="N10" s="3"/>
    </row>
    <row r="11" ht="22" customHeight="1">
      <c r="A11" s="3"/>
      <c r="B11" s="3"/>
      <c r="C11" s="3"/>
      <c r="D11" s="3"/>
      <c r="E11" s="3"/>
      <c r="F11" s="3"/>
      <c r="G11" s="3"/>
      <c r="H11" s="3"/>
      <c r="I11" s="3"/>
      <c r="J11" s="3"/>
      <c r="K11" s="3"/>
      <c r="L11" s="3"/>
      <c r="M11" s="3"/>
      <c r="N11" s="3"/>
    </row>
    <row r="12" ht="22" customHeight="1">
      <c r="A12" s="3"/>
      <c r="B12" s="3"/>
      <c r="C12" s="3"/>
      <c r="D12" s="3"/>
      <c r="E12" s="3"/>
      <c r="F12" s="3"/>
      <c r="G12" s="3"/>
      <c r="H12" s="3"/>
      <c r="I12" s="3"/>
      <c r="J12" s="3"/>
      <c r="K12" s="3"/>
      <c r="L12" s="3"/>
      <c r="M12" s="3"/>
      <c r="N12" s="3"/>
    </row>
    <row r="13" ht="22" customHeight="1">
      <c r="A13" s="3"/>
      <c r="B13" s="3"/>
      <c r="C13" s="3"/>
      <c r="D13" s="3"/>
      <c r="E13" s="3"/>
      <c r="F13" s="3"/>
      <c r="G13" s="3"/>
      <c r="H13" s="3"/>
      <c r="I13" s="3"/>
      <c r="J13" s="3"/>
      <c r="K13" s="3"/>
      <c r="L13" s="3"/>
      <c r="M13" s="3"/>
      <c r="N13" s="3"/>
    </row>
    <row r="14" ht="22" customHeight="1">
      <c r="A14" s="67" t="str">
        <v>Seguimiento</v>
      </c>
      <c r="B14" s="67" t="str">
        <v>Valor</v>
      </c>
      <c r="C14" s="3"/>
      <c r="D14" s="3"/>
      <c r="E14" s="3"/>
      <c r="F14" s="3"/>
      <c r="G14" s="3"/>
      <c r="H14" s="3"/>
      <c r="I14" s="3"/>
      <c r="J14" s="3"/>
      <c r="K14" s="3"/>
      <c r="L14" s="3"/>
      <c r="M14" s="3"/>
      <c r="N14" s="3"/>
    </row>
    <row r="15" ht="29" customHeight="1">
      <c r="A15" s="3" t="str">
        <v>Tareas activas</v>
      </c>
      <c r="B15" s="3" t="n">
        <f>SUM(TblTareas[Activa])</f>
        <v>38</v>
      </c>
      <c r="C15" s="3"/>
      <c r="D15" s="3"/>
      <c r="E15" s="3"/>
      <c r="F15" s="3"/>
      <c r="G15" s="3"/>
      <c r="H15" s="3"/>
      <c r="I15" s="3"/>
      <c r="J15" s="3"/>
      <c r="K15" s="3"/>
      <c r="L15" s="3"/>
      <c r="M15" s="3"/>
      <c r="N15" s="3"/>
    </row>
    <row r="16" ht="29" customHeight="1">
      <c r="A16" s="3" t="str">
        <v>Entregas aceptadas</v>
      </c>
      <c r="B16" s="3" t="n">
        <f>COUNTIFS(TblTareas[Cierre],"Aceptada",TblTareas[Activa],1)</f>
        <v>0</v>
      </c>
      <c r="C16" s="3"/>
      <c r="D16" s="3"/>
      <c r="E16" s="3"/>
      <c r="F16" s="3"/>
      <c r="G16" s="3"/>
      <c r="H16" s="3"/>
      <c r="I16" s="3"/>
      <c r="J16" s="3"/>
      <c r="K16" s="3"/>
      <c r="L16" s="3"/>
      <c r="M16" s="3"/>
      <c r="N16" s="3"/>
    </row>
    <row r="17" ht="29" customHeight="1">
      <c r="A17" s="3" t="str">
        <v>Horas previstas activas</v>
      </c>
      <c r="B17" s="3" t="n">
        <f>SUMPRODUCT(TblTareas[Activa],TblTareas[Horas])</f>
        <v>209</v>
      </c>
      <c r="C17" s="3"/>
      <c r="D17" s="3"/>
      <c r="E17" s="3"/>
      <c r="F17" s="3"/>
      <c r="G17" s="3"/>
      <c r="H17" s="3"/>
      <c r="I17" s="3"/>
      <c r="J17" s="3"/>
      <c r="K17" s="3"/>
      <c r="L17" s="3"/>
      <c r="M17" s="3"/>
      <c r="N17" s="3"/>
    </row>
    <row r="18" ht="29" customHeight="1">
      <c r="A18" s="3" t="str">
        <v>Horas aceptadas</v>
      </c>
      <c r="B18" s="3" t="n">
        <f>SUM(TblTareas[Horas aceptadas])</f>
        <v>0</v>
      </c>
      <c r="C18" s="3"/>
      <c r="D18" s="3"/>
      <c r="E18" s="3"/>
      <c r="F18" s="3"/>
      <c r="G18" s="3"/>
      <c r="H18" s="3"/>
      <c r="I18" s="3"/>
      <c r="J18" s="3"/>
      <c r="K18" s="3"/>
      <c r="L18" s="3"/>
      <c r="M18" s="3"/>
      <c r="N18" s="3"/>
    </row>
    <row r="19" ht="29" customHeight="1">
      <c r="A19" s="3" t="str">
        <v>Avance por horas aceptadas</v>
      </c>
      <c r="B19" s="69" t="n">
        <f>IF(B17=0,"n.a.",B18/B17)</f>
        <v>0</v>
      </c>
      <c r="C19" s="3"/>
      <c r="D19" s="3"/>
      <c r="E19" s="3"/>
      <c r="F19" s="3"/>
      <c r="G19" s="3"/>
      <c r="H19" s="3"/>
      <c r="I19" s="3"/>
      <c r="J19" s="3"/>
      <c r="K19" s="3"/>
      <c r="L19" s="3"/>
      <c r="M19" s="3"/>
      <c r="N19" s="3"/>
    </row>
    <row r="20" ht="29" customHeight="1">
      <c r="A20" s="3" t="str">
        <v>Requisitos activos</v>
      </c>
      <c r="B20" s="3" t="n">
        <f>SUM(TblRequisitos[Activa])</f>
        <v>50</v>
      </c>
      <c r="C20" s="3"/>
      <c r="D20" s="3"/>
      <c r="E20" s="3"/>
      <c r="F20" s="3"/>
      <c r="G20" s="3"/>
      <c r="H20" s="3"/>
      <c r="I20" s="3"/>
      <c r="J20" s="3"/>
      <c r="K20" s="3"/>
      <c r="L20" s="3"/>
      <c r="M20" s="3"/>
      <c r="N20" s="3"/>
    </row>
    <row r="21" ht="29" customHeight="1">
      <c r="A21" s="3" t="str">
        <v>Requisitos aceptados</v>
      </c>
      <c r="B21" s="3" t="n">
        <f>COUNTIF(TblRequisitos[Estado],"Aceptado")</f>
        <v>0</v>
      </c>
      <c r="C21" s="3"/>
      <c r="D21" s="3"/>
      <c r="E21" s="3"/>
      <c r="F21" s="3"/>
      <c r="G21" s="3"/>
      <c r="H21" s="3"/>
      <c r="I21" s="3"/>
      <c r="J21" s="3"/>
      <c r="K21" s="3"/>
      <c r="L21" s="3"/>
      <c r="M21" s="3"/>
      <c r="N21" s="3"/>
    </row>
    <row r="22" ht="29" customHeight="1">
      <c r="A22" s="3" t="str">
        <v>Requisitos por acordar</v>
      </c>
      <c r="B22" s="3" t="n">
        <f>COUNTIF(TblRequisitos[Estado],"Por acordar")</f>
        <v>47</v>
      </c>
      <c r="C22" s="3"/>
      <c r="D22" s="3"/>
      <c r="E22" s="3"/>
      <c r="F22" s="3"/>
      <c r="G22" s="3"/>
      <c r="H22" s="3"/>
      <c r="I22" s="3"/>
      <c r="J22" s="3"/>
      <c r="K22" s="3"/>
      <c r="L22" s="3"/>
      <c r="M22" s="3"/>
      <c r="N22" s="3"/>
    </row>
    <row r="23" ht="29" customHeight="1">
      <c r="A23" s="3" t="str">
        <v>Pruebas fallidas activas</v>
      </c>
      <c r="B23" s="3" t="n">
        <f>SUMIFS(TblRequisitos[Fallidas],TblRequisitos[Estado],"&lt;&gt;Fuera de alcance")</f>
        <v>0</v>
      </c>
      <c r="C23" s="3"/>
      <c r="D23" s="3"/>
      <c r="E23" s="3"/>
      <c r="F23" s="3"/>
      <c r="G23" s="3"/>
      <c r="H23" s="3"/>
      <c r="I23" s="3"/>
      <c r="J23" s="3"/>
      <c r="K23" s="3"/>
      <c r="L23" s="3"/>
      <c r="M23" s="3"/>
      <c r="N23" s="3"/>
    </row>
    <row r="24" ht="22" customHeight="1">
      <c r="A24" s="3"/>
      <c r="B24" s="3"/>
      <c r="C24" s="3"/>
      <c r="D24" s="3"/>
      <c r="E24" s="3"/>
      <c r="F24" s="3"/>
      <c r="G24" s="3"/>
      <c r="H24" s="3"/>
      <c r="I24" s="3"/>
      <c r="J24" s="3"/>
      <c r="K24" s="3"/>
      <c r="L24" s="3"/>
      <c r="M24" s="3"/>
      <c r="N24" s="3"/>
    </row>
    <row r="25" ht="22" customHeight="1">
      <c r="A25" s="3"/>
      <c r="B25" s="3"/>
      <c r="C25" s="3"/>
      <c r="D25" s="3"/>
      <c r="E25" s="3"/>
      <c r="F25" s="3"/>
      <c r="G25" s="3"/>
      <c r="H25" s="3"/>
      <c r="I25" s="3"/>
      <c r="J25" s="3"/>
      <c r="K25" s="3"/>
      <c r="L25" s="3"/>
      <c r="M25" s="3"/>
      <c r="N25" s="3"/>
    </row>
    <row r="26" ht="22" customHeight="1">
      <c r="A26" s="3"/>
      <c r="B26" s="3"/>
      <c r="C26" s="3"/>
      <c r="D26" s="3"/>
      <c r="E26" s="3"/>
      <c r="F26" s="3"/>
      <c r="G26" s="3"/>
      <c r="H26" s="3"/>
      <c r="I26" s="3"/>
      <c r="J26" s="3"/>
      <c r="K26" s="3"/>
      <c r="L26" s="3"/>
      <c r="M26" s="3"/>
      <c r="N26" s="3"/>
    </row>
    <row r="27" ht="38" customHeight="1">
      <c r="A27" s="67" t="str">
        <v>Atención para la reunión</v>
      </c>
      <c r="B27" s="67" t="str">
        <v>Casos</v>
      </c>
      <c r="C27" s="3"/>
      <c r="D27" s="62" t="str">
        <v>Persona</v>
      </c>
      <c r="E27" s="62" t="str">
        <v>Carga pendiente h</v>
      </c>
      <c r="F27" s="62" t="str">
        <v>Capacidad h</v>
      </c>
      <c r="G27" s="3"/>
      <c r="H27" s="3"/>
      <c r="I27" s="3"/>
      <c r="J27" s="3"/>
      <c r="K27" s="3"/>
      <c r="L27" s="3"/>
      <c r="M27" s="3"/>
      <c r="N27" s="3"/>
    </row>
    <row r="28" ht="29" customHeight="1">
      <c r="A28" s="3" t="str">
        <v>Tareas vencidas</v>
      </c>
      <c r="B28" s="3" t="n">
        <f>COUNTIF(TblTareas[Aviso],"Vencida")</f>
        <v>0</v>
      </c>
      <c r="C28" s="3"/>
      <c r="D28" s="3" t="str">
        <v>Pablo</v>
      </c>
      <c r="E28" s="71" t="n">
        <f>INDEX(TblEquipo[Horas en semana],MATCH(D28,TblEquipo[Persona],0))</f>
        <v>7.5</v>
      </c>
      <c r="F28" s="71" t="n">
        <f>INDEX(TblEquipo[Capacidad semanal],MATCH(D28,TblEquipo[Persona],0))</f>
        <v>8</v>
      </c>
      <c r="G28" s="3"/>
      <c r="H28" s="3"/>
      <c r="I28" s="3"/>
      <c r="J28" s="3"/>
      <c r="K28" s="3"/>
      <c r="L28" s="3"/>
      <c r="M28" s="3"/>
      <c r="N28" s="3"/>
    </row>
    <row r="29" ht="29" customHeight="1">
      <c r="A29" s="3" t="str">
        <v>Tareas bloqueadas</v>
      </c>
      <c r="B29" s="3" t="n">
        <f>COUNTIFS(TblTareas[Estado],"Bloqueada",TblTareas[Activa],1)</f>
        <v>0</v>
      </c>
      <c r="C29" s="3"/>
      <c r="D29" s="3" t="str">
        <v>Amin</v>
      </c>
      <c r="E29" s="71" t="n">
        <f>INDEX(TblEquipo[Horas en semana],MATCH(D29,TblEquipo[Persona],0))</f>
        <v>6.75</v>
      </c>
      <c r="F29" s="71" t="n">
        <f>INDEX(TblEquipo[Capacidad semanal],MATCH(D29,TblEquipo[Persona],0))</f>
        <v>8</v>
      </c>
      <c r="G29" s="3"/>
      <c r="H29" s="3"/>
      <c r="I29" s="3"/>
      <c r="J29" s="3"/>
      <c r="K29" s="3"/>
      <c r="L29" s="3"/>
      <c r="M29" s="3"/>
      <c r="N29" s="3"/>
    </row>
    <row r="30" ht="29" customHeight="1">
      <c r="A30" s="3" t="str">
        <v>Tareas con datos a revisar</v>
      </c>
      <c r="B30" s="3" t="n">
        <f>SUM(TblTareas[Revisar datos])</f>
        <v>0</v>
      </c>
      <c r="C30" s="3"/>
      <c r="D30" s="3" t="str">
        <v>Ferran</v>
      </c>
      <c r="E30" s="71" t="n">
        <f>INDEX(TblEquipo[Horas en semana],MATCH(D30,TblEquipo[Persona],0))</f>
        <v>1.2</v>
      </c>
      <c r="F30" s="71" t="n">
        <f>INDEX(TblEquipo[Capacidad semanal],MATCH(D30,TblEquipo[Persona],0))</f>
        <v>8</v>
      </c>
      <c r="G30" s="3"/>
      <c r="H30" s="3"/>
      <c r="I30" s="3"/>
      <c r="J30" s="3"/>
      <c r="K30" s="3"/>
      <c r="L30" s="3"/>
      <c r="M30" s="3"/>
      <c r="N30" s="3"/>
    </row>
    <row r="31" ht="29" customHeight="1">
      <c r="A31" s="3" t="str">
        <v>Personas con sobrecarga</v>
      </c>
      <c r="B31" s="3" t="n">
        <f>COUNTIF(TblEquipo[Aviso],"Sobrecarga")+COUNTIF(TblEquipo[Aviso],"Falta capacidad")</f>
        <v>0</v>
      </c>
      <c r="C31" s="3"/>
      <c r="D31" s="3" t="str">
        <v>Iker</v>
      </c>
      <c r="E31" s="71" t="n">
        <f>INDEX(TblEquipo[Horas en semana],MATCH(D31,TblEquipo[Persona],0))</f>
        <v>6.3</v>
      </c>
      <c r="F31" s="71" t="n">
        <f>INDEX(TblEquipo[Capacidad semanal],MATCH(D31,TblEquipo[Persona],0))</f>
        <v>8</v>
      </c>
      <c r="G31" s="3"/>
      <c r="H31" s="3"/>
      <c r="I31" s="3"/>
      <c r="J31" s="3"/>
      <c r="K31" s="3"/>
      <c r="L31" s="3"/>
      <c r="M31" s="3"/>
      <c r="N31" s="3"/>
    </row>
    <row r="32" ht="29" customHeight="1">
      <c r="A32" s="3" t="str">
        <v>Requisitos con datos a revisar</v>
      </c>
      <c r="B32" s="3" t="n">
        <f>SUM(TblRequisitos[Revisar datos])</f>
        <v>0</v>
      </c>
      <c r="C32" s="3"/>
      <c r="D32" s="3" t="str">
        <v>Uri</v>
      </c>
      <c r="E32" s="71" t="n">
        <f>INDEX(TblEquipo[Horas en semana],MATCH(D32,TblEquipo[Persona],0))</f>
        <v>0.30000000000000004</v>
      </c>
      <c r="F32" s="71" t="n">
        <f>INDEX(TblEquipo[Capacidad semanal],MATCH(D32,TblEquipo[Persona],0))</f>
        <v>8</v>
      </c>
      <c r="G32" s="3"/>
      <c r="H32" s="3"/>
      <c r="I32" s="3"/>
      <c r="J32" s="3"/>
      <c r="K32" s="3"/>
      <c r="L32" s="3"/>
      <c r="M32" s="3"/>
      <c r="N32" s="3"/>
    </row>
    <row r="33" ht="29" customHeight="1">
      <c r="A33" s="3" t="str">
        <v>Pruebas aprobadas sin evidencia</v>
      </c>
      <c r="B33" s="3" t="n">
        <f>COUNTIF(TblPruebas[Validez],"Falta*")</f>
        <v>0</v>
      </c>
      <c r="C33" s="3"/>
      <c r="D33" s="3" t="str">
        <v>David</v>
      </c>
      <c r="E33" s="71" t="n">
        <f>INDEX(TblEquipo[Horas en semana],MATCH(D33,TblEquipo[Persona],0))</f>
        <v>3.45</v>
      </c>
      <c r="F33" s="71" t="n">
        <f>INDEX(TblEquipo[Capacidad semanal],MATCH(D33,TblEquipo[Persona],0))</f>
        <v>8</v>
      </c>
      <c r="G33" s="3"/>
      <c r="H33" s="3"/>
      <c r="I33" s="3"/>
      <c r="J33" s="3"/>
      <c r="K33" s="3"/>
      <c r="L33" s="3"/>
      <c r="M33" s="3"/>
      <c r="N33" s="3"/>
    </row>
    <row r="34" ht="22" customHeight="1">
      <c r="A34" s="3"/>
      <c r="B34" s="3"/>
      <c r="C34" s="3"/>
      <c r="D34" s="3"/>
      <c r="E34" s="3"/>
      <c r="F34" s="3"/>
      <c r="G34" s="3"/>
      <c r="H34" s="3"/>
      <c r="I34" s="3"/>
      <c r="J34" s="3"/>
      <c r="K34" s="3"/>
      <c r="L34" s="3"/>
      <c r="M34" s="3"/>
      <c r="N34" s="3"/>
    </row>
    <row r="35" ht="22" customHeight="1">
      <c r="A35" s="3"/>
      <c r="B35" s="3"/>
      <c r="C35" s="3"/>
      <c r="D35" s="3"/>
      <c r="E35" s="3"/>
      <c r="F35" s="3"/>
      <c r="G35" s="3"/>
      <c r="H35" s="3"/>
      <c r="I35" s="3"/>
      <c r="J35" s="3"/>
      <c r="K35" s="3"/>
      <c r="L35" s="3"/>
      <c r="M35" s="3"/>
      <c r="N35" s="3"/>
    </row>
    <row r="36" ht="22" customHeight="1">
      <c r="A36" s="3" t="str">
        <v>Hipótesis del calendario</v>
      </c>
      <c r="B36" s="3"/>
      <c r="C36" s="3"/>
      <c r="D36" s="3"/>
      <c r="E36" s="3"/>
      <c r="F36" s="3"/>
      <c r="G36" s="3"/>
      <c r="H36" s="3"/>
      <c r="I36" s="3"/>
      <c r="J36" s="3"/>
      <c r="K36" s="3"/>
      <c r="L36" s="3"/>
      <c r="M36" s="3"/>
      <c r="N36" s="3"/>
    </row>
    <row r="37" ht="22" customHeight="1">
      <c r="A37" s="3" t="str">
        <v>Plan inicial P0/P1: 13 semanas, con 8 h/persona/semana por confirmar.</v>
      </c>
      <c r="B37" s="3"/>
      <c r="C37" s="3"/>
      <c r="D37" s="3"/>
      <c r="E37" s="3"/>
      <c r="F37" s="3"/>
      <c r="G37" s="3"/>
      <c r="H37" s="3"/>
      <c r="I37" s="3"/>
      <c r="J37" s="3"/>
      <c r="K37" s="3"/>
      <c r="L37" s="3"/>
      <c r="M37" s="3"/>
      <c r="N37" s="3"/>
    </row>
    <row r="38" ht="22" customHeight="1">
      <c r="A38" s="3"/>
      <c r="B38" s="3"/>
      <c r="C38" s="3"/>
      <c r="D38" s="3"/>
      <c r="E38" s="3"/>
      <c r="F38" s="3"/>
      <c r="G38" s="3"/>
      <c r="H38" s="3"/>
      <c r="I38" s="3"/>
      <c r="J38" s="3"/>
      <c r="K38" s="3"/>
      <c r="L38" s="3"/>
      <c r="M38" s="3"/>
      <c r="N38" s="3"/>
    </row>
    <row r="39" ht="22" customHeight="1">
      <c r="A39" s="3" t="str">
        <v>El comienzo y la entrega están vacíos hasta que el grupo confirme fechas.</v>
      </c>
      <c r="B39" s="3"/>
      <c r="C39" s="3"/>
      <c r="D39" s="3"/>
      <c r="E39" s="3"/>
      <c r="F39" s="3"/>
      <c r="G39" s="3"/>
      <c r="H39" s="3"/>
      <c r="I39" s="3"/>
      <c r="J39" s="3"/>
      <c r="K39" s="3"/>
      <c r="L39" s="3"/>
      <c r="M39" s="3"/>
      <c r="N39" s="3"/>
    </row>
    <row r="40" ht="22" customHeight="1">
      <c r="A40" s="3"/>
      <c r="B40" s="3"/>
      <c r="C40" s="3"/>
      <c r="D40" s="3"/>
      <c r="E40" s="3"/>
      <c r="F40" s="3"/>
      <c r="G40" s="3"/>
      <c r="H40" s="3"/>
      <c r="I40" s="3"/>
      <c r="J40" s="3"/>
      <c r="K40" s="3"/>
      <c r="L40" s="3"/>
      <c r="M40" s="3"/>
      <c r="N40" s="3"/>
    </row>
    <row r="41" ht="22" customHeight="1">
      <c r="A41" s="3" t="str">
        <v>En Tareas: editar Estado y aportar Evidencia, Revisa y Fecha para cerrar una entrega.</v>
      </c>
      <c r="B41" s="3"/>
      <c r="C41" s="3"/>
      <c r="D41" s="3"/>
      <c r="E41" s="3"/>
      <c r="F41" s="3"/>
      <c r="G41" s="3"/>
      <c r="H41" s="3"/>
      <c r="I41" s="3"/>
      <c r="J41" s="3"/>
      <c r="K41" s="3"/>
      <c r="L41" s="3"/>
      <c r="M41" s="3"/>
      <c r="N41" s="3"/>
    </row>
    <row r="42" ht="22" customHeight="1">
      <c r="A42" s="3"/>
      <c r="B42" s="3"/>
      <c r="C42" s="3"/>
      <c r="D42" s="3"/>
      <c r="E42" s="3"/>
      <c r="F42" s="3"/>
      <c r="G42" s="3"/>
      <c r="H42" s="3"/>
      <c r="I42" s="3"/>
      <c r="J42" s="3"/>
      <c r="K42" s="3"/>
      <c r="L42" s="3"/>
      <c r="M42" s="3"/>
      <c r="N42" s="3"/>
    </row>
    <row r="43" ht="22" customHeight="1">
      <c r="A43" s="3" t="str">
        <v>En Requisitos: acordar el alcance y registrar aceptación después de pasar las pruebas.</v>
      </c>
      <c r="B43" s="3"/>
      <c r="C43" s="3"/>
      <c r="D43" s="3"/>
      <c r="E43" s="3"/>
      <c r="F43" s="3"/>
      <c r="G43" s="3"/>
      <c r="H43" s="3"/>
      <c r="I43" s="3"/>
      <c r="J43" s="3"/>
      <c r="K43" s="3"/>
      <c r="L43" s="3"/>
      <c r="M43" s="3"/>
      <c r="N43" s="3"/>
    </row>
    <row r="44" ht="22" customHeight="1">
      <c r="A44" s="3"/>
      <c r="B44" s="3"/>
      <c r="C44" s="3"/>
      <c r="D44" s="3"/>
      <c r="E44" s="3"/>
      <c r="F44" s="3"/>
      <c r="G44" s="3"/>
      <c r="H44" s="3"/>
      <c r="I44" s="3"/>
      <c r="J44" s="3"/>
      <c r="K44" s="3"/>
      <c r="L44" s="3"/>
      <c r="M44" s="3"/>
      <c r="N44" s="3"/>
    </row>
    <row r="45" ht="22" customHeight="1">
      <c r="A45" s="3" t="str">
        <v>No escribir porcentajes de avance: el resumen calcula entregas y horas aceptadas.</v>
      </c>
      <c r="B45" s="3"/>
      <c r="C45" s="3"/>
      <c r="D45" s="3"/>
      <c r="E45" s="3"/>
      <c r="F45" s="3"/>
      <c r="G45" s="3"/>
      <c r="H45" s="3"/>
      <c r="I45" s="3"/>
      <c r="J45" s="3"/>
      <c r="K45" s="3"/>
      <c r="L45" s="3"/>
      <c r="M45" s="3"/>
      <c r="N45" s="3"/>
    </row>
    <row r="46" ht="22" customHeight="1">
      <c r="A46" s="3"/>
      <c r="B46" s="3"/>
      <c r="C46" s="3"/>
      <c r="D46" s="3"/>
      <c r="E46" s="3"/>
      <c r="F46" s="3"/>
      <c r="G46" s="3"/>
      <c r="H46" s="3"/>
      <c r="I46" s="3"/>
      <c r="J46" s="3"/>
      <c r="K46" s="3"/>
      <c r="L46" s="3"/>
      <c r="M46" s="3"/>
      <c r="N46" s="3"/>
    </row>
    <row r="47" ht="22" customHeight="1">
      <c r="A47" s="3"/>
      <c r="B47" s="3"/>
      <c r="C47" s="3"/>
      <c r="D47" s="3"/>
      <c r="E47" s="3"/>
      <c r="F47" s="3"/>
      <c r="G47" s="3"/>
      <c r="H47" s="3"/>
      <c r="I47" s="3"/>
      <c r="J47" s="3"/>
      <c r="K47" s="3"/>
      <c r="L47" s="3"/>
      <c r="M47" s="3"/>
      <c r="N47" s="3"/>
    </row>
    <row r="48" ht="22" customHeight="1">
      <c r="A48" s="3"/>
      <c r="B48" s="3"/>
      <c r="C48" s="3"/>
      <c r="D48" s="3"/>
      <c r="E48" s="3"/>
      <c r="F48" s="3"/>
      <c r="G48" s="3"/>
      <c r="H48" s="3"/>
      <c r="I48" s="3"/>
      <c r="J48" s="3"/>
      <c r="K48" s="3"/>
      <c r="L48" s="3"/>
      <c r="M48" s="3"/>
      <c r="N48" s="3"/>
    </row>
    <row r="49" ht="22" customHeight="1">
      <c r="A49" s="3"/>
      <c r="B49" s="3"/>
      <c r="C49" s="3"/>
      <c r="D49" s="3"/>
      <c r="E49" s="3"/>
      <c r="F49" s="3"/>
      <c r="G49" s="3"/>
      <c r="H49" s="3"/>
      <c r="I49" s="3"/>
      <c r="J49" s="3"/>
      <c r="K49" s="3"/>
      <c r="L49" s="3"/>
      <c r="M49" s="3"/>
      <c r="N49" s="3"/>
    </row>
    <row r="50" ht="22" customHeight="1">
      <c r="A50" s="3"/>
      <c r="B50" s="3"/>
      <c r="C50" s="3"/>
      <c r="D50" s="3"/>
      <c r="E50" s="3"/>
      <c r="F50" s="3"/>
      <c r="G50" s="3"/>
      <c r="H50" s="3"/>
      <c r="I50" s="3"/>
      <c r="J50" s="3"/>
      <c r="K50" s="3"/>
      <c r="L50" s="3"/>
      <c r="M50" s="3"/>
      <c r="N50" s="3"/>
    </row>
    <row r="51" ht="22" customHeight="1">
      <c r="A51" s="3"/>
      <c r="B51" s="3"/>
      <c r="C51" s="3"/>
      <c r="D51" s="3"/>
      <c r="E51" s="3"/>
      <c r="F51" s="3"/>
      <c r="G51" s="3"/>
      <c r="H51" s="3"/>
      <c r="I51" s="3"/>
      <c r="J51" s="3"/>
      <c r="K51" s="3"/>
      <c r="L51" s="3"/>
      <c r="M51" s="3"/>
      <c r="N51" s="3"/>
    </row>
    <row r="52" ht="22" customHeight="1">
      <c r="A52" s="3"/>
      <c r="B52" s="3"/>
      <c r="C52" s="3"/>
      <c r="D52" s="3"/>
      <c r="E52" s="3"/>
      <c r="F52" s="3"/>
      <c r="G52" s="3"/>
      <c r="H52" s="3"/>
      <c r="I52" s="3"/>
      <c r="J52" s="3"/>
      <c r="K52" s="3"/>
      <c r="L52" s="3"/>
      <c r="M52" s="3"/>
      <c r="N52" s="3"/>
    </row>
    <row r="53" ht="22" customHeight="1">
      <c r="A53" s="3"/>
      <c r="B53" s="3"/>
      <c r="C53" s="3"/>
      <c r="D53" s="3"/>
      <c r="E53" s="3"/>
      <c r="F53" s="3"/>
      <c r="G53" s="3"/>
      <c r="H53" s="3"/>
      <c r="I53" s="3"/>
      <c r="J53" s="3"/>
      <c r="K53" s="3"/>
      <c r="L53" s="3"/>
      <c r="M53" s="3"/>
      <c r="N53" s="3"/>
    </row>
    <row r="54" ht="22" customHeight="1">
      <c r="A54" s="3"/>
      <c r="B54" s="3"/>
      <c r="C54" s="3"/>
      <c r="D54" s="3"/>
      <c r="E54" s="3"/>
      <c r="F54" s="3"/>
      <c r="G54" s="3"/>
      <c r="H54" s="3"/>
      <c r="I54" s="3"/>
      <c r="J54" s="3"/>
      <c r="K54" s="3"/>
      <c r="L54" s="3"/>
      <c r="M54" s="3"/>
      <c r="N54" s="3"/>
    </row>
    <row r="55" ht="22" customHeight="1">
      <c r="A55" s="3"/>
      <c r="B55" s="3"/>
      <c r="C55" s="3"/>
      <c r="D55" s="3"/>
      <c r="E55" s="3"/>
      <c r="F55" s="3"/>
      <c r="G55" s="3"/>
      <c r="H55" s="3"/>
      <c r="I55" s="3"/>
      <c r="J55" s="3"/>
      <c r="K55" s="3"/>
      <c r="L55" s="3"/>
      <c r="M55" s="3"/>
      <c r="N55" s="3"/>
    </row>
    <row r="56" ht="22" customHeight="1">
      <c r="A56" s="3"/>
      <c r="B56" s="3"/>
      <c r="C56" s="3"/>
      <c r="D56" s="3"/>
      <c r="E56" s="3"/>
      <c r="F56" s="3"/>
      <c r="G56" s="3"/>
      <c r="H56" s="3"/>
      <c r="I56" s="3"/>
      <c r="J56" s="3"/>
      <c r="K56" s="3"/>
      <c r="L56" s="3"/>
      <c r="M56" s="3"/>
      <c r="N56" s="3"/>
    </row>
    <row r="57" ht="22" customHeight="1">
      <c r="A57" s="3"/>
      <c r="B57" s="3"/>
      <c r="C57" s="3"/>
      <c r="D57" s="3"/>
      <c r="E57" s="3"/>
      <c r="F57" s="3"/>
      <c r="G57" s="3"/>
      <c r="H57" s="3"/>
      <c r="I57" s="3"/>
      <c r="J57" s="3"/>
      <c r="K57" s="3"/>
      <c r="L57" s="3"/>
      <c r="M57" s="3"/>
      <c r="N57" s="3"/>
    </row>
    <row r="58" ht="22" customHeight="1">
      <c r="A58" s="3"/>
      <c r="B58" s="3"/>
      <c r="C58" s="3"/>
      <c r="D58" s="3"/>
      <c r="E58" s="3"/>
      <c r="F58" s="3"/>
      <c r="G58" s="3"/>
      <c r="H58" s="3"/>
      <c r="I58" s="3"/>
      <c r="J58" s="3"/>
      <c r="K58" s="3"/>
      <c r="L58" s="3"/>
      <c r="M58" s="3"/>
      <c r="N58" s="3"/>
    </row>
    <row r="59" ht="22" customHeight="1">
      <c r="A59" s="3"/>
      <c r="B59" s="3"/>
      <c r="C59" s="3"/>
      <c r="D59" s="3"/>
      <c r="E59" s="3"/>
      <c r="F59" s="3"/>
      <c r="G59" s="3"/>
      <c r="H59" s="3"/>
      <c r="I59" s="3"/>
      <c r="J59" s="3"/>
      <c r="K59" s="3"/>
      <c r="L59" s="3"/>
      <c r="M59" s="3"/>
      <c r="N59" s="3"/>
    </row>
    <row r="60" ht="22" customHeight="1">
      <c r="A60" s="3"/>
      <c r="B60" s="3"/>
      <c r="C60" s="3"/>
      <c r="D60" s="3"/>
      <c r="E60" s="3"/>
      <c r="F60" s="3"/>
      <c r="G60" s="3"/>
      <c r="H60" s="3"/>
      <c r="I60" s="3"/>
      <c r="J60" s="3"/>
      <c r="K60" s="3"/>
      <c r="L60" s="3"/>
      <c r="M60" s="3"/>
      <c r="N60" s="3"/>
    </row>
    <row r="61" ht="22" customHeight="1">
      <c r="A61" s="3"/>
      <c r="B61" s="3"/>
      <c r="C61" s="3"/>
      <c r="D61" s="3"/>
      <c r="E61" s="3"/>
      <c r="F61" s="3"/>
      <c r="G61" s="3"/>
      <c r="H61" s="3"/>
      <c r="I61" s="3"/>
      <c r="J61" s="3"/>
      <c r="K61" s="3"/>
      <c r="L61" s="3"/>
      <c r="M61" s="3"/>
      <c r="N61" s="3"/>
    </row>
    <row r="62" ht="22" customHeight="1">
      <c r="A62" s="3"/>
      <c r="B62" s="3"/>
      <c r="C62" s="3"/>
      <c r="D62" s="3"/>
      <c r="E62" s="3"/>
      <c r="F62" s="3"/>
      <c r="G62" s="3"/>
      <c r="H62" s="3"/>
      <c r="I62" s="3"/>
      <c r="J62" s="3"/>
      <c r="K62" s="3"/>
      <c r="L62" s="3"/>
      <c r="M62" s="3"/>
      <c r="N62" s="3"/>
    </row>
    <row r="63" ht="22" customHeight="1">
      <c r="A63" s="3"/>
      <c r="B63" s="3"/>
      <c r="C63" s="3"/>
      <c r="D63" s="3"/>
      <c r="E63" s="3"/>
      <c r="F63" s="3"/>
      <c r="G63" s="3"/>
      <c r="H63" s="3"/>
      <c r="I63" s="3"/>
      <c r="J63" s="3"/>
      <c r="K63" s="3"/>
      <c r="L63" s="3"/>
      <c r="M63" s="3"/>
      <c r="N63" s="3"/>
    </row>
    <row r="64" ht="22" customHeight="1">
      <c r="A64" s="3"/>
      <c r="B64" s="3"/>
      <c r="C64" s="3"/>
      <c r="D64" s="3"/>
      <c r="E64" s="3"/>
      <c r="F64" s="3"/>
      <c r="G64" s="3"/>
      <c r="H64" s="3"/>
      <c r="I64" s="3"/>
      <c r="J64" s="3"/>
      <c r="K64" s="3"/>
      <c r="L64" s="3"/>
      <c r="M64" s="3"/>
      <c r="N64" s="3"/>
    </row>
    <row r="65" ht="22" customHeight="1">
      <c r="A65" s="3"/>
      <c r="B65" s="3"/>
      <c r="C65" s="3"/>
      <c r="D65" s="3"/>
      <c r="E65" s="3"/>
      <c r="F65" s="3"/>
      <c r="G65" s="3"/>
      <c r="H65" s="3"/>
      <c r="I65" s="3"/>
      <c r="J65" s="3"/>
      <c r="K65" s="3"/>
      <c r="L65" s="3"/>
      <c r="M65" s="3"/>
      <c r="N65" s="3"/>
    </row>
    <row r="66" ht="22" customHeight="1">
      <c r="A66" s="3"/>
      <c r="B66" s="3"/>
      <c r="C66" s="3"/>
      <c r="D66" s="3"/>
      <c r="E66" s="3"/>
      <c r="F66" s="3"/>
      <c r="G66" s="3"/>
      <c r="H66" s="3"/>
      <c r="I66" s="3"/>
      <c r="J66" s="3"/>
      <c r="K66" s="3"/>
      <c r="L66" s="3"/>
      <c r="M66" s="3"/>
      <c r="N66" s="3"/>
    </row>
    <row r="67" ht="22" customHeight="1">
      <c r="A67" s="3"/>
      <c r="B67" s="3"/>
      <c r="C67" s="3"/>
      <c r="D67" s="3"/>
      <c r="E67" s="3"/>
      <c r="F67" s="3"/>
      <c r="G67" s="3"/>
      <c r="H67" s="3"/>
      <c r="I67" s="3"/>
      <c r="J67" s="3"/>
      <c r="K67" s="3"/>
      <c r="L67" s="3"/>
      <c r="M67" s="3"/>
      <c r="N67" s="3"/>
    </row>
    <row r="68" ht="22" customHeight="1">
      <c r="A68" s="3"/>
      <c r="B68" s="3"/>
      <c r="C68" s="3"/>
      <c r="D68" s="3"/>
      <c r="E68" s="3"/>
      <c r="F68" s="3"/>
      <c r="G68" s="3"/>
      <c r="H68" s="3"/>
      <c r="I68" s="3"/>
      <c r="J68" s="3"/>
      <c r="K68" s="3"/>
      <c r="L68" s="3"/>
      <c r="M68" s="3"/>
      <c r="N68" s="3"/>
    </row>
    <row r="69" ht="22" customHeight="1">
      <c r="A69" s="3"/>
      <c r="B69" s="3"/>
      <c r="C69" s="3"/>
      <c r="D69" s="3"/>
      <c r="E69" s="3"/>
      <c r="F69" s="3"/>
      <c r="G69" s="3"/>
      <c r="H69" s="3"/>
      <c r="I69" s="3"/>
      <c r="J69" s="3"/>
      <c r="K69" s="3"/>
      <c r="L69" s="3"/>
      <c r="M69" s="3"/>
      <c r="N69" s="3"/>
    </row>
    <row r="70" ht="22" customHeight="1">
      <c r="A70" s="3"/>
      <c r="B70" s="3"/>
      <c r="C70" s="3"/>
      <c r="D70" s="3"/>
      <c r="E70" s="3"/>
      <c r="F70" s="3"/>
      <c r="G70" s="3"/>
      <c r="H70" s="3"/>
      <c r="I70" s="3"/>
      <c r="J70" s="3"/>
      <c r="K70" s="3"/>
      <c r="L70" s="3"/>
      <c r="M70" s="3"/>
      <c r="N70" s="3"/>
    </row>
    <row r="71" ht="22" customHeight="1">
      <c r="A71" s="3"/>
      <c r="B71" s="3"/>
      <c r="C71" s="3"/>
      <c r="D71" s="3"/>
      <c r="E71" s="3"/>
      <c r="F71" s="3"/>
      <c r="G71" s="3"/>
      <c r="H71" s="3"/>
      <c r="I71" s="3"/>
      <c r="J71" s="3"/>
      <c r="K71" s="3"/>
      <c r="L71" s="3"/>
      <c r="M71" s="3"/>
      <c r="N71" s="3"/>
    </row>
    <row r="72" ht="22" customHeight="1">
      <c r="A72" s="3"/>
      <c r="B72" s="3"/>
      <c r="C72" s="3"/>
      <c r="D72" s="3"/>
      <c r="E72" s="3"/>
      <c r="F72" s="3"/>
      <c r="G72" s="3"/>
      <c r="H72" s="3"/>
      <c r="I72" s="3"/>
      <c r="J72" s="3"/>
      <c r="K72" s="3"/>
      <c r="L72" s="3"/>
      <c r="M72" s="3"/>
      <c r="N72" s="3"/>
    </row>
    <row r="73" ht="22" customHeight="1">
      <c r="A73" s="3"/>
      <c r="B73" s="3"/>
      <c r="C73" s="3"/>
      <c r="D73" s="3"/>
      <c r="E73" s="3"/>
      <c r="F73" s="3"/>
      <c r="G73" s="3"/>
      <c r="H73" s="3"/>
      <c r="I73" s="3"/>
      <c r="J73" s="3"/>
      <c r="K73" s="3"/>
      <c r="L73" s="3"/>
      <c r="M73" s="3"/>
      <c r="N73" s="3"/>
    </row>
    <row r="74" ht="22" customHeight="1">
      <c r="A74" s="3"/>
      <c r="B74" s="3"/>
      <c r="C74" s="3"/>
      <c r="D74" s="3"/>
      <c r="E74" s="3"/>
      <c r="F74" s="3"/>
      <c r="G74" s="3"/>
      <c r="H74" s="3"/>
      <c r="I74" s="3"/>
      <c r="J74" s="3"/>
      <c r="K74" s="3"/>
      <c r="L74" s="3"/>
      <c r="M74" s="3"/>
      <c r="N74" s="3"/>
    </row>
    <row r="75" ht="22" customHeight="1">
      <c r="A75" s="3"/>
      <c r="B75" s="3"/>
      <c r="C75" s="3"/>
      <c r="D75" s="3"/>
      <c r="E75" s="3"/>
      <c r="F75" s="3"/>
      <c r="G75" s="3"/>
      <c r="H75" s="3"/>
      <c r="I75" s="3"/>
      <c r="J75" s="3"/>
      <c r="K75" s="3"/>
      <c r="L75" s="3"/>
      <c r="M75" s="3"/>
      <c r="N75" s="3"/>
    </row>
  </sheetData>
  <mergeCells>
    <mergeCell ref="A36:N36"/>
    <mergeCell ref="A37:N37"/>
    <mergeCell ref="A39:N39"/>
    <mergeCell ref="A41:N41"/>
    <mergeCell ref="A43:N43"/>
    <mergeCell ref="A45:N45"/>
  </mergeCells>
  <conditionalFormatting sqref="B28:B33">
    <cfRule type="cellIs" dxfId="50" priority="1" operator="greaterThan">
      <formula>0</formula>
    </cfRule>
  </conditionalFormatting>
  <dataValidations count="4">
    <dataValidation type="whole" operator="between" sqref="B8">
      <formula1>1</formula1>
      <formula2>52</formula2>
    </dataValidation>
    <dataValidation type="whole" operator="between" sqref="B9">
      <formula1>0</formula1>
      <formula2>1</formula2>
    </dataValidation>
    <dataValidation type="whole" operator="between" sqref="B6:B7">
      <formula1>1</formula1>
      <formula2>2958465</formula2>
    </dataValidation>
    <dataValidation type="whole" operator="between" sqref="B10">
      <formula1>1</formula1>
      <formula2>2958465</formula2>
    </dataValidation>
  </dataValidations>
  <hyperlinks>
    <hyperlink ref="A4" location="'Inicio'!A1"/>
    <hyperlink ref="D4" location="'Tareas'!A1"/>
    <hyperlink ref="F4" location="'Requisitos'!A1"/>
    <hyperlink ref="H4" location="'Pruebas'!A1"/>
    <hyperlink ref="J4" location="'Calendario'!A1"/>
    <hyperlink ref="L4" location="'Guia'!A1"/>
  </hyperlinks>
  <pageMargins left="0.7" right="0.7" top="0.75" bottom="0.75" header="0.3" footer="0.3"/>
  <drawing ns1:id="R316d855235074597"/>
</worksheet>
</file>

<file path=xl/worksheets/sheet2.xml><?xml version="1.0" encoding="utf-8"?>
<worksheet xmlns="http://schemas.openxmlformats.org/spreadsheetml/2006/main" xmlns:ns1="http://schemas.openxmlformats.org/officeDocument/2006/relationships">
  <sheetPr>
    <tabColor rgb="FF18344A"/>
  </sheetPr>
  <sheetViews>
    <sheetView showGridLines="0" workbookViewId="0">
      <pane xSplit="2" ySplit="7" topLeftCell="C8" activePane="bottomRight" state="frozen"/>
    </sheetView>
  </sheetViews>
  <sheetFormatPr defaultRowHeight="15"/>
  <cols>
    <col min="1" max="1" width="13" hidden="0" customWidth="1"/>
    <col min="2" max="2" width="14" hidden="0" customWidth="1"/>
    <col min="3" max="3" width="17" hidden="0" customWidth="1"/>
    <col min="4" max="4" width="38" hidden="0" customWidth="1"/>
    <col min="5" max="5" width="9" hidden="0" customWidth="1"/>
    <col min="6" max="6" width="10" hidden="0" customWidth="1"/>
    <col min="7" max="7" width="11" hidden="0" customWidth="1"/>
    <col min="8" max="8" width="10" hidden="0" customWidth="1"/>
    <col min="9" max="9" width="14" hidden="0" customWidth="1"/>
    <col min="10" max="10" width="12" hidden="0" customWidth="1"/>
    <col min="11" max="11" width="14" hidden="0" customWidth="1"/>
    <col min="12" max="12" width="43" hidden="0" customWidth="1"/>
    <col min="13" max="13" width="54" hidden="0" customWidth="1"/>
    <col min="14" max="14" width="30" hidden="0" customWidth="1"/>
    <col min="15" max="15" width="14" hidden="0" customWidth="1"/>
    <col min="16" max="16" width="14" hidden="0" customWidth="1"/>
    <col min="17" max="17" width="45" hidden="0" customWidth="1"/>
    <col min="18" max="18" width="14" hidden="0" customWidth="1"/>
    <col min="19" max="19" width="14" hidden="0" customWidth="1"/>
    <col min="20" max="20" width="27" hidden="0" customWidth="1"/>
    <col min="21" max="21" width="26" hidden="0" customWidth="1"/>
    <col min="22" max="22" width="10" hidden="0" customWidth="1"/>
    <col min="23" max="23" width="16" hidden="0" customWidth="1"/>
    <col min="24" max="24" width="16" hidden="0" customWidth="1"/>
    <col min="25" max="25" width="16" hidden="0" customWidth="1"/>
    <col min="26" max="26" width="28" hidden="0" customWidth="1"/>
    <col min="27" max="27" width="18" hidden="0" customWidth="1"/>
    <col min="28" max="28" width="18" hidden="0" customWidth="1"/>
    <col min="29" max="29" width="16" hidden="0" customWidth="1"/>
  </cols>
  <sheetData>
    <row r="1" ht="22" customHeight="1">
      <c r="A1" s="3"/>
      <c r="B1" s="3"/>
      <c r="C1" s="3"/>
      <c r="D1" s="3"/>
      <c r="E1" s="3"/>
      <c r="F1" s="3"/>
      <c r="G1" s="3"/>
      <c r="H1" s="3"/>
      <c r="I1" s="3"/>
      <c r="J1" s="3"/>
      <c r="K1" s="3"/>
      <c r="L1" s="3"/>
      <c r="M1" s="3"/>
      <c r="N1" s="3"/>
      <c r="O1" s="3"/>
      <c r="P1" s="3"/>
      <c r="Q1" s="3"/>
      <c r="R1" s="3"/>
      <c r="S1" s="3"/>
      <c r="T1" s="3"/>
      <c r="U1" s="3"/>
      <c r="V1" s="3"/>
      <c r="W1" s="3"/>
      <c r="X1" s="3"/>
      <c r="Y1" s="3"/>
      <c r="Z1" s="3"/>
    </row>
    <row r="2" ht="22" customHeight="1">
      <c r="A2" s="5" t="str">
        <v>Trabajo del equipo</v>
      </c>
      <c r="B2" s="3"/>
      <c r="C2" s="3"/>
      <c r="D2" s="3"/>
      <c r="E2" s="3"/>
      <c r="F2" s="3"/>
      <c r="G2" s="3"/>
      <c r="H2" s="3"/>
      <c r="I2" s="3"/>
      <c r="J2" s="3"/>
      <c r="K2" s="3"/>
      <c r="L2" s="3"/>
      <c r="M2" s="3"/>
      <c r="N2" s="3"/>
      <c r="O2" s="3"/>
      <c r="P2" s="3"/>
      <c r="Q2" s="3"/>
      <c r="R2" s="3"/>
      <c r="S2" s="3"/>
      <c r="T2" s="3"/>
      <c r="U2" s="3"/>
      <c r="V2" s="3"/>
      <c r="W2" s="3"/>
      <c r="X2" s="3"/>
      <c r="Y2" s="3"/>
      <c r="Z2" s="3"/>
    </row>
    <row r="3" ht="22" customHeight="1">
      <c r="A3" s="7" t="str">
        <v>Actualizar Estado y Evidencia. Filtrar por Responsable o Aviso. El cierre se calcula.</v>
      </c>
      <c r="B3" s="3"/>
      <c r="C3" s="3"/>
      <c r="D3" s="3"/>
      <c r="E3" s="3"/>
      <c r="F3" s="3"/>
      <c r="G3" s="3"/>
      <c r="H3" s="3"/>
      <c r="I3" s="3"/>
      <c r="J3" s="3"/>
      <c r="K3" s="3"/>
      <c r="L3" s="3"/>
      <c r="M3" s="3"/>
      <c r="N3" s="3"/>
      <c r="O3" s="3"/>
      <c r="P3" s="3"/>
      <c r="Q3" s="3"/>
      <c r="R3" s="3"/>
      <c r="S3" s="3"/>
      <c r="T3" s="3"/>
      <c r="U3" s="3"/>
      <c r="V3" s="3"/>
      <c r="W3" s="3"/>
      <c r="X3" s="3"/>
      <c r="Y3" s="3"/>
      <c r="Z3" s="3"/>
    </row>
    <row r="4" ht="22" customHeight="1">
      <c r="A4" s="8" t="str">
        <v>← Inicio</v>
      </c>
      <c r="B4" s="3"/>
      <c r="C4" s="3"/>
      <c r="D4" s="3"/>
      <c r="E4" s="3"/>
      <c r="F4" s="3"/>
      <c r="G4" s="3"/>
      <c r="H4" s="3"/>
      <c r="I4" s="3"/>
      <c r="J4" s="3"/>
      <c r="K4" s="3"/>
      <c r="L4" s="3"/>
      <c r="M4" s="3"/>
      <c r="N4" s="3"/>
      <c r="O4" s="3"/>
      <c r="P4" s="3"/>
      <c r="Q4" s="3"/>
      <c r="R4" s="3"/>
      <c r="S4" s="3"/>
      <c r="T4" s="3"/>
      <c r="U4" s="3"/>
      <c r="V4" s="3"/>
      <c r="W4" s="3"/>
      <c r="X4" s="3"/>
      <c r="Y4" s="3"/>
      <c r="Z4" s="3"/>
    </row>
    <row r="5" ht="22" customHeight="1">
      <c r="A5" s="8" t="str">
        <v>Completar evidencia y revisión →</v>
      </c>
      <c r="B5" s="3"/>
      <c r="C5" s="3"/>
      <c r="D5" s="3"/>
      <c r="E5" s="3"/>
      <c r="F5" s="3"/>
      <c r="G5" s="3"/>
      <c r="H5" s="3"/>
      <c r="I5" s="3"/>
      <c r="J5" s="3"/>
      <c r="K5" s="3"/>
      <c r="L5" s="3"/>
      <c r="M5" s="3"/>
      <c r="N5" s="3"/>
      <c r="O5" s="3"/>
      <c r="P5" s="3"/>
      <c r="Q5" s="3"/>
      <c r="R5" s="3"/>
      <c r="S5" s="3"/>
      <c r="T5" s="3"/>
      <c r="U5" s="3"/>
      <c r="V5" s="3"/>
      <c r="W5" s="3"/>
      <c r="X5" s="3"/>
      <c r="Y5" s="3"/>
      <c r="Z5" s="3"/>
    </row>
    <row r="6" ht="22" customHeight="1">
      <c r="A6" s="3"/>
      <c r="B6" s="3"/>
      <c r="C6" s="3"/>
      <c r="D6" s="3"/>
      <c r="E6" s="3"/>
      <c r="F6" s="3"/>
      <c r="G6" s="3"/>
      <c r="H6" s="3"/>
      <c r="I6" s="3"/>
      <c r="J6" s="3"/>
      <c r="K6" s="3"/>
      <c r="L6" s="3"/>
      <c r="M6" s="3"/>
      <c r="N6" s="3"/>
      <c r="O6" s="3"/>
      <c r="P6" s="3"/>
      <c r="Q6" s="3"/>
      <c r="R6" s="3"/>
      <c r="S6" s="3"/>
      <c r="T6" s="3"/>
      <c r="U6" s="3"/>
      <c r="V6" s="3"/>
      <c r="W6" s="3"/>
      <c r="X6" s="3"/>
      <c r="Y6" s="3"/>
      <c r="Z6" s="3"/>
    </row>
    <row r="7" ht="38" customHeight="1">
      <c r="A7" s="21" t="str">
        <v>ID</v>
      </c>
      <c r="B7" s="21" t="str">
        <v>Responsable</v>
      </c>
      <c r="C7" s="21" t="str">
        <v>Estado</v>
      </c>
      <c r="D7" s="21" t="str">
        <v>Trabajo</v>
      </c>
      <c r="E7" s="21" t="str">
        <v>Fase</v>
      </c>
      <c r="F7" s="21" t="str">
        <v>Semana</v>
      </c>
      <c r="G7" s="21" t="str">
        <v>Duracion</v>
      </c>
      <c r="H7" s="21" t="str">
        <v>Horas</v>
      </c>
      <c r="I7" s="21" t="str">
        <v>Apoyo</v>
      </c>
      <c r="J7" s="21" t="str">
        <v>Apoyo %</v>
      </c>
      <c r="K7" s="21" t="str">
        <v>Predecesora</v>
      </c>
      <c r="L7" s="21" t="str">
        <v>Entregable</v>
      </c>
      <c r="M7" s="21" t="str">
        <v>Criterio</v>
      </c>
      <c r="N7" s="21" t="str">
        <v>Evidencia</v>
      </c>
      <c r="O7" s="21" t="str">
        <v>Revisa</v>
      </c>
      <c r="P7" s="21" t="str">
        <v>Fecha</v>
      </c>
      <c r="Q7" s="21" t="str">
        <v>Notas</v>
      </c>
      <c r="R7" s="21" t="str">
        <v>Inicio</v>
      </c>
      <c r="S7" s="21" t="str">
        <v>Fin</v>
      </c>
      <c r="T7" s="21" t="str">
        <v>Aviso</v>
      </c>
      <c r="U7" s="21" t="str">
        <v>Cierre</v>
      </c>
      <c r="V7" s="21" t="str">
        <v>Activa</v>
      </c>
      <c r="W7" s="21" t="str">
        <v>Horas responsable</v>
      </c>
      <c r="X7" s="21" t="str">
        <v>Horas apoyo</v>
      </c>
      <c r="Y7" s="21" t="str">
        <v>Horas aceptadas</v>
      </c>
      <c r="Z7" s="21" t="str">
        <v>Control</v>
      </c>
      <c r="AA7" s="22" t="str">
        <v>Semana responsable</v>
      </c>
      <c r="AB7" s="22" t="str">
        <v>Semana apoyo</v>
      </c>
      <c r="AC7" s="22" t="str">
        <v>Revisar datos</v>
      </c>
    </row>
    <row r="8" ht="54" customHeight="1">
      <c r="A8" s="23" t="str">
        <v>REF-01</v>
      </c>
      <c r="B8" s="25" t="str">
        <v>Pablo</v>
      </c>
      <c r="C8" s="25" t="str">
        <v>Por hacer</v>
      </c>
      <c r="D8" s="25" t="str">
        <v>Contrastar mecánicas originales</v>
      </c>
      <c r="E8" s="25" t="str">
        <v>P0</v>
      </c>
      <c r="F8" s="38" t="n">
        <v>1</v>
      </c>
      <c r="G8" s="38" t="n">
        <v>1</v>
      </c>
      <c r="H8" s="28" t="n">
        <v>5</v>
      </c>
      <c r="I8" s="25" t="str">
        <v>David</v>
      </c>
      <c r="J8" s="30" t="n">
        <v>0.2</v>
      </c>
      <c r="K8" s="25" t="str"/>
      <c r="L8" s="25" t="str">
        <v>Comparativa con enlaces oficiales</v>
      </c>
      <c r="M8" s="25" t="str">
        <v>Se distinguen hechos históricos y adaptación.</v>
      </c>
      <c r="N8" s="25" t="str"/>
      <c r="O8" s="25" t="str"/>
      <c r="P8" s="34"/>
      <c r="Q8" s="34" t="str">
        <v>Plan inicial propuesto; 8 h/persona/semana por confirmar. Si comparte semana con su predecesora, acordar el día del traspaso.</v>
      </c>
      <c r="R8" s="46" t="str">
        <f>IF(OR(TblTareas[[#This Row],[ID]]="",NOT(ISNUMBER(Inicio!$B$6))),"",Inicio!$B$6+7*(TblTareas[[#This Row],[Semana]]-1))</f>
      </c>
      <c r="S8" s="46" t="str">
        <f>IF(TblTareas[[#This Row],[Inicio]]="","",TblTareas[[#This Row],[Inicio]]+7*TblTareas[[#This Row],[Duracion]]-1)</f>
      </c>
      <c r="T8"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Lista para iniciar</v>
      </c>
      <c r="U8"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8" s="44" t="n">
        <f>IF(TblTareas[[#This Row],[ID]]="",0,IF(AND(TblTareas[[#This Row],[Estado]]&lt;&gt;"Descartada",OR(TblTareas[[#This Row],[Fase]]&lt;&gt;"P2",Inicio!$B$9=1)),1,0))</f>
        <v>1</v>
      </c>
      <c r="W8" s="48" t="n">
        <f>IF(OR(TblTareas[[#This Row],[Activa]]=0,TblTareas[[#This Row],[Cierre]]="Aceptada",TblTareas[[#This Row],[Control]]&lt;&gt;"OK"),0,TblTareas[[#This Row],[Horas]]*(1-TblTareas[[#This Row],[Apoyo %]]))</f>
        <v>4</v>
      </c>
      <c r="X8" s="48" t="n">
        <f>IF(OR(TblTareas[[#This Row],[Activa]]=0,TblTareas[[#This Row],[Cierre]]="Aceptada",TblTareas[[#This Row],[Control]]&lt;&gt;"OK"),0,TblTareas[[#This Row],[Horas]]*TblTareas[[#This Row],[Apoyo %]])</f>
        <v>1</v>
      </c>
      <c r="Y8" s="48" t="n">
        <f>IF(AND(TblTareas[[#This Row],[Activa]]=1,TblTareas[[#This Row],[Cierre]]="Aceptada"),TblTareas[[#This Row],[Horas]],0)</f>
        <v>0</v>
      </c>
      <c r="Z8"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8" s="50" t="n">
        <f>IF(AND(TblTareas[[#This Row],[Activa]]=1,TblTareas[[#This Row],[Control]]="OK",TblTareas[[#This Row],[Semana]]&lt;=Inicio!$B$8,TblTareas[[#This Row],[Semana]]+TblTareas[[#This Row],[Duracion]]&gt;Inicio!$B$8),TblTareas[[#This Row],[Horas responsable]]/TblTareas[[#This Row],[Duracion]],0)</f>
        <v>4</v>
      </c>
      <c r="AB8" s="50" t="n">
        <f>IF(AND(TblTareas[[#This Row],[Activa]]=1,TblTareas[[#This Row],[Control]]="OK",TblTareas[[#This Row],[Semana]]&lt;=Inicio!$B$8,TblTareas[[#This Row],[Semana]]+TblTareas[[#This Row],[Duracion]]&gt;Inicio!$B$8),TblTareas[[#This Row],[Horas apoyo]]/TblTareas[[#This Row],[Duracion]],0)</f>
        <v>1</v>
      </c>
      <c r="AC8" s="50" t="n">
        <f>IF(TblTareas[[#This Row],[ID]]="",0,IF(TblTareas[[#This Row],[Control]]="OK",0,1))</f>
        <v>0</v>
      </c>
    </row>
    <row r="9" ht="54" customHeight="1">
      <c r="A9" s="13" t="str">
        <v>REF-02</v>
      </c>
      <c r="B9" s="25" t="str">
        <v>Pablo</v>
      </c>
      <c r="C9" s="25" t="str">
        <v>Por hacer</v>
      </c>
      <c r="D9" s="25" t="str">
        <v>Evaluar alternativas del salto 3D</v>
      </c>
      <c r="E9" s="25" t="str">
        <v>P0</v>
      </c>
      <c r="F9" s="38" t="n">
        <v>1</v>
      </c>
      <c r="G9" s="38" t="n">
        <v>2</v>
      </c>
      <c r="H9" s="28" t="n">
        <v>5</v>
      </c>
      <c r="I9" s="25" t="str">
        <v>David</v>
      </c>
      <c r="J9" s="30" t="n">
        <v>0.2</v>
      </c>
      <c r="K9" s="25" t="str">
        <v>REF-01</v>
      </c>
      <c r="L9" s="25" t="str">
        <v>Matriz 2D frente a opciones 3D</v>
      </c>
      <c r="M9" s="25" t="str">
        <v>Criterio de selección y alcance P0/P1 explícitos.</v>
      </c>
      <c r="N9" s="25" t="str"/>
      <c r="O9" s="25" t="str"/>
      <c r="P9" s="34"/>
      <c r="Q9" s="34" t="str">
        <v>Plan inicial propuesto; 8 h/persona/semana por confirmar. Si comparte semana con su predecesora, acordar el día del traspaso.</v>
      </c>
      <c r="R9" s="46" t="str">
        <f>IF(OR(TblTareas[[#This Row],[ID]]="",NOT(ISNUMBER(Inicio!$B$6))),"",Inicio!$B$6+7*(TblTareas[[#This Row],[Semana]]-1))</f>
      </c>
      <c r="S9" s="46" t="str">
        <f>IF(TblTareas[[#This Row],[Inicio]]="","",TblTareas[[#This Row],[Inicio]]+7*TblTareas[[#This Row],[Duracion]]-1)</f>
      </c>
      <c r="T9"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9"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9" s="44" t="n">
        <f>IF(TblTareas[[#This Row],[ID]]="",0,IF(AND(TblTareas[[#This Row],[Estado]]&lt;&gt;"Descartada",OR(TblTareas[[#This Row],[Fase]]&lt;&gt;"P2",Inicio!$B$9=1)),1,0))</f>
        <v>1</v>
      </c>
      <c r="W9" s="48" t="n">
        <f>IF(OR(TblTareas[[#This Row],[Activa]]=0,TblTareas[[#This Row],[Cierre]]="Aceptada",TblTareas[[#This Row],[Control]]&lt;&gt;"OK"),0,TblTareas[[#This Row],[Horas]]*(1-TblTareas[[#This Row],[Apoyo %]]))</f>
        <v>4</v>
      </c>
      <c r="X9" s="48" t="n">
        <f>IF(OR(TblTareas[[#This Row],[Activa]]=0,TblTareas[[#This Row],[Cierre]]="Aceptada",TblTareas[[#This Row],[Control]]&lt;&gt;"OK"),0,TblTareas[[#This Row],[Horas]]*TblTareas[[#This Row],[Apoyo %]])</f>
        <v>1</v>
      </c>
      <c r="Y9" s="48" t="n">
        <f>IF(AND(TblTareas[[#This Row],[Activa]]=1,TblTareas[[#This Row],[Cierre]]="Aceptada"),TblTareas[[#This Row],[Horas]],0)</f>
        <v>0</v>
      </c>
      <c r="Z9"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9" s="50" t="n">
        <f>IF(AND(TblTareas[[#This Row],[Activa]]=1,TblTareas[[#This Row],[Control]]="OK",TblTareas[[#This Row],[Semana]]&lt;=Inicio!$B$8,TblTareas[[#This Row],[Semana]]+TblTareas[[#This Row],[Duracion]]&gt;Inicio!$B$8),TblTareas[[#This Row],[Horas responsable]]/TblTareas[[#This Row],[Duracion]],0)</f>
        <v>2</v>
      </c>
      <c r="AB9" s="50" t="n">
        <f>IF(AND(TblTareas[[#This Row],[Activa]]=1,TblTareas[[#This Row],[Control]]="OK",TblTareas[[#This Row],[Semana]]&lt;=Inicio!$B$8,TblTareas[[#This Row],[Semana]]+TblTareas[[#This Row],[Duracion]]&gt;Inicio!$B$8),TblTareas[[#This Row],[Horas apoyo]]/TblTareas[[#This Row],[Duracion]],0)</f>
        <v>0.5</v>
      </c>
      <c r="AC9" s="50" t="n">
        <f>IF(TblTareas[[#This Row],[ID]]="",0,IF(TblTareas[[#This Row],[Control]]="OK",0,1))</f>
        <v>0</v>
      </c>
    </row>
    <row r="10" ht="54" customHeight="1">
      <c r="A10" s="23" t="str">
        <v>DIS-01</v>
      </c>
      <c r="B10" s="25" t="str">
        <v>Amin</v>
      </c>
      <c r="C10" s="25" t="str">
        <v>Por hacer</v>
      </c>
      <c r="D10" s="25" t="str">
        <v>Validar alcance y requisitos</v>
      </c>
      <c r="E10" s="25" t="str">
        <v>P0</v>
      </c>
      <c r="F10" s="38" t="n">
        <v>1</v>
      </c>
      <c r="G10" s="38" t="n">
        <v>1</v>
      </c>
      <c r="H10" s="28" t="n">
        <v>5</v>
      </c>
      <c r="I10" s="25" t="str">
        <v>Pablo</v>
      </c>
      <c r="J10" s="30" t="n">
        <v>0.3</v>
      </c>
      <c r="K10" s="25" t="str"/>
      <c r="L10" s="25" t="str">
        <v>Registro de requisitos y decisiones</v>
      </c>
      <c r="M10" s="25" t="str">
        <v>Grupo valida prioridades y reglas pendientes.</v>
      </c>
      <c r="N10" s="25" t="str"/>
      <c r="O10" s="25" t="str"/>
      <c r="P10" s="34"/>
      <c r="Q10" s="34" t="str">
        <v>Plan inicial propuesto; 8 h/persona/semana por confirmar. Si comparte semana con su predecesora, acordar el día del traspaso.</v>
      </c>
      <c r="R10" s="46" t="str">
        <f>IF(OR(TblTareas[[#This Row],[ID]]="",NOT(ISNUMBER(Inicio!$B$6))),"",Inicio!$B$6+7*(TblTareas[[#This Row],[Semana]]-1))</f>
      </c>
      <c r="S10" s="46" t="str">
        <f>IF(TblTareas[[#This Row],[Inicio]]="","",TblTareas[[#This Row],[Inicio]]+7*TblTareas[[#This Row],[Duracion]]-1)</f>
      </c>
      <c r="T10"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Lista para iniciar</v>
      </c>
      <c r="U10"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10" s="44" t="n">
        <f>IF(TblTareas[[#This Row],[ID]]="",0,IF(AND(TblTareas[[#This Row],[Estado]]&lt;&gt;"Descartada",OR(TblTareas[[#This Row],[Fase]]&lt;&gt;"P2",Inicio!$B$9=1)),1,0))</f>
        <v>1</v>
      </c>
      <c r="W10" s="48" t="n">
        <f>IF(OR(TblTareas[[#This Row],[Activa]]=0,TblTareas[[#This Row],[Cierre]]="Aceptada",TblTareas[[#This Row],[Control]]&lt;&gt;"OK"),0,TblTareas[[#This Row],[Horas]]*(1-TblTareas[[#This Row],[Apoyo %]]))</f>
        <v>3.5</v>
      </c>
      <c r="X10" s="48" t="n">
        <f>IF(OR(TblTareas[[#This Row],[Activa]]=0,TblTareas[[#This Row],[Cierre]]="Aceptada",TblTareas[[#This Row],[Control]]&lt;&gt;"OK"),0,TblTareas[[#This Row],[Horas]]*TblTareas[[#This Row],[Apoyo %]])</f>
        <v>1.5</v>
      </c>
      <c r="Y10" s="48" t="n">
        <f>IF(AND(TblTareas[[#This Row],[Activa]]=1,TblTareas[[#This Row],[Cierre]]="Aceptada"),TblTareas[[#This Row],[Horas]],0)</f>
        <v>0</v>
      </c>
      <c r="Z10"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10" s="50" t="n">
        <f>IF(AND(TblTareas[[#This Row],[Activa]]=1,TblTareas[[#This Row],[Control]]="OK",TblTareas[[#This Row],[Semana]]&lt;=Inicio!$B$8,TblTareas[[#This Row],[Semana]]+TblTareas[[#This Row],[Duracion]]&gt;Inicio!$B$8),TblTareas[[#This Row],[Horas responsable]]/TblTareas[[#This Row],[Duracion]],0)</f>
        <v>3.5</v>
      </c>
      <c r="AB10" s="50" t="n">
        <f>IF(AND(TblTareas[[#This Row],[Activa]]=1,TblTareas[[#This Row],[Control]]="OK",TblTareas[[#This Row],[Semana]]&lt;=Inicio!$B$8,TblTareas[[#This Row],[Semana]]+TblTareas[[#This Row],[Duracion]]&gt;Inicio!$B$8),TblTareas[[#This Row],[Horas apoyo]]/TblTareas[[#This Row],[Duracion]],0)</f>
        <v>1.5</v>
      </c>
      <c r="AC10" s="50" t="n">
        <f>IF(TblTareas[[#This Row],[ID]]="",0,IF(TblTareas[[#This Row],[Control]]="OK",0,1))</f>
        <v>0</v>
      </c>
    </row>
    <row r="11" ht="54" customHeight="1">
      <c r="A11" s="13" t="str">
        <v>DIS-02</v>
      </c>
      <c r="B11" s="25" t="str">
        <v>Amin</v>
      </c>
      <c r="C11" s="25" t="str">
        <v>Por hacer</v>
      </c>
      <c r="D11" s="25" t="str">
        <v>Especificar coordenadas y escala 3D</v>
      </c>
      <c r="E11" s="25" t="str">
        <v>P0</v>
      </c>
      <c r="F11" s="38" t="n">
        <v>2</v>
      </c>
      <c r="G11" s="38" t="n">
        <v>1</v>
      </c>
      <c r="H11" s="28" t="n">
        <v>4</v>
      </c>
      <c r="I11" s="25" t="str">
        <v>Pablo</v>
      </c>
      <c r="J11" s="30" t="n">
        <v>0.3</v>
      </c>
      <c r="K11" s="25" t="str">
        <v>DIS-01</v>
      </c>
      <c r="L11" s="25" t="str">
        <v>Convención de ejes, unidades y cámara</v>
      </c>
      <c r="M11" s="25" t="str">
        <v>A/B, x/y y distancias no se contradicen.</v>
      </c>
      <c r="N11" s="25" t="str"/>
      <c r="O11" s="25" t="str"/>
      <c r="P11" s="34"/>
      <c r="Q11" s="34" t="str">
        <v>Plan inicial propuesto; 8 h/persona/semana por confirmar. Si comparte semana con su predecesora, acordar el día del traspaso.</v>
      </c>
      <c r="R11" s="46" t="str">
        <f>IF(OR(TblTareas[[#This Row],[ID]]="",NOT(ISNUMBER(Inicio!$B$6))),"",Inicio!$B$6+7*(TblTareas[[#This Row],[Semana]]-1))</f>
      </c>
      <c r="S11" s="46" t="str">
        <f>IF(TblTareas[[#This Row],[Inicio]]="","",TblTareas[[#This Row],[Inicio]]+7*TblTareas[[#This Row],[Duracion]]-1)</f>
      </c>
      <c r="T11"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11"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11" s="44" t="n">
        <f>IF(TblTareas[[#This Row],[ID]]="",0,IF(AND(TblTareas[[#This Row],[Estado]]&lt;&gt;"Descartada",OR(TblTareas[[#This Row],[Fase]]&lt;&gt;"P2",Inicio!$B$9=1)),1,0))</f>
        <v>1</v>
      </c>
      <c r="W11" s="48" t="n">
        <f>IF(OR(TblTareas[[#This Row],[Activa]]=0,TblTareas[[#This Row],[Cierre]]="Aceptada",TblTareas[[#This Row],[Control]]&lt;&gt;"OK"),0,TblTareas[[#This Row],[Horas]]*(1-TblTareas[[#This Row],[Apoyo %]]))</f>
        <v>2.8</v>
      </c>
      <c r="X11" s="48" t="n">
        <f>IF(OR(TblTareas[[#This Row],[Activa]]=0,TblTareas[[#This Row],[Cierre]]="Aceptada",TblTareas[[#This Row],[Control]]&lt;&gt;"OK"),0,TblTareas[[#This Row],[Horas]]*TblTareas[[#This Row],[Apoyo %]])</f>
        <v>1.2</v>
      </c>
      <c r="Y11" s="48" t="n">
        <f>IF(AND(TblTareas[[#This Row],[Activa]]=1,TblTareas[[#This Row],[Cierre]]="Aceptada"),TblTareas[[#This Row],[Horas]],0)</f>
        <v>0</v>
      </c>
      <c r="Z11"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11" s="50" t="n">
        <f>IF(AND(TblTareas[[#This Row],[Activa]]=1,TblTareas[[#This Row],[Control]]="OK",TblTareas[[#This Row],[Semana]]&lt;=Inicio!$B$8,TblTareas[[#This Row],[Semana]]+TblTareas[[#This Row],[Duracion]]&gt;Inicio!$B$8),TblTareas[[#This Row],[Horas responsable]]/TblTareas[[#This Row],[Duracion]],0)</f>
        <v>0</v>
      </c>
      <c r="AB11" s="50" t="n">
        <f>IF(AND(TblTareas[[#This Row],[Activa]]=1,TblTareas[[#This Row],[Control]]="OK",TblTareas[[#This Row],[Semana]]&lt;=Inicio!$B$8,TblTareas[[#This Row],[Semana]]+TblTareas[[#This Row],[Duracion]]&gt;Inicio!$B$8),TblTareas[[#This Row],[Horas apoyo]]/TblTareas[[#This Row],[Duracion]],0)</f>
        <v>0</v>
      </c>
      <c r="AC11" s="50" t="n">
        <f>IF(TblTareas[[#This Row],[ID]]="",0,IF(TblTareas[[#This Row],[Control]]="OK",0,1))</f>
        <v>0</v>
      </c>
    </row>
    <row r="12" ht="54" customHeight="1">
      <c r="A12" s="23" t="str">
        <v>DIS-03</v>
      </c>
      <c r="B12" s="25" t="str">
        <v>Amin</v>
      </c>
      <c r="C12" s="25" t="str">
        <v>Por hacer</v>
      </c>
      <c r="D12" s="25" t="str">
        <v>Definir entidades y contratos</v>
      </c>
      <c r="E12" s="25" t="str">
        <v>P0</v>
      </c>
      <c r="F12" s="38" t="n">
        <v>1</v>
      </c>
      <c r="G12" s="38" t="n">
        <v>2</v>
      </c>
      <c r="H12" s="28" t="n">
        <v>5</v>
      </c>
      <c r="I12" s="25" t="str">
        <v>David</v>
      </c>
      <c r="J12" s="30" t="n">
        <v>0.3</v>
      </c>
      <c r="K12" s="25" t="str">
        <v>DIS-01</v>
      </c>
      <c r="L12" s="25" t="str">
        <v>Entidades y API de actualización</v>
      </c>
      <c r="M12" s="25" t="str">
        <v>Ids estables, eventos y propiedad de datos definidos.</v>
      </c>
      <c r="N12" s="25" t="str"/>
      <c r="O12" s="25" t="str"/>
      <c r="P12" s="34"/>
      <c r="Q12" s="34" t="str">
        <v>Plan inicial propuesto; 8 h/persona/semana por confirmar. Si comparte semana con su predecesora, acordar el día del traspaso.</v>
      </c>
      <c r="R12" s="46" t="str">
        <f>IF(OR(TblTareas[[#This Row],[ID]]="",NOT(ISNUMBER(Inicio!$B$6))),"",Inicio!$B$6+7*(TblTareas[[#This Row],[Semana]]-1))</f>
      </c>
      <c r="S12" s="46" t="str">
        <f>IF(TblTareas[[#This Row],[Inicio]]="","",TblTareas[[#This Row],[Inicio]]+7*TblTareas[[#This Row],[Duracion]]-1)</f>
      </c>
      <c r="T12"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12"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12" s="44" t="n">
        <f>IF(TblTareas[[#This Row],[ID]]="",0,IF(AND(TblTareas[[#This Row],[Estado]]&lt;&gt;"Descartada",OR(TblTareas[[#This Row],[Fase]]&lt;&gt;"P2",Inicio!$B$9=1)),1,0))</f>
        <v>1</v>
      </c>
      <c r="W12" s="48" t="n">
        <f>IF(OR(TblTareas[[#This Row],[Activa]]=0,TblTareas[[#This Row],[Cierre]]="Aceptada",TblTareas[[#This Row],[Control]]&lt;&gt;"OK"),0,TblTareas[[#This Row],[Horas]]*(1-TblTareas[[#This Row],[Apoyo %]]))</f>
        <v>3.5</v>
      </c>
      <c r="X12" s="48" t="n">
        <f>IF(OR(TblTareas[[#This Row],[Activa]]=0,TblTareas[[#This Row],[Cierre]]="Aceptada",TblTareas[[#This Row],[Control]]&lt;&gt;"OK"),0,TblTareas[[#This Row],[Horas]]*TblTareas[[#This Row],[Apoyo %]])</f>
        <v>1.5</v>
      </c>
      <c r="Y12" s="48" t="n">
        <f>IF(AND(TblTareas[[#This Row],[Activa]]=1,TblTareas[[#This Row],[Cierre]]="Aceptada"),TblTareas[[#This Row],[Horas]],0)</f>
        <v>0</v>
      </c>
      <c r="Z12"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12" s="50" t="n">
        <f>IF(AND(TblTareas[[#This Row],[Activa]]=1,TblTareas[[#This Row],[Control]]="OK",TblTareas[[#This Row],[Semana]]&lt;=Inicio!$B$8,TblTareas[[#This Row],[Semana]]+TblTareas[[#This Row],[Duracion]]&gt;Inicio!$B$8),TblTareas[[#This Row],[Horas responsable]]/TblTareas[[#This Row],[Duracion]],0)</f>
        <v>1.75</v>
      </c>
      <c r="AB12" s="50" t="n">
        <f>IF(AND(TblTareas[[#This Row],[Activa]]=1,TblTareas[[#This Row],[Control]]="OK",TblTareas[[#This Row],[Semana]]&lt;=Inicio!$B$8,TblTareas[[#This Row],[Semana]]+TblTareas[[#This Row],[Duracion]]&gt;Inicio!$B$8),TblTareas[[#This Row],[Horas apoyo]]/TblTareas[[#This Row],[Duracion]],0)</f>
        <v>0.75</v>
      </c>
      <c r="AC12" s="50" t="n">
        <f>IF(TblTareas[[#This Row],[ID]]="",0,IF(TblTareas[[#This Row],[Control]]="OK",0,1))</f>
        <v>0</v>
      </c>
    </row>
    <row r="13" ht="54" customHeight="1">
      <c r="A13" s="13" t="str">
        <v>DIS-04</v>
      </c>
      <c r="B13" s="25" t="str">
        <v>Amin</v>
      </c>
      <c r="C13" s="25" t="str">
        <v>Por hacer</v>
      </c>
      <c r="D13" s="25" t="str">
        <v>Definir estados de partida y jugador</v>
      </c>
      <c r="E13" s="25" t="str">
        <v>P0</v>
      </c>
      <c r="F13" s="38" t="n">
        <v>2</v>
      </c>
      <c r="G13" s="38" t="n">
        <v>2</v>
      </c>
      <c r="H13" s="28" t="n">
        <v>5</v>
      </c>
      <c r="I13" s="25" t="str">
        <v>Pablo</v>
      </c>
      <c r="J13" s="30" t="n">
        <v>0.3</v>
      </c>
      <c r="K13" s="25" t="str">
        <v>DIS-01</v>
      </c>
      <c r="L13" s="25" t="str">
        <v>Diagramas y tabla de transiciones</v>
      </c>
      <c r="M13" s="25" t="str">
        <v>Pausa, derrota, reinicio y daño cubiertos.</v>
      </c>
      <c r="N13" s="25" t="str"/>
      <c r="O13" s="25" t="str"/>
      <c r="P13" s="34"/>
      <c r="Q13" s="34" t="str">
        <v>Plan inicial propuesto; 8 h/persona/semana por confirmar. Si comparte semana con su predecesora, acordar el día del traspaso.</v>
      </c>
      <c r="R13" s="46" t="str">
        <f>IF(OR(TblTareas[[#This Row],[ID]]="",NOT(ISNUMBER(Inicio!$B$6))),"",Inicio!$B$6+7*(TblTareas[[#This Row],[Semana]]-1))</f>
      </c>
      <c r="S13" s="46" t="str">
        <f>IF(TblTareas[[#This Row],[Inicio]]="","",TblTareas[[#This Row],[Inicio]]+7*TblTareas[[#This Row],[Duracion]]-1)</f>
      </c>
      <c r="T13"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13"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13" s="44" t="n">
        <f>IF(TblTareas[[#This Row],[ID]]="",0,IF(AND(TblTareas[[#This Row],[Estado]]&lt;&gt;"Descartada",OR(TblTareas[[#This Row],[Fase]]&lt;&gt;"P2",Inicio!$B$9=1)),1,0))</f>
        <v>1</v>
      </c>
      <c r="W13" s="48" t="n">
        <f>IF(OR(TblTareas[[#This Row],[Activa]]=0,TblTareas[[#This Row],[Cierre]]="Aceptada",TblTareas[[#This Row],[Control]]&lt;&gt;"OK"),0,TblTareas[[#This Row],[Horas]]*(1-TblTareas[[#This Row],[Apoyo %]]))</f>
        <v>3.5</v>
      </c>
      <c r="X13" s="48" t="n">
        <f>IF(OR(TblTareas[[#This Row],[Activa]]=0,TblTareas[[#This Row],[Cierre]]="Aceptada",TblTareas[[#This Row],[Control]]&lt;&gt;"OK"),0,TblTareas[[#This Row],[Horas]]*TblTareas[[#This Row],[Apoyo %]])</f>
        <v>1.5</v>
      </c>
      <c r="Y13" s="48" t="n">
        <f>IF(AND(TblTareas[[#This Row],[Activa]]=1,TblTareas[[#This Row],[Cierre]]="Aceptada"),TblTareas[[#This Row],[Horas]],0)</f>
        <v>0</v>
      </c>
      <c r="Z13"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13" s="50" t="n">
        <f>IF(AND(TblTareas[[#This Row],[Activa]]=1,TblTareas[[#This Row],[Control]]="OK",TblTareas[[#This Row],[Semana]]&lt;=Inicio!$B$8,TblTareas[[#This Row],[Semana]]+TblTareas[[#This Row],[Duracion]]&gt;Inicio!$B$8),TblTareas[[#This Row],[Horas responsable]]/TblTareas[[#This Row],[Duracion]],0)</f>
        <v>0</v>
      </c>
      <c r="AB13" s="50" t="n">
        <f>IF(AND(TblTareas[[#This Row],[Activa]]=1,TblTareas[[#This Row],[Control]]="OK",TblTareas[[#This Row],[Semana]]&lt;=Inicio!$B$8,TblTareas[[#This Row],[Semana]]+TblTareas[[#This Row],[Duracion]]&gt;Inicio!$B$8),TblTareas[[#This Row],[Horas apoyo]]/TblTareas[[#This Row],[Duracion]],0)</f>
        <v>0</v>
      </c>
      <c r="AC13" s="50" t="n">
        <f>IF(TblTareas[[#This Row],[ID]]="",0,IF(TblTareas[[#This Row],[Control]]="OK",0,1))</f>
        <v>0</v>
      </c>
    </row>
    <row r="14" ht="54" customHeight="1">
      <c r="A14" s="23" t="str">
        <v>DIS-05</v>
      </c>
      <c r="B14" s="25" t="str">
        <v>Amin</v>
      </c>
      <c r="C14" s="25" t="str">
        <v>Por hacer</v>
      </c>
      <c r="D14" s="25" t="str">
        <v>Definir ciclo y rutas enemigas</v>
      </c>
      <c r="E14" s="25" t="str">
        <v>P0</v>
      </c>
      <c r="F14" s="38" t="n">
        <v>3</v>
      </c>
      <c r="G14" s="38" t="n">
        <v>2</v>
      </c>
      <c r="H14" s="28" t="n">
        <v>6</v>
      </c>
      <c r="I14" s="25" t="str">
        <v>Pablo</v>
      </c>
      <c r="J14" s="30" t="n">
        <v>0.3</v>
      </c>
      <c r="K14" s="25" t="str">
        <v>DIS-02</v>
      </c>
      <c r="L14" s="25" t="str">
        <v>Estados y parámetros de rutas</v>
      </c>
      <c r="M14" s="25" t="str">
        <v>Entrada, formación, aviso, picado y retorno completos.</v>
      </c>
      <c r="N14" s="25" t="str"/>
      <c r="O14" s="25" t="str"/>
      <c r="P14" s="34"/>
      <c r="Q14" s="34" t="str">
        <v>Plan inicial propuesto; 8 h/persona/semana por confirmar. Si comparte semana con su predecesora, acordar el día del traspaso.</v>
      </c>
      <c r="R14" s="46" t="str">
        <f>IF(OR(TblTareas[[#This Row],[ID]]="",NOT(ISNUMBER(Inicio!$B$6))),"",Inicio!$B$6+7*(TblTareas[[#This Row],[Semana]]-1))</f>
      </c>
      <c r="S14" s="46" t="str">
        <f>IF(TblTareas[[#This Row],[Inicio]]="","",TblTareas[[#This Row],[Inicio]]+7*TblTareas[[#This Row],[Duracion]]-1)</f>
      </c>
      <c r="T14"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14"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14" s="44" t="n">
        <f>IF(TblTareas[[#This Row],[ID]]="",0,IF(AND(TblTareas[[#This Row],[Estado]]&lt;&gt;"Descartada",OR(TblTareas[[#This Row],[Fase]]&lt;&gt;"P2",Inicio!$B$9=1)),1,0))</f>
        <v>1</v>
      </c>
      <c r="W14" s="48" t="n">
        <f>IF(OR(TblTareas[[#This Row],[Activa]]=0,TblTareas[[#This Row],[Cierre]]="Aceptada",TblTareas[[#This Row],[Control]]&lt;&gt;"OK"),0,TblTareas[[#This Row],[Horas]]*(1-TblTareas[[#This Row],[Apoyo %]]))</f>
        <v>4.199999999999999</v>
      </c>
      <c r="X14" s="48" t="n">
        <f>IF(OR(TblTareas[[#This Row],[Activa]]=0,TblTareas[[#This Row],[Cierre]]="Aceptada",TblTareas[[#This Row],[Control]]&lt;&gt;"OK"),0,TblTareas[[#This Row],[Horas]]*TblTareas[[#This Row],[Apoyo %]])</f>
        <v>1.7999999999999998</v>
      </c>
      <c r="Y14" s="48" t="n">
        <f>IF(AND(TblTareas[[#This Row],[Activa]]=1,TblTareas[[#This Row],[Cierre]]="Aceptada"),TblTareas[[#This Row],[Horas]],0)</f>
        <v>0</v>
      </c>
      <c r="Z14"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14" s="50" t="n">
        <f>IF(AND(TblTareas[[#This Row],[Activa]]=1,TblTareas[[#This Row],[Control]]="OK",TblTareas[[#This Row],[Semana]]&lt;=Inicio!$B$8,TblTareas[[#This Row],[Semana]]+TblTareas[[#This Row],[Duracion]]&gt;Inicio!$B$8),TblTareas[[#This Row],[Horas responsable]]/TblTareas[[#This Row],[Duracion]],0)</f>
        <v>0</v>
      </c>
      <c r="AB14" s="50" t="n">
        <f>IF(AND(TblTareas[[#This Row],[Activa]]=1,TblTareas[[#This Row],[Control]]="OK",TblTareas[[#This Row],[Semana]]&lt;=Inicio!$B$8,TblTareas[[#This Row],[Semana]]+TblTareas[[#This Row],[Duracion]]&gt;Inicio!$B$8),TblTareas[[#This Row],[Horas apoyo]]/TblTareas[[#This Row],[Duracion]],0)</f>
        <v>0</v>
      </c>
      <c r="AC14" s="50" t="n">
        <f>IF(TblTareas[[#This Row],[ID]]="",0,IF(TblTareas[[#This Row],[Control]]="OK",0,1))</f>
        <v>0</v>
      </c>
    </row>
    <row r="15" ht="54" customHeight="1">
      <c r="A15" s="13" t="str">
        <v>DIS-06</v>
      </c>
      <c r="B15" s="25" t="str">
        <v>Amin</v>
      </c>
      <c r="C15" s="25" t="str">
        <v>Por hacer</v>
      </c>
      <c r="D15" s="25" t="str">
        <v>Especificar colisiones y prioridades</v>
      </c>
      <c r="E15" s="25" t="str">
        <v>P0</v>
      </c>
      <c r="F15" s="38" t="n">
        <v>3</v>
      </c>
      <c r="G15" s="38" t="n">
        <v>2</v>
      </c>
      <c r="H15" s="28" t="n">
        <v>6</v>
      </c>
      <c r="I15" s="25" t="str">
        <v>Pablo</v>
      </c>
      <c r="J15" s="30" t="n">
        <v>0.3</v>
      </c>
      <c r="K15" s="25" t="str">
        <v>DIS-03</v>
      </c>
      <c r="L15" s="25" t="str">
        <v>Matriz de contactos y barrido relativo</v>
      </c>
      <c r="M15" s="25" t="str">
        <v>Casos simultáneos resueltos con regla única.</v>
      </c>
      <c r="N15" s="25" t="str"/>
      <c r="O15" s="25" t="str"/>
      <c r="P15" s="34"/>
      <c r="Q15" s="34" t="str">
        <v>Plan inicial propuesto; 8 h/persona/semana por confirmar. Si comparte semana con su predecesora, acordar el día del traspaso.</v>
      </c>
      <c r="R15" s="46" t="str">
        <f>IF(OR(TblTareas[[#This Row],[ID]]="",NOT(ISNUMBER(Inicio!$B$6))),"",Inicio!$B$6+7*(TblTareas[[#This Row],[Semana]]-1))</f>
      </c>
      <c r="S15" s="46" t="str">
        <f>IF(TblTareas[[#This Row],[Inicio]]="","",TblTareas[[#This Row],[Inicio]]+7*TblTareas[[#This Row],[Duracion]]-1)</f>
      </c>
      <c r="T15"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15"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15" s="44" t="n">
        <f>IF(TblTareas[[#This Row],[ID]]="",0,IF(AND(TblTareas[[#This Row],[Estado]]&lt;&gt;"Descartada",OR(TblTareas[[#This Row],[Fase]]&lt;&gt;"P2",Inicio!$B$9=1)),1,0))</f>
        <v>1</v>
      </c>
      <c r="W15" s="48" t="n">
        <f>IF(OR(TblTareas[[#This Row],[Activa]]=0,TblTareas[[#This Row],[Cierre]]="Aceptada",TblTareas[[#This Row],[Control]]&lt;&gt;"OK"),0,TblTareas[[#This Row],[Horas]]*(1-TblTareas[[#This Row],[Apoyo %]]))</f>
        <v>4.199999999999999</v>
      </c>
      <c r="X15" s="48" t="n">
        <f>IF(OR(TblTareas[[#This Row],[Activa]]=0,TblTareas[[#This Row],[Cierre]]="Aceptada",TblTareas[[#This Row],[Control]]&lt;&gt;"OK"),0,TblTareas[[#This Row],[Horas]]*TblTareas[[#This Row],[Apoyo %]])</f>
        <v>1.7999999999999998</v>
      </c>
      <c r="Y15" s="48" t="n">
        <f>IF(AND(TblTareas[[#This Row],[Activa]]=1,TblTareas[[#This Row],[Cierre]]="Aceptada"),TblTareas[[#This Row],[Horas]],0)</f>
        <v>0</v>
      </c>
      <c r="Z15"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15" s="50" t="n">
        <f>IF(AND(TblTareas[[#This Row],[Activa]]=1,TblTareas[[#This Row],[Control]]="OK",TblTareas[[#This Row],[Semana]]&lt;=Inicio!$B$8,TblTareas[[#This Row],[Semana]]+TblTareas[[#This Row],[Duracion]]&gt;Inicio!$B$8),TblTareas[[#This Row],[Horas responsable]]/TblTareas[[#This Row],[Duracion]],0)</f>
        <v>0</v>
      </c>
      <c r="AB15" s="50" t="n">
        <f>IF(AND(TblTareas[[#This Row],[Activa]]=1,TblTareas[[#This Row],[Control]]="OK",TblTareas[[#This Row],[Semana]]&lt;=Inicio!$B$8,TblTareas[[#This Row],[Semana]]+TblTareas[[#This Row],[Duracion]]&gt;Inicio!$B$8),TblTareas[[#This Row],[Horas apoyo]]/TblTareas[[#This Row],[Duracion]],0)</f>
        <v>0</v>
      </c>
      <c r="AC15" s="50" t="n">
        <f>IF(TblTareas[[#This Row],[ID]]="",0,IF(TblTareas[[#This Row],[Control]]="OK",0,1))</f>
        <v>0</v>
      </c>
    </row>
    <row r="16" ht="54" customHeight="1">
      <c r="A16" s="23" t="str">
        <v>DIS-07</v>
      </c>
      <c r="B16" s="25" t="str">
        <v>Amin</v>
      </c>
      <c r="C16" s="25" t="str">
        <v>Por hacer</v>
      </c>
      <c r="D16" s="25" t="str">
        <v>Configurar oleadas y jefe</v>
      </c>
      <c r="E16" s="25" t="str">
        <v>P0</v>
      </c>
      <c r="F16" s="38" t="n">
        <v>4</v>
      </c>
      <c r="G16" s="38" t="n">
        <v>1</v>
      </c>
      <c r="H16" s="28" t="n">
        <v>5</v>
      </c>
      <c r="I16" s="25" t="str">
        <v>David</v>
      </c>
      <c r="J16" s="30" t="n">
        <v>0.3</v>
      </c>
      <c r="K16" s="25" t="str">
        <v>DIS-05</v>
      </c>
      <c r="L16" s="25" t="str">
        <v>Tablas de oleadas y fases</v>
      </c>
      <c r="M16" s="25" t="str">
        <v>Composición y condición de fin verificables.</v>
      </c>
      <c r="N16" s="25" t="str"/>
      <c r="O16" s="25" t="str"/>
      <c r="P16" s="34"/>
      <c r="Q16" s="34" t="str">
        <v>Plan inicial propuesto; 8 h/persona/semana por confirmar. Si comparte semana con su predecesora, acordar el día del traspaso.</v>
      </c>
      <c r="R16" s="46" t="str">
        <f>IF(OR(TblTareas[[#This Row],[ID]]="",NOT(ISNUMBER(Inicio!$B$6))),"",Inicio!$B$6+7*(TblTareas[[#This Row],[Semana]]-1))</f>
      </c>
      <c r="S16" s="46" t="str">
        <f>IF(TblTareas[[#This Row],[Inicio]]="","",TblTareas[[#This Row],[Inicio]]+7*TblTareas[[#This Row],[Duracion]]-1)</f>
      </c>
      <c r="T16"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16"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16" s="44" t="n">
        <f>IF(TblTareas[[#This Row],[ID]]="",0,IF(AND(TblTareas[[#This Row],[Estado]]&lt;&gt;"Descartada",OR(TblTareas[[#This Row],[Fase]]&lt;&gt;"P2",Inicio!$B$9=1)),1,0))</f>
        <v>1</v>
      </c>
      <c r="W16" s="48" t="n">
        <f>IF(OR(TblTareas[[#This Row],[Activa]]=0,TblTareas[[#This Row],[Cierre]]="Aceptada",TblTareas[[#This Row],[Control]]&lt;&gt;"OK"),0,TblTareas[[#This Row],[Horas]]*(1-TblTareas[[#This Row],[Apoyo %]]))</f>
        <v>3.5</v>
      </c>
      <c r="X16" s="48" t="n">
        <f>IF(OR(TblTareas[[#This Row],[Activa]]=0,TblTareas[[#This Row],[Cierre]]="Aceptada",TblTareas[[#This Row],[Control]]&lt;&gt;"OK"),0,TblTareas[[#This Row],[Horas]]*TblTareas[[#This Row],[Apoyo %]])</f>
        <v>1.5</v>
      </c>
      <c r="Y16" s="48" t="n">
        <f>IF(AND(TblTareas[[#This Row],[Activa]]=1,TblTareas[[#This Row],[Cierre]]="Aceptada"),TblTareas[[#This Row],[Horas]],0)</f>
        <v>0</v>
      </c>
      <c r="Z16"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16" s="50" t="n">
        <f>IF(AND(TblTareas[[#This Row],[Activa]]=1,TblTareas[[#This Row],[Control]]="OK",TblTareas[[#This Row],[Semana]]&lt;=Inicio!$B$8,TblTareas[[#This Row],[Semana]]+TblTareas[[#This Row],[Duracion]]&gt;Inicio!$B$8),TblTareas[[#This Row],[Horas responsable]]/TblTareas[[#This Row],[Duracion]],0)</f>
        <v>0</v>
      </c>
      <c r="AB16" s="50" t="n">
        <f>IF(AND(TblTareas[[#This Row],[Activa]]=1,TblTareas[[#This Row],[Control]]="OK",TblTareas[[#This Row],[Semana]]&lt;=Inicio!$B$8,TblTareas[[#This Row],[Semana]]+TblTareas[[#This Row],[Duracion]]&gt;Inicio!$B$8),TblTareas[[#This Row],[Horas apoyo]]/TblTareas[[#This Row],[Duracion]],0)</f>
        <v>0</v>
      </c>
      <c r="AC16" s="50" t="n">
        <f>IF(TblTareas[[#This Row],[ID]]="",0,IF(TblTareas[[#This Row],[Control]]="OK",0,1))</f>
        <v>0</v>
      </c>
    </row>
    <row r="17" ht="54" customHeight="1">
      <c r="A17" s="13" t="str">
        <v>DIS-08</v>
      </c>
      <c r="B17" s="25" t="str">
        <v>Amin</v>
      </c>
      <c r="C17" s="25" t="str">
        <v>Por hacer</v>
      </c>
      <c r="D17" s="25" t="str">
        <v>Especificar profundidad jugable</v>
      </c>
      <c r="E17" s="25" t="str">
        <v>P0</v>
      </c>
      <c r="F17" s="38" t="n">
        <v>5</v>
      </c>
      <c r="G17" s="38" t="n">
        <v>1</v>
      </c>
      <c r="H17" s="28" t="n">
        <v>6</v>
      </c>
      <c r="I17" s="25" t="str">
        <v>David</v>
      </c>
      <c r="J17" s="30" t="n">
        <v>0.3</v>
      </c>
      <c r="K17" s="25" t="str">
        <v>DIS-02</v>
      </c>
      <c r="L17" s="25" t="str">
        <v>Reglas A/B y transición</v>
      </c>
      <c r="M17" s="25" t="str">
        <v>Coste, recarga, invulnerabilidad y legibilidad definidos.</v>
      </c>
      <c r="N17" s="25" t="str"/>
      <c r="O17" s="25" t="str"/>
      <c r="P17" s="34"/>
      <c r="Q17" s="34" t="str">
        <v>Plan inicial propuesto; 8 h/persona/semana por confirmar. Si comparte semana con su predecesora, acordar el día del traspaso.</v>
      </c>
      <c r="R17" s="46" t="str">
        <f>IF(OR(TblTareas[[#This Row],[ID]]="",NOT(ISNUMBER(Inicio!$B$6))),"",Inicio!$B$6+7*(TblTareas[[#This Row],[Semana]]-1))</f>
      </c>
      <c r="S17" s="46" t="str">
        <f>IF(TblTareas[[#This Row],[Inicio]]="","",TblTareas[[#This Row],[Inicio]]+7*TblTareas[[#This Row],[Duracion]]-1)</f>
      </c>
      <c r="T17"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17"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17" s="44" t="n">
        <f>IF(TblTareas[[#This Row],[ID]]="",0,IF(AND(TblTareas[[#This Row],[Estado]]&lt;&gt;"Descartada",OR(TblTareas[[#This Row],[Fase]]&lt;&gt;"P2",Inicio!$B$9=1)),1,0))</f>
        <v>1</v>
      </c>
      <c r="W17" s="48" t="n">
        <f>IF(OR(TblTareas[[#This Row],[Activa]]=0,TblTareas[[#This Row],[Cierre]]="Aceptada",TblTareas[[#This Row],[Control]]&lt;&gt;"OK"),0,TblTareas[[#This Row],[Horas]]*(1-TblTareas[[#This Row],[Apoyo %]]))</f>
        <v>4.199999999999999</v>
      </c>
      <c r="X17" s="48" t="n">
        <f>IF(OR(TblTareas[[#This Row],[Activa]]=0,TblTareas[[#This Row],[Cierre]]="Aceptada",TblTareas[[#This Row],[Control]]&lt;&gt;"OK"),0,TblTareas[[#This Row],[Horas]]*TblTareas[[#This Row],[Apoyo %]])</f>
        <v>1.7999999999999998</v>
      </c>
      <c r="Y17" s="48" t="n">
        <f>IF(AND(TblTareas[[#This Row],[Activa]]=1,TblTareas[[#This Row],[Cierre]]="Aceptada"),TblTareas[[#This Row],[Horas]],0)</f>
        <v>0</v>
      </c>
      <c r="Z17"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17" s="50" t="n">
        <f>IF(AND(TblTareas[[#This Row],[Activa]]=1,TblTareas[[#This Row],[Control]]="OK",TblTareas[[#This Row],[Semana]]&lt;=Inicio!$B$8,TblTareas[[#This Row],[Semana]]+TblTareas[[#This Row],[Duracion]]&gt;Inicio!$B$8),TblTareas[[#This Row],[Horas responsable]]/TblTareas[[#This Row],[Duracion]],0)</f>
        <v>0</v>
      </c>
      <c r="AB17" s="50" t="n">
        <f>IF(AND(TblTareas[[#This Row],[Activa]]=1,TblTareas[[#This Row],[Control]]="OK",TblTareas[[#This Row],[Semana]]&lt;=Inicio!$B$8,TblTareas[[#This Row],[Semana]]+TblTareas[[#This Row],[Duracion]]&gt;Inicio!$B$8),TblTareas[[#This Row],[Horas apoyo]]/TblTareas[[#This Row],[Duracion]],0)</f>
        <v>0</v>
      </c>
      <c r="AC17" s="50" t="n">
        <f>IF(TblTareas[[#This Row],[ID]]="",0,IF(TblTareas[[#This Row],[Control]]="OK",0,1))</f>
        <v>0</v>
      </c>
    </row>
    <row r="18" ht="54" customHeight="1">
      <c r="A18" s="23" t="str">
        <v>DIS-09</v>
      </c>
      <c r="B18" s="25" t="str">
        <v>Amin</v>
      </c>
      <c r="C18" s="25" t="str">
        <v>Por hacer</v>
      </c>
      <c r="D18" s="25" t="str">
        <v>Revisar diseño con Iker y Ferran</v>
      </c>
      <c r="E18" s="25" t="str">
        <v>P0</v>
      </c>
      <c r="F18" s="38" t="n">
        <v>5</v>
      </c>
      <c r="G18" s="38" t="n">
        <v>1</v>
      </c>
      <c r="H18" s="28" t="n">
        <v>4</v>
      </c>
      <c r="I18" s="25" t="str">
        <v>David</v>
      </c>
      <c r="J18" s="30" t="n">
        <v>0.3</v>
      </c>
      <c r="K18" s="25" t="str">
        <v>DIS-03</v>
      </c>
      <c r="L18" s="25" t="str">
        <v>Acuerdos de interfaz y HUD</v>
      </c>
      <c r="M18" s="25" t="str">
        <v>Se asignan adaptadores a clases reales.</v>
      </c>
      <c r="N18" s="25" t="str"/>
      <c r="O18" s="25" t="str"/>
      <c r="P18" s="34"/>
      <c r="Q18" s="34" t="str">
        <v>Plan inicial propuesto; 8 h/persona/semana por confirmar. Si comparte semana con su predecesora, acordar el día del traspaso.</v>
      </c>
      <c r="R18" s="46" t="str">
        <f>IF(OR(TblTareas[[#This Row],[ID]]="",NOT(ISNUMBER(Inicio!$B$6))),"",Inicio!$B$6+7*(TblTareas[[#This Row],[Semana]]-1))</f>
      </c>
      <c r="S18" s="46" t="str">
        <f>IF(TblTareas[[#This Row],[Inicio]]="","",TblTareas[[#This Row],[Inicio]]+7*TblTareas[[#This Row],[Duracion]]-1)</f>
      </c>
      <c r="T18"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18"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18" s="44" t="n">
        <f>IF(TblTareas[[#This Row],[ID]]="",0,IF(AND(TblTareas[[#This Row],[Estado]]&lt;&gt;"Descartada",OR(TblTareas[[#This Row],[Fase]]&lt;&gt;"P2",Inicio!$B$9=1)),1,0))</f>
        <v>1</v>
      </c>
      <c r="W18" s="48" t="n">
        <f>IF(OR(TblTareas[[#This Row],[Activa]]=0,TblTareas[[#This Row],[Cierre]]="Aceptada",TblTareas[[#This Row],[Control]]&lt;&gt;"OK"),0,TblTareas[[#This Row],[Horas]]*(1-TblTareas[[#This Row],[Apoyo %]]))</f>
        <v>2.8</v>
      </c>
      <c r="X18" s="48" t="n">
        <f>IF(OR(TblTareas[[#This Row],[Activa]]=0,TblTareas[[#This Row],[Cierre]]="Aceptada",TblTareas[[#This Row],[Control]]&lt;&gt;"OK"),0,TblTareas[[#This Row],[Horas]]*TblTareas[[#This Row],[Apoyo %]])</f>
        <v>1.2</v>
      </c>
      <c r="Y18" s="48" t="n">
        <f>IF(AND(TblTareas[[#This Row],[Activa]]=1,TblTareas[[#This Row],[Cierre]]="Aceptada"),TblTareas[[#This Row],[Horas]],0)</f>
        <v>0</v>
      </c>
      <c r="Z18"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18" s="50" t="n">
        <f>IF(AND(TblTareas[[#This Row],[Activa]]=1,TblTareas[[#This Row],[Control]]="OK",TblTareas[[#This Row],[Semana]]&lt;=Inicio!$B$8,TblTareas[[#This Row],[Semana]]+TblTareas[[#This Row],[Duracion]]&gt;Inicio!$B$8),TblTareas[[#This Row],[Horas responsable]]/TblTareas[[#This Row],[Duracion]],0)</f>
        <v>0</v>
      </c>
      <c r="AB18" s="50" t="n">
        <f>IF(AND(TblTareas[[#This Row],[Activa]]=1,TblTareas[[#This Row],[Control]]="OK",TblTareas[[#This Row],[Semana]]&lt;=Inicio!$B$8,TblTareas[[#This Row],[Semana]]+TblTareas[[#This Row],[Duracion]]&gt;Inicio!$B$8),TblTareas[[#This Row],[Horas apoyo]]/TblTareas[[#This Row],[Duracion]],0)</f>
        <v>0</v>
      </c>
      <c r="AC18" s="50" t="n">
        <f>IF(TblTareas[[#This Row],[ID]]="",0,IF(TblTareas[[#This Row],[Control]]="OK",0,1))</f>
        <v>0</v>
      </c>
    </row>
    <row r="19" ht="54" customHeight="1">
      <c r="A19" s="13" t="str">
        <v>DIS-10</v>
      </c>
      <c r="B19" s="25" t="str">
        <v>Amin</v>
      </c>
      <c r="C19" s="25" t="str">
        <v>Por hacer</v>
      </c>
      <c r="D19" s="25" t="str">
        <v>Mantener decisiones y cambios</v>
      </c>
      <c r="E19" s="25" t="str">
        <v>P0</v>
      </c>
      <c r="F19" s="38" t="n">
        <v>5</v>
      </c>
      <c r="G19" s="38" t="n">
        <v>5</v>
      </c>
      <c r="H19" s="28" t="n">
        <v>5</v>
      </c>
      <c r="I19" s="25" t="str">
        <v>David</v>
      </c>
      <c r="J19" s="30" t="n">
        <v>0.3</v>
      </c>
      <c r="K19" s="25" t="str">
        <v>DIS-01</v>
      </c>
      <c r="L19" s="25" t="str">
        <v>Registro versionado</v>
      </c>
      <c r="M19" s="25" t="str">
        <v>Cada cambio enlaza impactos en requisitos y pruebas.</v>
      </c>
      <c r="N19" s="25" t="str"/>
      <c r="O19" s="25" t="str"/>
      <c r="P19" s="34"/>
      <c r="Q19" s="34" t="str">
        <v>Plan inicial propuesto; 8 h/persona/semana por confirmar. Si comparte semana con su predecesora, acordar el día del traspaso.</v>
      </c>
      <c r="R19" s="46" t="str">
        <f>IF(OR(TblTareas[[#This Row],[ID]]="",NOT(ISNUMBER(Inicio!$B$6))),"",Inicio!$B$6+7*(TblTareas[[#This Row],[Semana]]-1))</f>
      </c>
      <c r="S19" s="46" t="str">
        <f>IF(TblTareas[[#This Row],[Inicio]]="","",TblTareas[[#This Row],[Inicio]]+7*TblTareas[[#This Row],[Duracion]]-1)</f>
      </c>
      <c r="T19"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19"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19" s="44" t="n">
        <f>IF(TblTareas[[#This Row],[ID]]="",0,IF(AND(TblTareas[[#This Row],[Estado]]&lt;&gt;"Descartada",OR(TblTareas[[#This Row],[Fase]]&lt;&gt;"P2",Inicio!$B$9=1)),1,0))</f>
        <v>1</v>
      </c>
      <c r="W19" s="48" t="n">
        <f>IF(OR(TblTareas[[#This Row],[Activa]]=0,TblTareas[[#This Row],[Cierre]]="Aceptada",TblTareas[[#This Row],[Control]]&lt;&gt;"OK"),0,TblTareas[[#This Row],[Horas]]*(1-TblTareas[[#This Row],[Apoyo %]]))</f>
        <v>3.5</v>
      </c>
      <c r="X19" s="48" t="n">
        <f>IF(OR(TblTareas[[#This Row],[Activa]]=0,TblTareas[[#This Row],[Cierre]]="Aceptada",TblTareas[[#This Row],[Control]]&lt;&gt;"OK"),0,TblTareas[[#This Row],[Horas]]*TblTareas[[#This Row],[Apoyo %]])</f>
        <v>1.5</v>
      </c>
      <c r="Y19" s="48" t="n">
        <f>IF(AND(TblTareas[[#This Row],[Activa]]=1,TblTareas[[#This Row],[Cierre]]="Aceptada"),TblTareas[[#This Row],[Horas]],0)</f>
        <v>0</v>
      </c>
      <c r="Z19"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19" s="50" t="n">
        <f>IF(AND(TblTareas[[#This Row],[Activa]]=1,TblTareas[[#This Row],[Control]]="OK",TblTareas[[#This Row],[Semana]]&lt;=Inicio!$B$8,TblTareas[[#This Row],[Semana]]+TblTareas[[#This Row],[Duracion]]&gt;Inicio!$B$8),TblTareas[[#This Row],[Horas responsable]]/TblTareas[[#This Row],[Duracion]],0)</f>
        <v>0</v>
      </c>
      <c r="AB19" s="50" t="n">
        <f>IF(AND(TblTareas[[#This Row],[Activa]]=1,TblTareas[[#This Row],[Control]]="OK",TblTareas[[#This Row],[Semana]]&lt;=Inicio!$B$8,TblTareas[[#This Row],[Semana]]+TblTareas[[#This Row],[Duracion]]&gt;Inicio!$B$8),TblTareas[[#This Row],[Horas apoyo]]/TblTareas[[#This Row],[Duracion]],0)</f>
        <v>0</v>
      </c>
      <c r="AC19" s="50" t="n">
        <f>IF(TblTareas[[#This Row],[ID]]="",0,IF(TblTareas[[#This Row],[Control]]="OK",0,1))</f>
        <v>0</v>
      </c>
    </row>
    <row r="20" ht="54" customHeight="1">
      <c r="A20" s="23" t="str">
        <v>TEC-01</v>
      </c>
      <c r="B20" s="25" t="str">
        <v>Iker</v>
      </c>
      <c r="C20" s="25" t="str">
        <v>Por hacer</v>
      </c>
      <c r="D20" s="25" t="str">
        <v>Preparar solución y contexto gráfico</v>
      </c>
      <c r="E20" s="25" t="str">
        <v>P0</v>
      </c>
      <c r="F20" s="38" t="n">
        <v>1</v>
      </c>
      <c r="G20" s="38" t="n">
        <v>1</v>
      </c>
      <c r="H20" s="28" t="n">
        <v>4</v>
      </c>
      <c r="I20" s="25" t="str">
        <v>Ferran</v>
      </c>
      <c r="J20" s="30" t="n">
        <v>0.3</v>
      </c>
      <c r="K20" s="25" t="str"/>
      <c r="L20" s="25" t="str">
        <v>Build de la plantilla</v>
      </c>
      <c r="M20" s="25" t="str">
        <v>C++, MFC, OpenGL y GLM funcionan en el equipo.</v>
      </c>
      <c r="N20" s="25" t="str"/>
      <c r="O20" s="25" t="str"/>
      <c r="P20" s="34"/>
      <c r="Q20" s="34" t="str">
        <v>Plan inicial propuesto; 8 h/persona/semana por confirmar. Si comparte semana con su predecesora, acordar el día del traspaso.</v>
      </c>
      <c r="R20" s="46" t="str">
        <f>IF(OR(TblTareas[[#This Row],[ID]]="",NOT(ISNUMBER(Inicio!$B$6))),"",Inicio!$B$6+7*(TblTareas[[#This Row],[Semana]]-1))</f>
      </c>
      <c r="S20" s="46" t="str">
        <f>IF(TblTareas[[#This Row],[Inicio]]="","",TblTareas[[#This Row],[Inicio]]+7*TblTareas[[#This Row],[Duracion]]-1)</f>
      </c>
      <c r="T20"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Lista para iniciar</v>
      </c>
      <c r="U20"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20" s="44" t="n">
        <f>IF(TblTareas[[#This Row],[ID]]="",0,IF(AND(TblTareas[[#This Row],[Estado]]&lt;&gt;"Descartada",OR(TblTareas[[#This Row],[Fase]]&lt;&gt;"P2",Inicio!$B$9=1)),1,0))</f>
        <v>1</v>
      </c>
      <c r="W20" s="48" t="n">
        <f>IF(OR(TblTareas[[#This Row],[Activa]]=0,TblTareas[[#This Row],[Cierre]]="Aceptada",TblTareas[[#This Row],[Control]]&lt;&gt;"OK"),0,TblTareas[[#This Row],[Horas]]*(1-TblTareas[[#This Row],[Apoyo %]]))</f>
        <v>2.8</v>
      </c>
      <c r="X20" s="48" t="n">
        <f>IF(OR(TblTareas[[#This Row],[Activa]]=0,TblTareas[[#This Row],[Cierre]]="Aceptada",TblTareas[[#This Row],[Control]]&lt;&gt;"OK"),0,TblTareas[[#This Row],[Horas]]*TblTareas[[#This Row],[Apoyo %]])</f>
        <v>1.2</v>
      </c>
      <c r="Y20" s="48" t="n">
        <f>IF(AND(TblTareas[[#This Row],[Activa]]=1,TblTareas[[#This Row],[Cierre]]="Aceptada"),TblTareas[[#This Row],[Horas]],0)</f>
        <v>0</v>
      </c>
      <c r="Z20"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20" s="50" t="n">
        <f>IF(AND(TblTareas[[#This Row],[Activa]]=1,TblTareas[[#This Row],[Control]]="OK",TblTareas[[#This Row],[Semana]]&lt;=Inicio!$B$8,TblTareas[[#This Row],[Semana]]+TblTareas[[#This Row],[Duracion]]&gt;Inicio!$B$8),TblTareas[[#This Row],[Horas responsable]]/TblTareas[[#This Row],[Duracion]],0)</f>
        <v>2.8</v>
      </c>
      <c r="AB20" s="50" t="n">
        <f>IF(AND(TblTareas[[#This Row],[Activa]]=1,TblTareas[[#This Row],[Control]]="OK",TblTareas[[#This Row],[Semana]]&lt;=Inicio!$B$8,TblTareas[[#This Row],[Semana]]+TblTareas[[#This Row],[Duracion]]&gt;Inicio!$B$8),TblTareas[[#This Row],[Horas apoyo]]/TblTareas[[#This Row],[Duracion]],0)</f>
        <v>1.2</v>
      </c>
      <c r="AC20" s="50" t="n">
        <f>IF(TblTareas[[#This Row],[ID]]="",0,IF(TblTareas[[#This Row],[Control]]="OK",0,1))</f>
        <v>0</v>
      </c>
    </row>
    <row r="21" ht="54" customHeight="1">
      <c r="A21" s="13" t="str">
        <v>TEC-02</v>
      </c>
      <c r="B21" s="25" t="str">
        <v>Iker</v>
      </c>
      <c r="C21" s="25" t="str">
        <v>Por hacer</v>
      </c>
      <c r="D21" s="25" t="str">
        <v>Integrar tiempo fijo e input</v>
      </c>
      <c r="E21" s="25" t="str">
        <v>P0</v>
      </c>
      <c r="F21" s="38" t="n">
        <v>1</v>
      </c>
      <c r="G21" s="38" t="n">
        <v>1</v>
      </c>
      <c r="H21" s="28" t="n">
        <v>5</v>
      </c>
      <c r="I21" s="25" t="str">
        <v>Amin</v>
      </c>
      <c r="J21" s="30" t="n">
        <v>0.3</v>
      </c>
      <c r="K21" s="25" t="str">
        <v>TEC-01</v>
      </c>
      <c r="L21" s="25" t="str">
        <v>Bucle y InputState</v>
      </c>
      <c r="M21" s="25" t="str">
        <v>Pausa y pérdida de foco no acumulan tiempo.</v>
      </c>
      <c r="N21" s="25" t="str"/>
      <c r="O21" s="25" t="str"/>
      <c r="P21" s="34"/>
      <c r="Q21" s="34" t="str">
        <v>Plan inicial propuesto; 8 h/persona/semana por confirmar. Si comparte semana con su predecesora, acordar el día del traspaso.</v>
      </c>
      <c r="R21" s="46" t="str">
        <f>IF(OR(TblTareas[[#This Row],[ID]]="",NOT(ISNUMBER(Inicio!$B$6))),"",Inicio!$B$6+7*(TblTareas[[#This Row],[Semana]]-1))</f>
      </c>
      <c r="S21" s="46" t="str">
        <f>IF(TblTareas[[#This Row],[Inicio]]="","",TblTareas[[#This Row],[Inicio]]+7*TblTareas[[#This Row],[Duracion]]-1)</f>
      </c>
      <c r="T21"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21"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21" s="44" t="n">
        <f>IF(TblTareas[[#This Row],[ID]]="",0,IF(AND(TblTareas[[#This Row],[Estado]]&lt;&gt;"Descartada",OR(TblTareas[[#This Row],[Fase]]&lt;&gt;"P2",Inicio!$B$9=1)),1,0))</f>
        <v>1</v>
      </c>
      <c r="W21" s="48" t="n">
        <f>IF(OR(TblTareas[[#This Row],[Activa]]=0,TblTareas[[#This Row],[Cierre]]="Aceptada",TblTareas[[#This Row],[Control]]&lt;&gt;"OK"),0,TblTareas[[#This Row],[Horas]]*(1-TblTareas[[#This Row],[Apoyo %]]))</f>
        <v>3.5</v>
      </c>
      <c r="X21" s="48" t="n">
        <f>IF(OR(TblTareas[[#This Row],[Activa]]=0,TblTareas[[#This Row],[Cierre]]="Aceptada",TblTareas[[#This Row],[Control]]&lt;&gt;"OK"),0,TblTareas[[#This Row],[Horas]]*TblTareas[[#This Row],[Apoyo %]])</f>
        <v>1.5</v>
      </c>
      <c r="Y21" s="48" t="n">
        <f>IF(AND(TblTareas[[#This Row],[Activa]]=1,TblTareas[[#This Row],[Cierre]]="Aceptada"),TblTareas[[#This Row],[Horas]],0)</f>
        <v>0</v>
      </c>
      <c r="Z21"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21" s="50" t="n">
        <f>IF(AND(TblTareas[[#This Row],[Activa]]=1,TblTareas[[#This Row],[Control]]="OK",TblTareas[[#This Row],[Semana]]&lt;=Inicio!$B$8,TblTareas[[#This Row],[Semana]]+TblTareas[[#This Row],[Duracion]]&gt;Inicio!$B$8),TblTareas[[#This Row],[Horas responsable]]/TblTareas[[#This Row],[Duracion]],0)</f>
        <v>3.5</v>
      </c>
      <c r="AB21" s="50" t="n">
        <f>IF(AND(TblTareas[[#This Row],[Activa]]=1,TblTareas[[#This Row],[Control]]="OK",TblTareas[[#This Row],[Semana]]&lt;=Inicio!$B$8,TblTareas[[#This Row],[Semana]]+TblTareas[[#This Row],[Duracion]]&gt;Inicio!$B$8),TblTareas[[#This Row],[Horas apoyo]]/TblTareas[[#This Row],[Duracion]],0)</f>
        <v>1.5</v>
      </c>
      <c r="AC21" s="50" t="n">
        <f>IF(TblTareas[[#This Row],[ID]]="",0,IF(TblTareas[[#This Row],[Control]]="OK",0,1))</f>
        <v>0</v>
      </c>
    </row>
    <row r="22" ht="54" customHeight="1">
      <c r="A22" s="23" t="str">
        <v>IMP-01</v>
      </c>
      <c r="B22" s="25" t="str">
        <v>Iker</v>
      </c>
      <c r="C22" s="25" t="str">
        <v>Por hacer</v>
      </c>
      <c r="D22" s="25" t="str">
        <v>Implementar nave y proyectiles</v>
      </c>
      <c r="E22" s="25" t="str">
        <v>P0</v>
      </c>
      <c r="F22" s="38" t="n">
        <v>3</v>
      </c>
      <c r="G22" s="38" t="n">
        <v>1</v>
      </c>
      <c r="H22" s="28" t="n">
        <v>6</v>
      </c>
      <c r="I22" s="25" t="str">
        <v>Amin</v>
      </c>
      <c r="J22" s="30" t="n">
        <v>0.3</v>
      </c>
      <c r="K22" s="25" t="str">
        <v>TEC-02</v>
      </c>
      <c r="L22" s="25" t="str">
        <v>Nave controlable y disparo</v>
      </c>
      <c r="M22" s="25" t="str">
        <v>Límites, cadencia y máximo de balas pasan.</v>
      </c>
      <c r="N22" s="25" t="str"/>
      <c r="O22" s="25" t="str"/>
      <c r="P22" s="34"/>
      <c r="Q22" s="34" t="str">
        <v>Plan inicial propuesto; 8 h/persona/semana por confirmar. Si comparte semana con su predecesora, acordar el día del traspaso.</v>
      </c>
      <c r="R22" s="46" t="str">
        <f>IF(OR(TblTareas[[#This Row],[ID]]="",NOT(ISNUMBER(Inicio!$B$6))),"",Inicio!$B$6+7*(TblTareas[[#This Row],[Semana]]-1))</f>
      </c>
      <c r="S22" s="46" t="str">
        <f>IF(TblTareas[[#This Row],[Inicio]]="","",TblTareas[[#This Row],[Inicio]]+7*TblTareas[[#This Row],[Duracion]]-1)</f>
      </c>
      <c r="T22"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22"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22" s="44" t="n">
        <f>IF(TblTareas[[#This Row],[ID]]="",0,IF(AND(TblTareas[[#This Row],[Estado]]&lt;&gt;"Descartada",OR(TblTareas[[#This Row],[Fase]]&lt;&gt;"P2",Inicio!$B$9=1)),1,0))</f>
        <v>1</v>
      </c>
      <c r="W22" s="48" t="n">
        <f>IF(OR(TblTareas[[#This Row],[Activa]]=0,TblTareas[[#This Row],[Cierre]]="Aceptada",TblTareas[[#This Row],[Control]]&lt;&gt;"OK"),0,TblTareas[[#This Row],[Horas]]*(1-TblTareas[[#This Row],[Apoyo %]]))</f>
        <v>4.199999999999999</v>
      </c>
      <c r="X22" s="48" t="n">
        <f>IF(OR(TblTareas[[#This Row],[Activa]]=0,TblTareas[[#This Row],[Cierre]]="Aceptada",TblTareas[[#This Row],[Control]]&lt;&gt;"OK"),0,TblTareas[[#This Row],[Horas]]*TblTareas[[#This Row],[Apoyo %]])</f>
        <v>1.7999999999999998</v>
      </c>
      <c r="Y22" s="48" t="n">
        <f>IF(AND(TblTareas[[#This Row],[Activa]]=1,TblTareas[[#This Row],[Cierre]]="Aceptada"),TblTareas[[#This Row],[Horas]],0)</f>
        <v>0</v>
      </c>
      <c r="Z22"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22" s="50" t="n">
        <f>IF(AND(TblTareas[[#This Row],[Activa]]=1,TblTareas[[#This Row],[Control]]="OK",TblTareas[[#This Row],[Semana]]&lt;=Inicio!$B$8,TblTareas[[#This Row],[Semana]]+TblTareas[[#This Row],[Duracion]]&gt;Inicio!$B$8),TblTareas[[#This Row],[Horas responsable]]/TblTareas[[#This Row],[Duracion]],0)</f>
        <v>0</v>
      </c>
      <c r="AB22" s="50" t="n">
        <f>IF(AND(TblTareas[[#This Row],[Activa]]=1,TblTareas[[#This Row],[Control]]="OK",TblTareas[[#This Row],[Semana]]&lt;=Inicio!$B$8,TblTareas[[#This Row],[Semana]]+TblTareas[[#This Row],[Duracion]]&gt;Inicio!$B$8),TblTareas[[#This Row],[Horas apoyo]]/TblTareas[[#This Row],[Duracion]],0)</f>
        <v>0</v>
      </c>
      <c r="AC22" s="50" t="n">
        <f>IF(TblTareas[[#This Row],[ID]]="",0,IF(TblTareas[[#This Row],[Control]]="OK",0,1))</f>
        <v>0</v>
      </c>
    </row>
    <row r="23" ht="54" customHeight="1">
      <c r="A23" s="13" t="str">
        <v>IMP-02</v>
      </c>
      <c r="B23" s="25" t="str">
        <v>Iker</v>
      </c>
      <c r="C23" s="25" t="str">
        <v>Por hacer</v>
      </c>
      <c r="D23" s="25" t="str">
        <v>Implementar colisiones y daño</v>
      </c>
      <c r="E23" s="25" t="str">
        <v>P0</v>
      </c>
      <c r="F23" s="38" t="n">
        <v>6</v>
      </c>
      <c r="G23" s="38" t="n">
        <v>1</v>
      </c>
      <c r="H23" s="28" t="n">
        <v>8</v>
      </c>
      <c r="I23" s="25" t="str">
        <v>Amin</v>
      </c>
      <c r="J23" s="30" t="n">
        <v>0.3</v>
      </c>
      <c r="K23" s="25" t="str">
        <v>IMP-01</v>
      </c>
      <c r="L23" s="25" t="str">
        <v>Detector y eventos de daño</v>
      </c>
      <c r="M23" s="25" t="str">
        <v>Barrido, primer contacto y muerte única funcionan.</v>
      </c>
      <c r="N23" s="25" t="str"/>
      <c r="O23" s="25" t="str"/>
      <c r="P23" s="34"/>
      <c r="Q23" s="34" t="str">
        <v>Plan inicial propuesto; 8 h/persona/semana por confirmar. Si comparte semana con su predecesora, acordar el día del traspaso.</v>
      </c>
      <c r="R23" s="46" t="str">
        <f>IF(OR(TblTareas[[#This Row],[ID]]="",NOT(ISNUMBER(Inicio!$B$6))),"",Inicio!$B$6+7*(TblTareas[[#This Row],[Semana]]-1))</f>
      </c>
      <c r="S23" s="46" t="str">
        <f>IF(TblTareas[[#This Row],[Inicio]]="","",TblTareas[[#This Row],[Inicio]]+7*TblTareas[[#This Row],[Duracion]]-1)</f>
      </c>
      <c r="T23"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23"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23" s="44" t="n">
        <f>IF(TblTareas[[#This Row],[ID]]="",0,IF(AND(TblTareas[[#This Row],[Estado]]&lt;&gt;"Descartada",OR(TblTareas[[#This Row],[Fase]]&lt;&gt;"P2",Inicio!$B$9=1)),1,0))</f>
        <v>1</v>
      </c>
      <c r="W23" s="48" t="n">
        <f>IF(OR(TblTareas[[#This Row],[Activa]]=0,TblTareas[[#This Row],[Cierre]]="Aceptada",TblTareas[[#This Row],[Control]]&lt;&gt;"OK"),0,TblTareas[[#This Row],[Horas]]*(1-TblTareas[[#This Row],[Apoyo %]]))</f>
        <v>5.6</v>
      </c>
      <c r="X23" s="48" t="n">
        <f>IF(OR(TblTareas[[#This Row],[Activa]]=0,TblTareas[[#This Row],[Cierre]]="Aceptada",TblTareas[[#This Row],[Control]]&lt;&gt;"OK"),0,TblTareas[[#This Row],[Horas]]*TblTareas[[#This Row],[Apoyo %]])</f>
        <v>2.4</v>
      </c>
      <c r="Y23" s="48" t="n">
        <f>IF(AND(TblTareas[[#This Row],[Activa]]=1,TblTareas[[#This Row],[Cierre]]="Aceptada"),TblTareas[[#This Row],[Horas]],0)</f>
        <v>0</v>
      </c>
      <c r="Z23"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23" s="50" t="n">
        <f>IF(AND(TblTareas[[#This Row],[Activa]]=1,TblTareas[[#This Row],[Control]]="OK",TblTareas[[#This Row],[Semana]]&lt;=Inicio!$B$8,TblTareas[[#This Row],[Semana]]+TblTareas[[#This Row],[Duracion]]&gt;Inicio!$B$8),TblTareas[[#This Row],[Horas responsable]]/TblTareas[[#This Row],[Duracion]],0)</f>
        <v>0</v>
      </c>
      <c r="AB23" s="50" t="n">
        <f>IF(AND(TblTareas[[#This Row],[Activa]]=1,TblTareas[[#This Row],[Control]]="OK",TblTareas[[#This Row],[Semana]]&lt;=Inicio!$B$8,TblTareas[[#This Row],[Semana]]+TblTareas[[#This Row],[Duracion]]&gt;Inicio!$B$8),TblTareas[[#This Row],[Horas apoyo]]/TblTareas[[#This Row],[Duracion]],0)</f>
        <v>0</v>
      </c>
      <c r="AC23" s="50" t="n">
        <f>IF(TblTareas[[#This Row],[ID]]="",0,IF(TblTareas[[#This Row],[Control]]="OK",0,1))</f>
        <v>0</v>
      </c>
    </row>
    <row r="24" ht="54" customHeight="1">
      <c r="A24" s="23" t="str">
        <v>IMP-03</v>
      </c>
      <c r="B24" s="25" t="str">
        <v>Iker</v>
      </c>
      <c r="C24" s="25" t="str">
        <v>Por hacer</v>
      </c>
      <c r="D24" s="25" t="str">
        <v>Implementar enemigo y formación</v>
      </c>
      <c r="E24" s="25" t="str">
        <v>P0</v>
      </c>
      <c r="F24" s="38" t="n">
        <v>7</v>
      </c>
      <c r="G24" s="38" t="n">
        <v>2</v>
      </c>
      <c r="H24" s="28" t="n">
        <v>8</v>
      </c>
      <c r="I24" s="25" t="str">
        <v>Amin</v>
      </c>
      <c r="J24" s="30" t="n">
        <v>0.3</v>
      </c>
      <c r="K24" s="25" t="str">
        <v>IMP-02</v>
      </c>
      <c r="L24" s="25" t="str">
        <v>Ciclo de enemigo</v>
      </c>
      <c r="M24" s="25" t="str">
        <v>Rutas completas y slots estables.</v>
      </c>
      <c r="N24" s="25" t="str"/>
      <c r="O24" s="25" t="str"/>
      <c r="P24" s="34"/>
      <c r="Q24" s="34" t="str">
        <v>Plan inicial propuesto; 8 h/persona/semana por confirmar. Si comparte semana con su predecesora, acordar el día del traspaso.</v>
      </c>
      <c r="R24" s="46" t="str">
        <f>IF(OR(TblTareas[[#This Row],[ID]]="",NOT(ISNUMBER(Inicio!$B$6))),"",Inicio!$B$6+7*(TblTareas[[#This Row],[Semana]]-1))</f>
      </c>
      <c r="S24" s="46" t="str">
        <f>IF(TblTareas[[#This Row],[Inicio]]="","",TblTareas[[#This Row],[Inicio]]+7*TblTareas[[#This Row],[Duracion]]-1)</f>
      </c>
      <c r="T24"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24"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24" s="44" t="n">
        <f>IF(TblTareas[[#This Row],[ID]]="",0,IF(AND(TblTareas[[#This Row],[Estado]]&lt;&gt;"Descartada",OR(TblTareas[[#This Row],[Fase]]&lt;&gt;"P2",Inicio!$B$9=1)),1,0))</f>
        <v>1</v>
      </c>
      <c r="W24" s="48" t="n">
        <f>IF(OR(TblTareas[[#This Row],[Activa]]=0,TblTareas[[#This Row],[Cierre]]="Aceptada",TblTareas[[#This Row],[Control]]&lt;&gt;"OK"),0,TblTareas[[#This Row],[Horas]]*(1-TblTareas[[#This Row],[Apoyo %]]))</f>
        <v>5.6</v>
      </c>
      <c r="X24" s="48" t="n">
        <f>IF(OR(TblTareas[[#This Row],[Activa]]=0,TblTareas[[#This Row],[Cierre]]="Aceptada",TblTareas[[#This Row],[Control]]&lt;&gt;"OK"),0,TblTareas[[#This Row],[Horas]]*TblTareas[[#This Row],[Apoyo %]])</f>
        <v>2.4</v>
      </c>
      <c r="Y24" s="48" t="n">
        <f>IF(AND(TblTareas[[#This Row],[Activa]]=1,TblTareas[[#This Row],[Cierre]]="Aceptada"),TblTareas[[#This Row],[Horas]],0)</f>
        <v>0</v>
      </c>
      <c r="Z24"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24" s="50" t="n">
        <f>IF(AND(TblTareas[[#This Row],[Activa]]=1,TblTareas[[#This Row],[Control]]="OK",TblTareas[[#This Row],[Semana]]&lt;=Inicio!$B$8,TblTareas[[#This Row],[Semana]]+TblTareas[[#This Row],[Duracion]]&gt;Inicio!$B$8),TblTareas[[#This Row],[Horas responsable]]/TblTareas[[#This Row],[Duracion]],0)</f>
        <v>0</v>
      </c>
      <c r="AB24" s="50" t="n">
        <f>IF(AND(TblTareas[[#This Row],[Activa]]=1,TblTareas[[#This Row],[Control]]="OK",TblTareas[[#This Row],[Semana]]&lt;=Inicio!$B$8,TblTareas[[#This Row],[Semana]]+TblTareas[[#This Row],[Duracion]]&gt;Inicio!$B$8),TblTareas[[#This Row],[Horas apoyo]]/TblTareas[[#This Row],[Duracion]],0)</f>
        <v>0</v>
      </c>
      <c r="AC24" s="50" t="n">
        <f>IF(TblTareas[[#This Row],[ID]]="",0,IF(TblTareas[[#This Row],[Control]]="OK",0,1))</f>
        <v>0</v>
      </c>
    </row>
    <row r="25" ht="54" customHeight="1">
      <c r="A25" s="13" t="str">
        <v>IMP-04</v>
      </c>
      <c r="B25" s="25" t="str">
        <v>Iker</v>
      </c>
      <c r="C25" s="25" t="str">
        <v>Por hacer</v>
      </c>
      <c r="D25" s="25" t="str">
        <v>Integrar oleadas y estados</v>
      </c>
      <c r="E25" s="25" t="str">
        <v>P0</v>
      </c>
      <c r="F25" s="38" t="n">
        <v>8</v>
      </c>
      <c r="G25" s="38" t="n">
        <v>1</v>
      </c>
      <c r="H25" s="28" t="n">
        <v>6</v>
      </c>
      <c r="I25" s="25" t="str">
        <v>Amin</v>
      </c>
      <c r="J25" s="30" t="n">
        <v>0.3</v>
      </c>
      <c r="K25" s="25" t="str">
        <v>IMP-03</v>
      </c>
      <c r="L25" s="25" t="str">
        <v>Tres oleadas completas</v>
      </c>
      <c r="M25" s="25" t="str">
        <v>No termina con enemigos vivos fuera de pantalla.</v>
      </c>
      <c r="N25" s="25" t="str"/>
      <c r="O25" s="25" t="str"/>
      <c r="P25" s="34"/>
      <c r="Q25" s="34" t="str">
        <v>Plan inicial propuesto; 8 h/persona/semana por confirmar. Si comparte semana con su predecesora, acordar el día del traspaso.</v>
      </c>
      <c r="R25" s="46" t="str">
        <f>IF(OR(TblTareas[[#This Row],[ID]]="",NOT(ISNUMBER(Inicio!$B$6))),"",Inicio!$B$6+7*(TblTareas[[#This Row],[Semana]]-1))</f>
      </c>
      <c r="S25" s="46" t="str">
        <f>IF(TblTareas[[#This Row],[Inicio]]="","",TblTareas[[#This Row],[Inicio]]+7*TblTareas[[#This Row],[Duracion]]-1)</f>
      </c>
      <c r="T25"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25"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25" s="44" t="n">
        <f>IF(TblTareas[[#This Row],[ID]]="",0,IF(AND(TblTareas[[#This Row],[Estado]]&lt;&gt;"Descartada",OR(TblTareas[[#This Row],[Fase]]&lt;&gt;"P2",Inicio!$B$9=1)),1,0))</f>
        <v>1</v>
      </c>
      <c r="W25" s="48" t="n">
        <f>IF(OR(TblTareas[[#This Row],[Activa]]=0,TblTareas[[#This Row],[Cierre]]="Aceptada",TblTareas[[#This Row],[Control]]&lt;&gt;"OK"),0,TblTareas[[#This Row],[Horas]]*(1-TblTareas[[#This Row],[Apoyo %]]))</f>
        <v>4.199999999999999</v>
      </c>
      <c r="X25" s="48" t="n">
        <f>IF(OR(TblTareas[[#This Row],[Activa]]=0,TblTareas[[#This Row],[Cierre]]="Aceptada",TblTareas[[#This Row],[Control]]&lt;&gt;"OK"),0,TblTareas[[#This Row],[Horas]]*TblTareas[[#This Row],[Apoyo %]])</f>
        <v>1.7999999999999998</v>
      </c>
      <c r="Y25" s="48" t="n">
        <f>IF(AND(TblTareas[[#This Row],[Activa]]=1,TblTareas[[#This Row],[Cierre]]="Aceptada"),TblTareas[[#This Row],[Horas]],0)</f>
        <v>0</v>
      </c>
      <c r="Z25"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25" s="50" t="n">
        <f>IF(AND(TblTareas[[#This Row],[Activa]]=1,TblTareas[[#This Row],[Control]]="OK",TblTareas[[#This Row],[Semana]]&lt;=Inicio!$B$8,TblTareas[[#This Row],[Semana]]+TblTareas[[#This Row],[Duracion]]&gt;Inicio!$B$8),TblTareas[[#This Row],[Horas responsable]]/TblTareas[[#This Row],[Duracion]],0)</f>
        <v>0</v>
      </c>
      <c r="AB25" s="50" t="n">
        <f>IF(AND(TblTareas[[#This Row],[Activa]]=1,TblTareas[[#This Row],[Control]]="OK",TblTareas[[#This Row],[Semana]]&lt;=Inicio!$B$8,TblTareas[[#This Row],[Semana]]+TblTareas[[#This Row],[Duracion]]&gt;Inicio!$B$8),TblTareas[[#This Row],[Horas apoyo]]/TblTareas[[#This Row],[Duracion]],0)</f>
        <v>0</v>
      </c>
      <c r="AC25" s="50" t="n">
        <f>IF(TblTareas[[#This Row],[ID]]="",0,IF(TblTareas[[#This Row],[Control]]="OK",0,1))</f>
        <v>0</v>
      </c>
    </row>
    <row r="26" ht="54" customHeight="1">
      <c r="A26" s="23" t="str">
        <v>IMP-05</v>
      </c>
      <c r="B26" s="25" t="str">
        <v>Iker</v>
      </c>
      <c r="C26" s="25" t="str">
        <v>Por hacer</v>
      </c>
      <c r="D26" s="25" t="str">
        <v>Integrar jefe y resultados</v>
      </c>
      <c r="E26" s="25" t="str">
        <v>P0</v>
      </c>
      <c r="F26" s="38" t="n">
        <v>9</v>
      </c>
      <c r="G26" s="38" t="n">
        <v>1</v>
      </c>
      <c r="H26" s="28" t="n">
        <v>6</v>
      </c>
      <c r="I26" s="25" t="str">
        <v>Amin</v>
      </c>
      <c r="J26" s="30" t="n">
        <v>0.3</v>
      </c>
      <c r="K26" s="25" t="str">
        <v>IMP-04</v>
      </c>
      <c r="L26" s="25" t="str">
        <v>Jefe de dos fases y resultados</v>
      </c>
      <c r="M26" s="25" t="str">
        <v>Victoria, derrota y doble muerte consistentes.</v>
      </c>
      <c r="N26" s="25" t="str"/>
      <c r="O26" s="25" t="str"/>
      <c r="P26" s="34"/>
      <c r="Q26" s="34" t="str">
        <v>Plan inicial propuesto; 8 h/persona/semana por confirmar. Si comparte semana con su predecesora, acordar el día del traspaso.</v>
      </c>
      <c r="R26" s="46" t="str">
        <f>IF(OR(TblTareas[[#This Row],[ID]]="",NOT(ISNUMBER(Inicio!$B$6))),"",Inicio!$B$6+7*(TblTareas[[#This Row],[Semana]]-1))</f>
      </c>
      <c r="S26" s="46" t="str">
        <f>IF(TblTareas[[#This Row],[Inicio]]="","",TblTareas[[#This Row],[Inicio]]+7*TblTareas[[#This Row],[Duracion]]-1)</f>
      </c>
      <c r="T26"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26"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26" s="44" t="n">
        <f>IF(TblTareas[[#This Row],[ID]]="",0,IF(AND(TblTareas[[#This Row],[Estado]]&lt;&gt;"Descartada",OR(TblTareas[[#This Row],[Fase]]&lt;&gt;"P2",Inicio!$B$9=1)),1,0))</f>
        <v>1</v>
      </c>
      <c r="W26" s="48" t="n">
        <f>IF(OR(TblTareas[[#This Row],[Activa]]=0,TblTareas[[#This Row],[Cierre]]="Aceptada",TblTareas[[#This Row],[Control]]&lt;&gt;"OK"),0,TblTareas[[#This Row],[Horas]]*(1-TblTareas[[#This Row],[Apoyo %]]))</f>
        <v>4.199999999999999</v>
      </c>
      <c r="X26" s="48" t="n">
        <f>IF(OR(TblTareas[[#This Row],[Activa]]=0,TblTareas[[#This Row],[Cierre]]="Aceptada",TblTareas[[#This Row],[Control]]&lt;&gt;"OK"),0,TblTareas[[#This Row],[Horas]]*TblTareas[[#This Row],[Apoyo %]])</f>
        <v>1.7999999999999998</v>
      </c>
      <c r="Y26" s="48" t="n">
        <f>IF(AND(TblTareas[[#This Row],[Activa]]=1,TblTareas[[#This Row],[Cierre]]="Aceptada"),TblTareas[[#This Row],[Horas]],0)</f>
        <v>0</v>
      </c>
      <c r="Z26"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26" s="50" t="n">
        <f>IF(AND(TblTareas[[#This Row],[Activa]]=1,TblTareas[[#This Row],[Control]]="OK",TblTareas[[#This Row],[Semana]]&lt;=Inicio!$B$8,TblTareas[[#This Row],[Semana]]+TblTareas[[#This Row],[Duracion]]&gt;Inicio!$B$8),TblTareas[[#This Row],[Horas responsable]]/TblTareas[[#This Row],[Duracion]],0)</f>
        <v>0</v>
      </c>
      <c r="AB26" s="50" t="n">
        <f>IF(AND(TblTareas[[#This Row],[Activa]]=1,TblTareas[[#This Row],[Control]]="OK",TblTareas[[#This Row],[Semana]]&lt;=Inicio!$B$8,TblTareas[[#This Row],[Semana]]+TblTareas[[#This Row],[Duracion]]&gt;Inicio!$B$8),TblTareas[[#This Row],[Horas apoyo]]/TblTareas[[#This Row],[Duracion]],0)</f>
        <v>0</v>
      </c>
      <c r="AC26" s="50" t="n">
        <f>IF(TblTareas[[#This Row],[ID]]="",0,IF(TblTareas[[#This Row],[Control]]="OK",0,1))</f>
        <v>0</v>
      </c>
    </row>
    <row r="27" ht="54" customHeight="1">
      <c r="A27" s="13" t="str">
        <v>ART-01</v>
      </c>
      <c r="B27" s="25" t="str">
        <v>Iker</v>
      </c>
      <c r="C27" s="25" t="str">
        <v>Por hacer</v>
      </c>
      <c r="D27" s="25" t="str">
        <v>Crear mallas y normales</v>
      </c>
      <c r="E27" s="25" t="str">
        <v>P0</v>
      </c>
      <c r="F27" s="38" t="n">
        <v>2</v>
      </c>
      <c r="G27" s="38" t="n">
        <v>2</v>
      </c>
      <c r="H27" s="28" t="n">
        <v>7</v>
      </c>
      <c r="I27" s="25" t="str">
        <v>Ferran</v>
      </c>
      <c r="J27" s="30" t="n">
        <v>0.3</v>
      </c>
      <c r="K27" s="25" t="str">
        <v>TEC-01</v>
      </c>
      <c r="L27" s="25" t="str">
        <v>Modelos originales volumétricos</v>
      </c>
      <c r="M27" s="25" t="str">
        <v>Inspección lateral confirma volumen y normales.</v>
      </c>
      <c r="N27" s="25" t="str"/>
      <c r="O27" s="25" t="str"/>
      <c r="P27" s="34"/>
      <c r="Q27" s="34" t="str">
        <v>Plan inicial propuesto; 8 h/persona/semana por confirmar. Si comparte semana con su predecesora, acordar el día del traspaso.</v>
      </c>
      <c r="R27" s="46" t="str">
        <f>IF(OR(TblTareas[[#This Row],[ID]]="",NOT(ISNUMBER(Inicio!$B$6))),"",Inicio!$B$6+7*(TblTareas[[#This Row],[Semana]]-1))</f>
      </c>
      <c r="S27" s="46" t="str">
        <f>IF(TblTareas[[#This Row],[Inicio]]="","",TblTareas[[#This Row],[Inicio]]+7*TblTareas[[#This Row],[Duracion]]-1)</f>
      </c>
      <c r="T27"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27"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27" s="44" t="n">
        <f>IF(TblTareas[[#This Row],[ID]]="",0,IF(AND(TblTareas[[#This Row],[Estado]]&lt;&gt;"Descartada",OR(TblTareas[[#This Row],[Fase]]&lt;&gt;"P2",Inicio!$B$9=1)),1,0))</f>
        <v>1</v>
      </c>
      <c r="W27" s="48" t="n">
        <f>IF(OR(TblTareas[[#This Row],[Activa]]=0,TblTareas[[#This Row],[Cierre]]="Aceptada",TblTareas[[#This Row],[Control]]&lt;&gt;"OK"),0,TblTareas[[#This Row],[Horas]]*(1-TblTareas[[#This Row],[Apoyo %]]))</f>
        <v>4.8999999999999995</v>
      </c>
      <c r="X27" s="48" t="n">
        <f>IF(OR(TblTareas[[#This Row],[Activa]]=0,TblTareas[[#This Row],[Cierre]]="Aceptada",TblTareas[[#This Row],[Control]]&lt;&gt;"OK"),0,TblTareas[[#This Row],[Horas]]*TblTareas[[#This Row],[Apoyo %]])</f>
        <v>2.1</v>
      </c>
      <c r="Y27" s="48" t="n">
        <f>IF(AND(TblTareas[[#This Row],[Activa]]=1,TblTareas[[#This Row],[Cierre]]="Aceptada"),TblTareas[[#This Row],[Horas]],0)</f>
        <v>0</v>
      </c>
      <c r="Z27"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27" s="50" t="n">
        <f>IF(AND(TblTareas[[#This Row],[Activa]]=1,TblTareas[[#This Row],[Control]]="OK",TblTareas[[#This Row],[Semana]]&lt;=Inicio!$B$8,TblTareas[[#This Row],[Semana]]+TblTareas[[#This Row],[Duracion]]&gt;Inicio!$B$8),TblTareas[[#This Row],[Horas responsable]]/TblTareas[[#This Row],[Duracion]],0)</f>
        <v>0</v>
      </c>
      <c r="AB27" s="50" t="n">
        <f>IF(AND(TblTareas[[#This Row],[Activa]]=1,TblTareas[[#This Row],[Control]]="OK",TblTareas[[#This Row],[Semana]]&lt;=Inicio!$B$8,TblTareas[[#This Row],[Semana]]+TblTareas[[#This Row],[Duracion]]&gt;Inicio!$B$8),TblTareas[[#This Row],[Horas apoyo]]/TblTareas[[#This Row],[Duracion]],0)</f>
        <v>0</v>
      </c>
      <c r="AC27" s="50" t="n">
        <f>IF(TblTareas[[#This Row],[ID]]="",0,IF(TblTareas[[#This Row],[Control]]="OK",0,1))</f>
        <v>0</v>
      </c>
    </row>
    <row r="28" ht="54" customHeight="1">
      <c r="A28" s="23" t="str">
        <v>ART-02</v>
      </c>
      <c r="B28" s="25" t="str">
        <v>Iker</v>
      </c>
      <c r="C28" s="25" t="str">
        <v>Por hacer</v>
      </c>
      <c r="D28" s="25" t="str">
        <v>Integrar matrices y depth test</v>
      </c>
      <c r="E28" s="25" t="str">
        <v>P0</v>
      </c>
      <c r="F28" s="38" t="n">
        <v>4</v>
      </c>
      <c r="G28" s="38" t="n">
        <v>1</v>
      </c>
      <c r="H28" s="28" t="n">
        <v>5</v>
      </c>
      <c r="I28" s="25" t="str">
        <v>Ferran</v>
      </c>
      <c r="J28" s="30" t="n">
        <v>0.3</v>
      </c>
      <c r="K28" s="25" t="str">
        <v>ART-01</v>
      </c>
      <c r="L28" s="25" t="str">
        <v>Pipeline gráfico</v>
      </c>
      <c r="M28" s="25" t="str">
        <v>Transformaciones y orden de oclusión correctos.</v>
      </c>
      <c r="N28" s="25" t="str"/>
      <c r="O28" s="25" t="str"/>
      <c r="P28" s="34"/>
      <c r="Q28" s="34" t="str">
        <v>Plan inicial propuesto; 8 h/persona/semana por confirmar. Si comparte semana con su predecesora, acordar el día del traspaso.</v>
      </c>
      <c r="R28" s="46" t="str">
        <f>IF(OR(TblTareas[[#This Row],[ID]]="",NOT(ISNUMBER(Inicio!$B$6))),"",Inicio!$B$6+7*(TblTareas[[#This Row],[Semana]]-1))</f>
      </c>
      <c r="S28" s="46" t="str">
        <f>IF(TblTareas[[#This Row],[Inicio]]="","",TblTareas[[#This Row],[Inicio]]+7*TblTareas[[#This Row],[Duracion]]-1)</f>
      </c>
      <c r="T28"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28"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28" s="44" t="n">
        <f>IF(TblTareas[[#This Row],[ID]]="",0,IF(AND(TblTareas[[#This Row],[Estado]]&lt;&gt;"Descartada",OR(TblTareas[[#This Row],[Fase]]&lt;&gt;"P2",Inicio!$B$9=1)),1,0))</f>
        <v>1</v>
      </c>
      <c r="W28" s="48" t="n">
        <f>IF(OR(TblTareas[[#This Row],[Activa]]=0,TblTareas[[#This Row],[Cierre]]="Aceptada",TblTareas[[#This Row],[Control]]&lt;&gt;"OK"),0,TblTareas[[#This Row],[Horas]]*(1-TblTareas[[#This Row],[Apoyo %]]))</f>
        <v>3.5</v>
      </c>
      <c r="X28" s="48" t="n">
        <f>IF(OR(TblTareas[[#This Row],[Activa]]=0,TblTareas[[#This Row],[Cierre]]="Aceptada",TblTareas[[#This Row],[Control]]&lt;&gt;"OK"),0,TblTareas[[#This Row],[Horas]]*TblTareas[[#This Row],[Apoyo %]])</f>
        <v>1.5</v>
      </c>
      <c r="Y28" s="48" t="n">
        <f>IF(AND(TblTareas[[#This Row],[Activa]]=1,TblTareas[[#This Row],[Cierre]]="Aceptada"),TblTareas[[#This Row],[Horas]],0)</f>
        <v>0</v>
      </c>
      <c r="Z28"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28" s="50" t="n">
        <f>IF(AND(TblTareas[[#This Row],[Activa]]=1,TblTareas[[#This Row],[Control]]="OK",TblTareas[[#This Row],[Semana]]&lt;=Inicio!$B$8,TblTareas[[#This Row],[Semana]]+TblTareas[[#This Row],[Duracion]]&gt;Inicio!$B$8),TblTareas[[#This Row],[Horas responsable]]/TblTareas[[#This Row],[Duracion]],0)</f>
        <v>0</v>
      </c>
      <c r="AB28" s="50" t="n">
        <f>IF(AND(TblTareas[[#This Row],[Activa]]=1,TblTareas[[#This Row],[Control]]="OK",TblTareas[[#This Row],[Semana]]&lt;=Inicio!$B$8,TblTareas[[#This Row],[Semana]]+TblTareas[[#This Row],[Duracion]]&gt;Inicio!$B$8),TblTareas[[#This Row],[Horas apoyo]]/TblTareas[[#This Row],[Duracion]],0)</f>
        <v>0</v>
      </c>
      <c r="AC28" s="50" t="n">
        <f>IF(TblTareas[[#This Row],[ID]]="",0,IF(TblTareas[[#This Row],[Control]]="OK",0,1))</f>
        <v>0</v>
      </c>
    </row>
    <row r="29" ht="54" customHeight="1">
      <c r="A29" s="13" t="str">
        <v>ART-03</v>
      </c>
      <c r="B29" s="25" t="str">
        <v>Iker</v>
      </c>
      <c r="C29" s="25" t="str">
        <v>Por hacer</v>
      </c>
      <c r="D29" s="25" t="str">
        <v>Integrar materiales e iluminación</v>
      </c>
      <c r="E29" s="25" t="str">
        <v>P0</v>
      </c>
      <c r="F29" s="38" t="n">
        <v>4</v>
      </c>
      <c r="G29" s="38" t="n">
        <v>2</v>
      </c>
      <c r="H29" s="28" t="n">
        <v>5</v>
      </c>
      <c r="I29" s="25" t="str">
        <v>Ferran</v>
      </c>
      <c r="J29" s="30" t="n">
        <v>0.3</v>
      </c>
      <c r="K29" s="25" t="str">
        <v>ART-02</v>
      </c>
      <c r="L29" s="25" t="str">
        <v>Escena iluminada</v>
      </c>
      <c r="M29" s="25" t="str">
        <v>Volúmenes legibles sin alterar colisiones.</v>
      </c>
      <c r="N29" s="25" t="str"/>
      <c r="O29" s="25" t="str"/>
      <c r="P29" s="34"/>
      <c r="Q29" s="34" t="str">
        <v>Plan inicial propuesto; 8 h/persona/semana por confirmar. Si comparte semana con su predecesora, acordar el día del traspaso.</v>
      </c>
      <c r="R29" s="46" t="str">
        <f>IF(OR(TblTareas[[#This Row],[ID]]="",NOT(ISNUMBER(Inicio!$B$6))),"",Inicio!$B$6+7*(TblTareas[[#This Row],[Semana]]-1))</f>
      </c>
      <c r="S29" s="46" t="str">
        <f>IF(TblTareas[[#This Row],[Inicio]]="","",TblTareas[[#This Row],[Inicio]]+7*TblTareas[[#This Row],[Duracion]]-1)</f>
      </c>
      <c r="T29"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29"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29" s="44" t="n">
        <f>IF(TblTareas[[#This Row],[ID]]="",0,IF(AND(TblTareas[[#This Row],[Estado]]&lt;&gt;"Descartada",OR(TblTareas[[#This Row],[Fase]]&lt;&gt;"P2",Inicio!$B$9=1)),1,0))</f>
        <v>1</v>
      </c>
      <c r="W29" s="48" t="n">
        <f>IF(OR(TblTareas[[#This Row],[Activa]]=0,TblTareas[[#This Row],[Cierre]]="Aceptada",TblTareas[[#This Row],[Control]]&lt;&gt;"OK"),0,TblTareas[[#This Row],[Horas]]*(1-TblTareas[[#This Row],[Apoyo %]]))</f>
        <v>3.5</v>
      </c>
      <c r="X29" s="48" t="n">
        <f>IF(OR(TblTareas[[#This Row],[Activa]]=0,TblTareas[[#This Row],[Cierre]]="Aceptada",TblTareas[[#This Row],[Control]]&lt;&gt;"OK"),0,TblTareas[[#This Row],[Horas]]*TblTareas[[#This Row],[Apoyo %]])</f>
        <v>1.5</v>
      </c>
      <c r="Y29" s="48" t="n">
        <f>IF(AND(TblTareas[[#This Row],[Activa]]=1,TblTareas[[#This Row],[Cierre]]="Aceptada"),TblTareas[[#This Row],[Horas]],0)</f>
        <v>0</v>
      </c>
      <c r="Z29"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29" s="50" t="n">
        <f>IF(AND(TblTareas[[#This Row],[Activa]]=1,TblTareas[[#This Row],[Control]]="OK",TblTareas[[#This Row],[Semana]]&lt;=Inicio!$B$8,TblTareas[[#This Row],[Semana]]+TblTareas[[#This Row],[Duracion]]&gt;Inicio!$B$8),TblTareas[[#This Row],[Horas responsable]]/TblTareas[[#This Row],[Duracion]],0)</f>
        <v>0</v>
      </c>
      <c r="AB29" s="50" t="n">
        <f>IF(AND(TblTareas[[#This Row],[Activa]]=1,TblTareas[[#This Row],[Control]]="OK",TblTareas[[#This Row],[Semana]]&lt;=Inicio!$B$8,TblTareas[[#This Row],[Semana]]+TblTareas[[#This Row],[Duracion]]&gt;Inicio!$B$8),TblTareas[[#This Row],[Horas apoyo]]/TblTareas[[#This Row],[Duracion]],0)</f>
        <v>0</v>
      </c>
      <c r="AC29" s="50" t="n">
        <f>IF(TblTareas[[#This Row],[ID]]="",0,IF(TblTareas[[#This Row],[Control]]="OK",0,1))</f>
        <v>0</v>
      </c>
    </row>
    <row r="30" ht="54" customHeight="1">
      <c r="A30" s="23" t="str">
        <v>ART-04</v>
      </c>
      <c r="B30" s="25" t="str">
        <v>Iker</v>
      </c>
      <c r="C30" s="25" t="str">
        <v>Por hacer</v>
      </c>
      <c r="D30" s="25" t="str">
        <v>Orientar modelos en las rutas</v>
      </c>
      <c r="E30" s="25" t="str">
        <v>P0</v>
      </c>
      <c r="F30" s="38" t="n">
        <v>9</v>
      </c>
      <c r="G30" s="38" t="n">
        <v>1</v>
      </c>
      <c r="H30" s="28" t="n">
        <v>4</v>
      </c>
      <c r="I30" s="25" t="str">
        <v>Ferran</v>
      </c>
      <c r="J30" s="30" t="n">
        <v>0.3</v>
      </c>
      <c r="K30" s="25" t="str">
        <v>IMP-03</v>
      </c>
      <c r="L30" s="25" t="str">
        <v>Orientación por tangente</v>
      </c>
      <c r="M30" s="25" t="str">
        <v>Sin giros bruscos ni collider dependiente de alabeo.</v>
      </c>
      <c r="N30" s="25" t="str"/>
      <c r="O30" s="25" t="str"/>
      <c r="P30" s="34"/>
      <c r="Q30" s="34" t="str">
        <v>Plan inicial propuesto; 8 h/persona/semana por confirmar. Si comparte semana con su predecesora, acordar el día del traspaso.</v>
      </c>
      <c r="R30" s="46" t="str">
        <f>IF(OR(TblTareas[[#This Row],[ID]]="",NOT(ISNUMBER(Inicio!$B$6))),"",Inicio!$B$6+7*(TblTareas[[#This Row],[Semana]]-1))</f>
      </c>
      <c r="S30" s="46" t="str">
        <f>IF(TblTareas[[#This Row],[Inicio]]="","",TblTareas[[#This Row],[Inicio]]+7*TblTareas[[#This Row],[Duracion]]-1)</f>
      </c>
      <c r="T30"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30"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30" s="44" t="n">
        <f>IF(TblTareas[[#This Row],[ID]]="",0,IF(AND(TblTareas[[#This Row],[Estado]]&lt;&gt;"Descartada",OR(TblTareas[[#This Row],[Fase]]&lt;&gt;"P2",Inicio!$B$9=1)),1,0))</f>
        <v>1</v>
      </c>
      <c r="W30" s="48" t="n">
        <f>IF(OR(TblTareas[[#This Row],[Activa]]=0,TblTareas[[#This Row],[Cierre]]="Aceptada",TblTareas[[#This Row],[Control]]&lt;&gt;"OK"),0,TblTareas[[#This Row],[Horas]]*(1-TblTareas[[#This Row],[Apoyo %]]))</f>
        <v>2.8</v>
      </c>
      <c r="X30" s="48" t="n">
        <f>IF(OR(TblTareas[[#This Row],[Activa]]=0,TblTareas[[#This Row],[Cierre]]="Aceptada",TblTareas[[#This Row],[Control]]&lt;&gt;"OK"),0,TblTareas[[#This Row],[Horas]]*TblTareas[[#This Row],[Apoyo %]])</f>
        <v>1.2</v>
      </c>
      <c r="Y30" s="48" t="n">
        <f>IF(AND(TblTareas[[#This Row],[Activa]]=1,TblTareas[[#This Row],[Cierre]]="Aceptada"),TblTareas[[#This Row],[Horas]],0)</f>
        <v>0</v>
      </c>
      <c r="Z30"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30" s="50" t="n">
        <f>IF(AND(TblTareas[[#This Row],[Activa]]=1,TblTareas[[#This Row],[Control]]="OK",TblTareas[[#This Row],[Semana]]&lt;=Inicio!$B$8,TblTareas[[#This Row],[Semana]]+TblTareas[[#This Row],[Duracion]]&gt;Inicio!$B$8),TblTareas[[#This Row],[Horas responsable]]/TblTareas[[#This Row],[Duracion]],0)</f>
        <v>0</v>
      </c>
      <c r="AB30" s="50" t="n">
        <f>IF(AND(TblTareas[[#This Row],[Activa]]=1,TblTareas[[#This Row],[Control]]="OK",TblTareas[[#This Row],[Semana]]&lt;=Inicio!$B$8,TblTareas[[#This Row],[Semana]]+TblTareas[[#This Row],[Duracion]]&gt;Inicio!$B$8),TblTareas[[#This Row],[Horas apoyo]]/TblTareas[[#This Row],[Duracion]],0)</f>
        <v>0</v>
      </c>
      <c r="AC30" s="50" t="n">
        <f>IF(TblTareas[[#This Row],[ID]]="",0,IF(TblTareas[[#This Row],[Control]]="OK",0,1))</f>
        <v>0</v>
      </c>
    </row>
    <row r="31" ht="54" customHeight="1">
      <c r="A31" s="13" t="str">
        <v>UI-01</v>
      </c>
      <c r="B31" s="25" t="str">
        <v>Ferran</v>
      </c>
      <c r="C31" s="25" t="str">
        <v>Por hacer</v>
      </c>
      <c r="D31" s="25" t="str">
        <v>Diseñar cámara y composición</v>
      </c>
      <c r="E31" s="25" t="str">
        <v>P0</v>
      </c>
      <c r="F31" s="38" t="n">
        <v>2</v>
      </c>
      <c r="G31" s="38" t="n">
        <v>2</v>
      </c>
      <c r="H31" s="28" t="n">
        <v>4</v>
      </c>
      <c r="I31" s="25" t="str">
        <v>Pablo</v>
      </c>
      <c r="J31" s="30" t="n">
        <v>0.2</v>
      </c>
      <c r="K31" s="25" t="str">
        <v>DIS-02</v>
      </c>
      <c r="L31" s="25" t="str">
        <v>Bocetos de cámara</v>
      </c>
      <c r="M31" s="25" t="str">
        <v>Campo completo en dos relaciones de aspecto.</v>
      </c>
      <c r="N31" s="25" t="str"/>
      <c r="O31" s="25" t="str"/>
      <c r="P31" s="34"/>
      <c r="Q31" s="34" t="str">
        <v>Plan inicial propuesto; 8 h/persona/semana por confirmar. Si comparte semana con su predecesora, acordar el día del traspaso.</v>
      </c>
      <c r="R31" s="46" t="str">
        <f>IF(OR(TblTareas[[#This Row],[ID]]="",NOT(ISNUMBER(Inicio!$B$6))),"",Inicio!$B$6+7*(TblTareas[[#This Row],[Semana]]-1))</f>
      </c>
      <c r="S31" s="46" t="str">
        <f>IF(TblTareas[[#This Row],[Inicio]]="","",TblTareas[[#This Row],[Inicio]]+7*TblTareas[[#This Row],[Duracion]]-1)</f>
      </c>
      <c r="T31"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31"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31" s="44" t="n">
        <f>IF(TblTareas[[#This Row],[ID]]="",0,IF(AND(TblTareas[[#This Row],[Estado]]&lt;&gt;"Descartada",OR(TblTareas[[#This Row],[Fase]]&lt;&gt;"P2",Inicio!$B$9=1)),1,0))</f>
        <v>1</v>
      </c>
      <c r="W31" s="48" t="n">
        <f>IF(OR(TblTareas[[#This Row],[Activa]]=0,TblTareas[[#This Row],[Cierre]]="Aceptada",TblTareas[[#This Row],[Control]]&lt;&gt;"OK"),0,TblTareas[[#This Row],[Horas]]*(1-TblTareas[[#This Row],[Apoyo %]]))</f>
        <v>3.2</v>
      </c>
      <c r="X31" s="48" t="n">
        <f>IF(OR(TblTareas[[#This Row],[Activa]]=0,TblTareas[[#This Row],[Cierre]]="Aceptada",TblTareas[[#This Row],[Control]]&lt;&gt;"OK"),0,TblTareas[[#This Row],[Horas]]*TblTareas[[#This Row],[Apoyo %]])</f>
        <v>0.8</v>
      </c>
      <c r="Y31" s="48" t="n">
        <f>IF(AND(TblTareas[[#This Row],[Activa]]=1,TblTareas[[#This Row],[Cierre]]="Aceptada"),TblTareas[[#This Row],[Horas]],0)</f>
        <v>0</v>
      </c>
      <c r="Z31"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31" s="50" t="n">
        <f>IF(AND(TblTareas[[#This Row],[Activa]]=1,TblTareas[[#This Row],[Control]]="OK",TblTareas[[#This Row],[Semana]]&lt;=Inicio!$B$8,TblTareas[[#This Row],[Semana]]+TblTareas[[#This Row],[Duracion]]&gt;Inicio!$B$8),TblTareas[[#This Row],[Horas responsable]]/TblTareas[[#This Row],[Duracion]],0)</f>
        <v>0</v>
      </c>
      <c r="AB31" s="50" t="n">
        <f>IF(AND(TblTareas[[#This Row],[Activa]]=1,TblTareas[[#This Row],[Control]]="OK",TblTareas[[#This Row],[Semana]]&lt;=Inicio!$B$8,TblTareas[[#This Row],[Semana]]+TblTareas[[#This Row],[Duracion]]&gt;Inicio!$B$8),TblTareas[[#This Row],[Horas apoyo]]/TblTareas[[#This Row],[Duracion]],0)</f>
        <v>0</v>
      </c>
      <c r="AC31" s="50" t="n">
        <f>IF(TblTareas[[#This Row],[ID]]="",0,IF(TblTareas[[#This Row],[Control]]="OK",0,1))</f>
        <v>0</v>
      </c>
    </row>
    <row r="32" ht="54" customHeight="1">
      <c r="A32" s="23" t="str">
        <v>UI-02</v>
      </c>
      <c r="B32" s="25" t="str">
        <v>Ferran</v>
      </c>
      <c r="C32" s="25" t="str">
        <v>Por hacer</v>
      </c>
      <c r="D32" s="25" t="str">
        <v>Integrar HUD y menús</v>
      </c>
      <c r="E32" s="25" t="str">
        <v>P0</v>
      </c>
      <c r="F32" s="38" t="n">
        <v>3</v>
      </c>
      <c r="G32" s="38" t="n">
        <v>2</v>
      </c>
      <c r="H32" s="28" t="n">
        <v>6</v>
      </c>
      <c r="I32" s="25" t="str">
        <v>Pablo</v>
      </c>
      <c r="J32" s="30" t="n">
        <v>0.2</v>
      </c>
      <c r="K32" s="25" t="str">
        <v>IMP-01</v>
      </c>
      <c r="L32" s="25" t="str">
        <v>HUD de partida y resultado</v>
      </c>
      <c r="M32" s="25" t="str">
        <v>Indicadores consultan estado real.</v>
      </c>
      <c r="N32" s="25" t="str"/>
      <c r="O32" s="25" t="str"/>
      <c r="P32" s="34"/>
      <c r="Q32" s="34" t="str">
        <v>Plan inicial propuesto; 8 h/persona/semana por confirmar. Si comparte semana con su predecesora, acordar el día del traspaso.</v>
      </c>
      <c r="R32" s="46" t="str">
        <f>IF(OR(TblTareas[[#This Row],[ID]]="",NOT(ISNUMBER(Inicio!$B$6))),"",Inicio!$B$6+7*(TblTareas[[#This Row],[Semana]]-1))</f>
      </c>
      <c r="S32" s="46" t="str">
        <f>IF(TblTareas[[#This Row],[Inicio]]="","",TblTareas[[#This Row],[Inicio]]+7*TblTareas[[#This Row],[Duracion]]-1)</f>
      </c>
      <c r="T32"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32"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32" s="44" t="n">
        <f>IF(TblTareas[[#This Row],[ID]]="",0,IF(AND(TblTareas[[#This Row],[Estado]]&lt;&gt;"Descartada",OR(TblTareas[[#This Row],[Fase]]&lt;&gt;"P2",Inicio!$B$9=1)),1,0))</f>
        <v>1</v>
      </c>
      <c r="W32" s="48" t="n">
        <f>IF(OR(TblTareas[[#This Row],[Activa]]=0,TblTareas[[#This Row],[Cierre]]="Aceptada",TblTareas[[#This Row],[Control]]&lt;&gt;"OK"),0,TblTareas[[#This Row],[Horas]]*(1-TblTareas[[#This Row],[Apoyo %]]))</f>
        <v>4.800000000000001</v>
      </c>
      <c r="X32" s="48" t="n">
        <f>IF(OR(TblTareas[[#This Row],[Activa]]=0,TblTareas[[#This Row],[Cierre]]="Aceptada",TblTareas[[#This Row],[Control]]&lt;&gt;"OK"),0,TblTareas[[#This Row],[Horas]]*TblTareas[[#This Row],[Apoyo %]])</f>
        <v>1.2000000000000002</v>
      </c>
      <c r="Y32" s="48" t="n">
        <f>IF(AND(TblTareas[[#This Row],[Activa]]=1,TblTareas[[#This Row],[Cierre]]="Aceptada"),TblTareas[[#This Row],[Horas]],0)</f>
        <v>0</v>
      </c>
      <c r="Z32"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32" s="50" t="n">
        <f>IF(AND(TblTareas[[#This Row],[Activa]]=1,TblTareas[[#This Row],[Control]]="OK",TblTareas[[#This Row],[Semana]]&lt;=Inicio!$B$8,TblTareas[[#This Row],[Semana]]+TblTareas[[#This Row],[Duracion]]&gt;Inicio!$B$8),TblTareas[[#This Row],[Horas responsable]]/TblTareas[[#This Row],[Duracion]],0)</f>
        <v>0</v>
      </c>
      <c r="AB32" s="50" t="n">
        <f>IF(AND(TblTareas[[#This Row],[Activa]]=1,TblTareas[[#This Row],[Control]]="OK",TblTareas[[#This Row],[Semana]]&lt;=Inicio!$B$8,TblTareas[[#This Row],[Semana]]+TblTareas[[#This Row],[Duracion]]&gt;Inicio!$B$8),TblTareas[[#This Row],[Horas apoyo]]/TblTareas[[#This Row],[Duracion]],0)</f>
        <v>0</v>
      </c>
      <c r="AC32" s="50" t="n">
        <f>IF(TblTareas[[#This Row],[ID]]="",0,IF(TblTareas[[#This Row],[Control]]="OK",0,1))</f>
        <v>0</v>
      </c>
    </row>
    <row r="33" ht="54" customHeight="1">
      <c r="A33" s="13" t="str">
        <v>UI-03</v>
      </c>
      <c r="B33" s="25" t="str">
        <v>Ferran</v>
      </c>
      <c r="C33" s="25" t="str">
        <v>Por hacer</v>
      </c>
      <c r="D33" s="25" t="str">
        <v>Integrar marcas y aviso A/B</v>
      </c>
      <c r="E33" s="25" t="str">
        <v>P1</v>
      </c>
      <c r="F33" s="38" t="n">
        <v>5</v>
      </c>
      <c r="G33" s="38" t="n">
        <v>2</v>
      </c>
      <c r="H33" s="28" t="n">
        <v>6</v>
      </c>
      <c r="I33" s="25" t="str">
        <v>Pablo</v>
      </c>
      <c r="J33" s="30" t="n">
        <v>0.2</v>
      </c>
      <c r="K33" s="25" t="str">
        <v>DIS-08</v>
      </c>
      <c r="L33" s="25" t="str">
        <v>HUD de profundidad</v>
      </c>
      <c r="M33" s="25" t="str">
        <v>Letras y formas legibles sin color.</v>
      </c>
      <c r="N33" s="25" t="str"/>
      <c r="O33" s="25" t="str"/>
      <c r="P33" s="34"/>
      <c r="Q33" s="34" t="str">
        <v>Plan inicial propuesto; 8 h/persona/semana por confirmar. Si comparte semana con su predecesora, acordar el día del traspaso.</v>
      </c>
      <c r="R33" s="46" t="str">
        <f>IF(OR(TblTareas[[#This Row],[ID]]="",NOT(ISNUMBER(Inicio!$B$6))),"",Inicio!$B$6+7*(TblTareas[[#This Row],[Semana]]-1))</f>
      </c>
      <c r="S33" s="46" t="str">
        <f>IF(TblTareas[[#This Row],[Inicio]]="","",TblTareas[[#This Row],[Inicio]]+7*TblTareas[[#This Row],[Duracion]]-1)</f>
      </c>
      <c r="T33"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33"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33" s="44" t="n">
        <f>IF(TblTareas[[#This Row],[ID]]="",0,IF(AND(TblTareas[[#This Row],[Estado]]&lt;&gt;"Descartada",OR(TblTareas[[#This Row],[Fase]]&lt;&gt;"P2",Inicio!$B$9=1)),1,0))</f>
        <v>1</v>
      </c>
      <c r="W33" s="48" t="n">
        <f>IF(OR(TblTareas[[#This Row],[Activa]]=0,TblTareas[[#This Row],[Cierre]]="Aceptada",TblTareas[[#This Row],[Control]]&lt;&gt;"OK"),0,TblTareas[[#This Row],[Horas]]*(1-TblTareas[[#This Row],[Apoyo %]]))</f>
        <v>4.800000000000001</v>
      </c>
      <c r="X33" s="48" t="n">
        <f>IF(OR(TblTareas[[#This Row],[Activa]]=0,TblTareas[[#This Row],[Cierre]]="Aceptada",TblTareas[[#This Row],[Control]]&lt;&gt;"OK"),0,TblTareas[[#This Row],[Horas]]*TblTareas[[#This Row],[Apoyo %]])</f>
        <v>1.2000000000000002</v>
      </c>
      <c r="Y33" s="48" t="n">
        <f>IF(AND(TblTareas[[#This Row],[Activa]]=1,TblTareas[[#This Row],[Cierre]]="Aceptada"),TblTareas[[#This Row],[Horas]],0)</f>
        <v>0</v>
      </c>
      <c r="Z33"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33" s="50" t="n">
        <f>IF(AND(TblTareas[[#This Row],[Activa]]=1,TblTareas[[#This Row],[Control]]="OK",TblTareas[[#This Row],[Semana]]&lt;=Inicio!$B$8,TblTareas[[#This Row],[Semana]]+TblTareas[[#This Row],[Duracion]]&gt;Inicio!$B$8),TblTareas[[#This Row],[Horas responsable]]/TblTareas[[#This Row],[Duracion]],0)</f>
        <v>0</v>
      </c>
      <c r="AB33" s="50" t="n">
        <f>IF(AND(TblTareas[[#This Row],[Activa]]=1,TblTareas[[#This Row],[Control]]="OK",TblTareas[[#This Row],[Semana]]&lt;=Inicio!$B$8,TblTareas[[#This Row],[Semana]]+TblTareas[[#This Row],[Duracion]]&gt;Inicio!$B$8),TblTareas[[#This Row],[Horas apoyo]]/TblTareas[[#This Row],[Duracion]],0)</f>
        <v>0</v>
      </c>
      <c r="AC33" s="50" t="n">
        <f>IF(TblTareas[[#This Row],[ID]]="",0,IF(TblTareas[[#This Row],[Control]]="OK",0,1))</f>
        <v>0</v>
      </c>
    </row>
    <row r="34" ht="54" customHeight="1">
      <c r="A34" s="23" t="str">
        <v>PROF-01</v>
      </c>
      <c r="B34" s="25" t="str">
        <v>Iker</v>
      </c>
      <c r="C34" s="25" t="str">
        <v>Por hacer</v>
      </c>
      <c r="D34" s="25" t="str">
        <v>Integrar planos y filtros de impacto</v>
      </c>
      <c r="E34" s="25" t="str">
        <v>P1</v>
      </c>
      <c r="F34" s="38" t="n">
        <v>10</v>
      </c>
      <c r="G34" s="38" t="n">
        <v>1</v>
      </c>
      <c r="H34" s="28" t="n">
        <v>7</v>
      </c>
      <c r="I34" s="25" t="str">
        <v>Amin</v>
      </c>
      <c r="J34" s="30" t="n">
        <v>0.3</v>
      </c>
      <c r="K34" s="25" t="str">
        <v>IMP-05</v>
      </c>
      <c r="L34" s="25" t="str">
        <v>Combate en A y B</v>
      </c>
      <c r="M34" s="25" t="str">
        <v>Solapamientos entre planos no dañan.</v>
      </c>
      <c r="N34" s="25" t="str"/>
      <c r="O34" s="25" t="str"/>
      <c r="P34" s="34"/>
      <c r="Q34" s="34" t="str">
        <v>Plan inicial propuesto; 8 h/persona/semana por confirmar. Si comparte semana con su predecesora, acordar el día del traspaso.</v>
      </c>
      <c r="R34" s="46" t="str">
        <f>IF(OR(TblTareas[[#This Row],[ID]]="",NOT(ISNUMBER(Inicio!$B$6))),"",Inicio!$B$6+7*(TblTareas[[#This Row],[Semana]]-1))</f>
      </c>
      <c r="S34" s="46" t="str">
        <f>IF(TblTareas[[#This Row],[Inicio]]="","",TblTareas[[#This Row],[Inicio]]+7*TblTareas[[#This Row],[Duracion]]-1)</f>
      </c>
      <c r="T34"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34"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34" s="44" t="n">
        <f>IF(TblTareas[[#This Row],[ID]]="",0,IF(AND(TblTareas[[#This Row],[Estado]]&lt;&gt;"Descartada",OR(TblTareas[[#This Row],[Fase]]&lt;&gt;"P2",Inicio!$B$9=1)),1,0))</f>
        <v>1</v>
      </c>
      <c r="W34" s="48" t="n">
        <f>IF(OR(TblTareas[[#This Row],[Activa]]=0,TblTareas[[#This Row],[Cierre]]="Aceptada",TblTareas[[#This Row],[Control]]&lt;&gt;"OK"),0,TblTareas[[#This Row],[Horas]]*(1-TblTareas[[#This Row],[Apoyo %]]))</f>
        <v>4.8999999999999995</v>
      </c>
      <c r="X34" s="48" t="n">
        <f>IF(OR(TblTareas[[#This Row],[Activa]]=0,TblTareas[[#This Row],[Cierre]]="Aceptada",TblTareas[[#This Row],[Control]]&lt;&gt;"OK"),0,TblTareas[[#This Row],[Horas]]*TblTareas[[#This Row],[Apoyo %]])</f>
        <v>2.1</v>
      </c>
      <c r="Y34" s="48" t="n">
        <f>IF(AND(TblTareas[[#This Row],[Activa]]=1,TblTareas[[#This Row],[Cierre]]="Aceptada"),TblTareas[[#This Row],[Horas]],0)</f>
        <v>0</v>
      </c>
      <c r="Z34"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34" s="50" t="n">
        <f>IF(AND(TblTareas[[#This Row],[Activa]]=1,TblTareas[[#This Row],[Control]]="OK",TblTareas[[#This Row],[Semana]]&lt;=Inicio!$B$8,TblTareas[[#This Row],[Semana]]+TblTareas[[#This Row],[Duracion]]&gt;Inicio!$B$8),TblTareas[[#This Row],[Horas responsable]]/TblTareas[[#This Row],[Duracion]],0)</f>
        <v>0</v>
      </c>
      <c r="AB34" s="50" t="n">
        <f>IF(AND(TblTareas[[#This Row],[Activa]]=1,TblTareas[[#This Row],[Control]]="OK",TblTareas[[#This Row],[Semana]]&lt;=Inicio!$B$8,TblTareas[[#This Row],[Semana]]+TblTareas[[#This Row],[Duracion]]&gt;Inicio!$B$8),TblTareas[[#This Row],[Horas apoyo]]/TblTareas[[#This Row],[Duracion]],0)</f>
        <v>0</v>
      </c>
      <c r="AC34" s="50" t="n">
        <f>IF(TblTareas[[#This Row],[ID]]="",0,IF(TblTareas[[#This Row],[Control]]="OK",0,1))</f>
        <v>0</v>
      </c>
    </row>
    <row r="35" ht="54" customHeight="1">
      <c r="A35" s="13" t="str">
        <v>PROF-02</v>
      </c>
      <c r="B35" s="25" t="str">
        <v>Iker</v>
      </c>
      <c r="C35" s="25" t="str">
        <v>Por hacer</v>
      </c>
      <c r="D35" s="25" t="str">
        <v>Integrar transición y recarga</v>
      </c>
      <c r="E35" s="25" t="str">
        <v>P1</v>
      </c>
      <c r="F35" s="38" t="n">
        <v>11</v>
      </c>
      <c r="G35" s="38" t="n">
        <v>1</v>
      </c>
      <c r="H35" s="28" t="n">
        <v>6</v>
      </c>
      <c r="I35" s="25" t="str">
        <v>Amin</v>
      </c>
      <c r="J35" s="30" t="n">
        <v>0.3</v>
      </c>
      <c r="K35" s="25" t="str">
        <v>PROF-01</v>
      </c>
      <c r="L35" s="25" t="str">
        <v>Cambio de plano del jugador</v>
      </c>
      <c r="M35" s="25" t="str">
        <v>Timers independientes y pausa coherente.</v>
      </c>
      <c r="N35" s="25" t="str"/>
      <c r="O35" s="25" t="str"/>
      <c r="P35" s="34"/>
      <c r="Q35" s="34" t="str">
        <v>Plan inicial propuesto; 8 h/persona/semana por confirmar. Si comparte semana con su predecesora, acordar el día del traspaso.</v>
      </c>
      <c r="R35" s="46" t="str">
        <f>IF(OR(TblTareas[[#This Row],[ID]]="",NOT(ISNUMBER(Inicio!$B$6))),"",Inicio!$B$6+7*(TblTareas[[#This Row],[Semana]]-1))</f>
      </c>
      <c r="S35" s="46" t="str">
        <f>IF(TblTareas[[#This Row],[Inicio]]="","",TblTareas[[#This Row],[Inicio]]+7*TblTareas[[#This Row],[Duracion]]-1)</f>
      </c>
      <c r="T35"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35"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35" s="44" t="n">
        <f>IF(TblTareas[[#This Row],[ID]]="",0,IF(AND(TblTareas[[#This Row],[Estado]]&lt;&gt;"Descartada",OR(TblTareas[[#This Row],[Fase]]&lt;&gt;"P2",Inicio!$B$9=1)),1,0))</f>
        <v>1</v>
      </c>
      <c r="W35" s="48" t="n">
        <f>IF(OR(TblTareas[[#This Row],[Activa]]=0,TblTareas[[#This Row],[Cierre]]="Aceptada",TblTareas[[#This Row],[Control]]&lt;&gt;"OK"),0,TblTareas[[#This Row],[Horas]]*(1-TblTareas[[#This Row],[Apoyo %]]))</f>
        <v>4.199999999999999</v>
      </c>
      <c r="X35" s="48" t="n">
        <f>IF(OR(TblTareas[[#This Row],[Activa]]=0,TblTareas[[#This Row],[Cierre]]="Aceptada",TblTareas[[#This Row],[Control]]&lt;&gt;"OK"),0,TblTareas[[#This Row],[Horas]]*TblTareas[[#This Row],[Apoyo %]])</f>
        <v>1.7999999999999998</v>
      </c>
      <c r="Y35" s="48" t="n">
        <f>IF(AND(TblTareas[[#This Row],[Activa]]=1,TblTareas[[#This Row],[Cierre]]="Aceptada"),TblTareas[[#This Row],[Horas]],0)</f>
        <v>0</v>
      </c>
      <c r="Z35"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35" s="50" t="n">
        <f>IF(AND(TblTareas[[#This Row],[Activa]]=1,TblTareas[[#This Row],[Control]]="OK",TblTareas[[#This Row],[Semana]]&lt;=Inicio!$B$8,TblTareas[[#This Row],[Semana]]+TblTareas[[#This Row],[Duracion]]&gt;Inicio!$B$8),TblTareas[[#This Row],[Horas responsable]]/TblTareas[[#This Row],[Duracion]],0)</f>
        <v>0</v>
      </c>
      <c r="AB35" s="50" t="n">
        <f>IF(AND(TblTareas[[#This Row],[Activa]]=1,TblTareas[[#This Row],[Control]]="OK",TblTareas[[#This Row],[Semana]]&lt;=Inicio!$B$8,TblTareas[[#This Row],[Semana]]+TblTareas[[#This Row],[Duracion]]&gt;Inicio!$B$8),TblTareas[[#This Row],[Horas apoyo]]/TblTareas[[#This Row],[Duracion]],0)</f>
        <v>0</v>
      </c>
      <c r="AC35" s="50" t="n">
        <f>IF(TblTareas[[#This Row],[ID]]="",0,IF(TblTareas[[#This Row],[Control]]="OK",0,1))</f>
        <v>0</v>
      </c>
    </row>
    <row r="36" ht="54" customHeight="1">
      <c r="A36" s="23" t="str">
        <v>PROF-03</v>
      </c>
      <c r="B36" s="25" t="str">
        <v>Iker</v>
      </c>
      <c r="C36" s="25" t="str">
        <v>Por hacer</v>
      </c>
      <c r="D36" s="25" t="str">
        <v>Integrar profundidad del jefe</v>
      </c>
      <c r="E36" s="25" t="str">
        <v>P1</v>
      </c>
      <c r="F36" s="38" t="n">
        <v>11</v>
      </c>
      <c r="G36" s="38" t="n">
        <v>1</v>
      </c>
      <c r="H36" s="28" t="n">
        <v>4</v>
      </c>
      <c r="I36" s="25" t="str">
        <v>Amin</v>
      </c>
      <c r="J36" s="30" t="n">
        <v>0.3</v>
      </c>
      <c r="K36" s="25" t="str">
        <v>PROF-02</v>
      </c>
      <c r="L36" s="25" t="str">
        <v>Jefe alterna planos con aviso</v>
      </c>
      <c r="M36" s="25" t="str">
        <v>No dispara mientras cambia.</v>
      </c>
      <c r="N36" s="25" t="str"/>
      <c r="O36" s="25" t="str"/>
      <c r="P36" s="34"/>
      <c r="Q36" s="34" t="str">
        <v>Plan inicial propuesto; 8 h/persona/semana por confirmar. Si comparte semana con su predecesora, acordar el día del traspaso.</v>
      </c>
      <c r="R36" s="46" t="str">
        <f>IF(OR(TblTareas[[#This Row],[ID]]="",NOT(ISNUMBER(Inicio!$B$6))),"",Inicio!$B$6+7*(TblTareas[[#This Row],[Semana]]-1))</f>
      </c>
      <c r="S36" s="46" t="str">
        <f>IF(TblTareas[[#This Row],[Inicio]]="","",TblTareas[[#This Row],[Inicio]]+7*TblTareas[[#This Row],[Duracion]]-1)</f>
      </c>
      <c r="T36"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36"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36" s="44" t="n">
        <f>IF(TblTareas[[#This Row],[ID]]="",0,IF(AND(TblTareas[[#This Row],[Estado]]&lt;&gt;"Descartada",OR(TblTareas[[#This Row],[Fase]]&lt;&gt;"P2",Inicio!$B$9=1)),1,0))</f>
        <v>1</v>
      </c>
      <c r="W36" s="48" t="n">
        <f>IF(OR(TblTareas[[#This Row],[Activa]]=0,TblTareas[[#This Row],[Cierre]]="Aceptada",TblTareas[[#This Row],[Control]]&lt;&gt;"OK"),0,TblTareas[[#This Row],[Horas]]*(1-TblTareas[[#This Row],[Apoyo %]]))</f>
        <v>2.8</v>
      </c>
      <c r="X36" s="48" t="n">
        <f>IF(OR(TblTareas[[#This Row],[Activa]]=0,TblTareas[[#This Row],[Cierre]]="Aceptada",TblTareas[[#This Row],[Control]]&lt;&gt;"OK"),0,TblTareas[[#This Row],[Horas]]*TblTareas[[#This Row],[Apoyo %]])</f>
        <v>1.2</v>
      </c>
      <c r="Y36" s="48" t="n">
        <f>IF(AND(TblTareas[[#This Row],[Activa]]=1,TblTareas[[#This Row],[Cierre]]="Aceptada"),TblTareas[[#This Row],[Horas]],0)</f>
        <v>0</v>
      </c>
      <c r="Z36"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36" s="50" t="n">
        <f>IF(AND(TblTareas[[#This Row],[Activa]]=1,TblTareas[[#This Row],[Control]]="OK",TblTareas[[#This Row],[Semana]]&lt;=Inicio!$B$8,TblTareas[[#This Row],[Semana]]+TblTareas[[#This Row],[Duracion]]&gt;Inicio!$B$8),TblTareas[[#This Row],[Horas responsable]]/TblTareas[[#This Row],[Duracion]],0)</f>
        <v>0</v>
      </c>
      <c r="AB36" s="50" t="n">
        <f>IF(AND(TblTareas[[#This Row],[Activa]]=1,TblTareas[[#This Row],[Control]]="OK",TblTareas[[#This Row],[Semana]]&lt;=Inicio!$B$8,TblTareas[[#This Row],[Semana]]+TblTareas[[#This Row],[Duracion]]&gt;Inicio!$B$8),TblTareas[[#This Row],[Horas apoyo]]/TblTareas[[#This Row],[Duracion]],0)</f>
        <v>0</v>
      </c>
      <c r="AC36" s="50" t="n">
        <f>IF(TblTareas[[#This Row],[ID]]="",0,IF(TblTareas[[#This Row],[Control]]="OK",0,1))</f>
        <v>0</v>
      </c>
    </row>
    <row r="37" ht="54" customHeight="1">
      <c r="A37" s="13" t="str">
        <v>QA-01</v>
      </c>
      <c r="B37" s="25" t="str">
        <v>Uri</v>
      </c>
      <c r="C37" s="25" t="str">
        <v>Por hacer</v>
      </c>
      <c r="D37" s="25" t="str">
        <v>Ejecutar pruebas funcionales</v>
      </c>
      <c r="E37" s="25" t="str">
        <v>P0</v>
      </c>
      <c r="F37" s="38" t="n">
        <v>3</v>
      </c>
      <c r="G37" s="38" t="n">
        <v>5</v>
      </c>
      <c r="H37" s="28" t="n">
        <v>10</v>
      </c>
      <c r="I37" s="25" t="str">
        <v>David</v>
      </c>
      <c r="J37" s="30" t="n">
        <v>0.2</v>
      </c>
      <c r="K37" s="25" t="str">
        <v>IMP-01</v>
      </c>
      <c r="L37" s="25" t="str">
        <v>Resultados y evidencias</v>
      </c>
      <c r="M37" s="25" t="str">
        <v>Cada prueba tiene build, resultado y captura o log.</v>
      </c>
      <c r="N37" s="25" t="str"/>
      <c r="O37" s="25" t="str"/>
      <c r="P37" s="34"/>
      <c r="Q37" s="34" t="str">
        <v>Plan inicial propuesto; 8 h/persona/semana por confirmar. Si comparte semana con su predecesora, acordar el día del traspaso.</v>
      </c>
      <c r="R37" s="46" t="str">
        <f>IF(OR(TblTareas[[#This Row],[ID]]="",NOT(ISNUMBER(Inicio!$B$6))),"",Inicio!$B$6+7*(TblTareas[[#This Row],[Semana]]-1))</f>
      </c>
      <c r="S37" s="46" t="str">
        <f>IF(TblTareas[[#This Row],[Inicio]]="","",TblTareas[[#This Row],[Inicio]]+7*TblTareas[[#This Row],[Duracion]]-1)</f>
      </c>
      <c r="T37"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37"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37" s="44" t="n">
        <f>IF(TblTareas[[#This Row],[ID]]="",0,IF(AND(TblTareas[[#This Row],[Estado]]&lt;&gt;"Descartada",OR(TblTareas[[#This Row],[Fase]]&lt;&gt;"P2",Inicio!$B$9=1)),1,0))</f>
        <v>1</v>
      </c>
      <c r="W37" s="48" t="n">
        <f>IF(OR(TblTareas[[#This Row],[Activa]]=0,TblTareas[[#This Row],[Cierre]]="Aceptada",TblTareas[[#This Row],[Control]]&lt;&gt;"OK"),0,TblTareas[[#This Row],[Horas]]*(1-TblTareas[[#This Row],[Apoyo %]]))</f>
        <v>8</v>
      </c>
      <c r="X37" s="48" t="n">
        <f>IF(OR(TblTareas[[#This Row],[Activa]]=0,TblTareas[[#This Row],[Cierre]]="Aceptada",TblTareas[[#This Row],[Control]]&lt;&gt;"OK"),0,TblTareas[[#This Row],[Horas]]*TblTareas[[#This Row],[Apoyo %]])</f>
        <v>2</v>
      </c>
      <c r="Y37" s="48" t="n">
        <f>IF(AND(TblTareas[[#This Row],[Activa]]=1,TblTareas[[#This Row],[Cierre]]="Aceptada"),TblTareas[[#This Row],[Horas]],0)</f>
        <v>0</v>
      </c>
      <c r="Z37"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37" s="50" t="n">
        <f>IF(AND(TblTareas[[#This Row],[Activa]]=1,TblTareas[[#This Row],[Control]]="OK",TblTareas[[#This Row],[Semana]]&lt;=Inicio!$B$8,TblTareas[[#This Row],[Semana]]+TblTareas[[#This Row],[Duracion]]&gt;Inicio!$B$8),TblTareas[[#This Row],[Horas responsable]]/TblTareas[[#This Row],[Duracion]],0)</f>
        <v>0</v>
      </c>
      <c r="AB37" s="50" t="n">
        <f>IF(AND(TblTareas[[#This Row],[Activa]]=1,TblTareas[[#This Row],[Control]]="OK",TblTareas[[#This Row],[Semana]]&lt;=Inicio!$B$8,TblTareas[[#This Row],[Semana]]+TblTareas[[#This Row],[Duracion]]&gt;Inicio!$B$8),TblTareas[[#This Row],[Horas apoyo]]/TblTareas[[#This Row],[Duracion]],0)</f>
        <v>0</v>
      </c>
      <c r="AC37" s="50" t="n">
        <f>IF(TblTareas[[#This Row],[ID]]="",0,IF(TblTareas[[#This Row],[Control]]="OK",0,1))</f>
        <v>0</v>
      </c>
    </row>
    <row r="38" ht="54" customHeight="1">
      <c r="A38" s="23" t="str">
        <v>QA-02</v>
      </c>
      <c r="B38" s="25" t="str">
        <v>Uri</v>
      </c>
      <c r="C38" s="25" t="str">
        <v>Por hacer</v>
      </c>
      <c r="D38" s="25" t="str">
        <v>Medir rendimiento y reinicios</v>
      </c>
      <c r="E38" s="25" t="str">
        <v>P0</v>
      </c>
      <c r="F38" s="38" t="n">
        <v>9</v>
      </c>
      <c r="G38" s="38" t="n">
        <v>2</v>
      </c>
      <c r="H38" s="28" t="n">
        <v>5</v>
      </c>
      <c r="I38" s="25" t="str">
        <v>David</v>
      </c>
      <c r="J38" s="30" t="n">
        <v>0.2</v>
      </c>
      <c r="K38" s="25" t="str">
        <v>IMP-05</v>
      </c>
      <c r="L38" s="25" t="str">
        <v>Perfil y registro de memoria</v>
      </c>
      <c r="M38" s="25" t="str">
        <v>Percentil 95 y cinco reinicios registrados.</v>
      </c>
      <c r="N38" s="25" t="str"/>
      <c r="O38" s="25" t="str"/>
      <c r="P38" s="34"/>
      <c r="Q38" s="34" t="str">
        <v>Plan inicial propuesto; 8 h/persona/semana por confirmar. Si comparte semana con su predecesora, acordar el día del traspaso.</v>
      </c>
      <c r="R38" s="46" t="str">
        <f>IF(OR(TblTareas[[#This Row],[ID]]="",NOT(ISNUMBER(Inicio!$B$6))),"",Inicio!$B$6+7*(TblTareas[[#This Row],[Semana]]-1))</f>
      </c>
      <c r="S38" s="46" t="str">
        <f>IF(TblTareas[[#This Row],[Inicio]]="","",TblTareas[[#This Row],[Inicio]]+7*TblTareas[[#This Row],[Duracion]]-1)</f>
      </c>
      <c r="T38"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38"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38" s="44" t="n">
        <f>IF(TblTareas[[#This Row],[ID]]="",0,IF(AND(TblTareas[[#This Row],[Estado]]&lt;&gt;"Descartada",OR(TblTareas[[#This Row],[Fase]]&lt;&gt;"P2",Inicio!$B$9=1)),1,0))</f>
        <v>1</v>
      </c>
      <c r="W38" s="48" t="n">
        <f>IF(OR(TblTareas[[#This Row],[Activa]]=0,TblTareas[[#This Row],[Cierre]]="Aceptada",TblTareas[[#This Row],[Control]]&lt;&gt;"OK"),0,TblTareas[[#This Row],[Horas]]*(1-TblTareas[[#This Row],[Apoyo %]]))</f>
        <v>4</v>
      </c>
      <c r="X38" s="48" t="n">
        <f>IF(OR(TblTareas[[#This Row],[Activa]]=0,TblTareas[[#This Row],[Cierre]]="Aceptada",TblTareas[[#This Row],[Control]]&lt;&gt;"OK"),0,TblTareas[[#This Row],[Horas]]*TblTareas[[#This Row],[Apoyo %]])</f>
        <v>1</v>
      </c>
      <c r="Y38" s="48" t="n">
        <f>IF(AND(TblTareas[[#This Row],[Activa]]=1,TblTareas[[#This Row],[Cierre]]="Aceptada"),TblTareas[[#This Row],[Horas]],0)</f>
        <v>0</v>
      </c>
      <c r="Z38"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38" s="50" t="n">
        <f>IF(AND(TblTareas[[#This Row],[Activa]]=1,TblTareas[[#This Row],[Control]]="OK",TblTareas[[#This Row],[Semana]]&lt;=Inicio!$B$8,TblTareas[[#This Row],[Semana]]+TblTareas[[#This Row],[Duracion]]&gt;Inicio!$B$8),TblTareas[[#This Row],[Horas responsable]]/TblTareas[[#This Row],[Duracion]],0)</f>
        <v>0</v>
      </c>
      <c r="AB38" s="50" t="n">
        <f>IF(AND(TblTareas[[#This Row],[Activa]]=1,TblTareas[[#This Row],[Control]]="OK",TblTareas[[#This Row],[Semana]]&lt;=Inicio!$B$8,TblTareas[[#This Row],[Semana]]+TblTareas[[#This Row],[Duracion]]&gt;Inicio!$B$8),TblTareas[[#This Row],[Horas apoyo]]/TblTareas[[#This Row],[Duracion]],0)</f>
        <v>0</v>
      </c>
      <c r="AC38" s="50" t="n">
        <f>IF(TblTareas[[#This Row],[ID]]="",0,IF(TblTareas[[#This Row],[Control]]="OK",0,1))</f>
        <v>0</v>
      </c>
    </row>
    <row r="39" ht="54" customHeight="1">
      <c r="A39" s="13" t="str">
        <v>QA-03</v>
      </c>
      <c r="B39" s="25" t="str">
        <v>Uri</v>
      </c>
      <c r="C39" s="25" t="str">
        <v>Por hacer</v>
      </c>
      <c r="D39" s="25" t="str">
        <v>Validar percepción de profundidad</v>
      </c>
      <c r="E39" s="25" t="str">
        <v>P0</v>
      </c>
      <c r="F39" s="38" t="n">
        <v>6</v>
      </c>
      <c r="G39" s="38" t="n">
        <v>1</v>
      </c>
      <c r="H39" s="28" t="n">
        <v>4</v>
      </c>
      <c r="I39" s="25" t="str">
        <v>David</v>
      </c>
      <c r="J39" s="30" t="n">
        <v>0.2</v>
      </c>
      <c r="K39" s="25" t="str">
        <v>UI-03</v>
      </c>
      <c r="L39" s="25" t="str">
        <v>Pruebas con tres observadores</v>
      </c>
      <c r="M39" s="25" t="str">
        <v>Cada observador acierta al menos 4 de 5 escenas.</v>
      </c>
      <c r="N39" s="25" t="str"/>
      <c r="O39" s="25" t="str"/>
      <c r="P39" s="34"/>
      <c r="Q39" s="34" t="str">
        <v>Plan inicial propuesto; 8 h/persona/semana por confirmar. Si comparte semana con su predecesora, acordar el día del traspaso.</v>
      </c>
      <c r="R39" s="46" t="str">
        <f>IF(OR(TblTareas[[#This Row],[ID]]="",NOT(ISNUMBER(Inicio!$B$6))),"",Inicio!$B$6+7*(TblTareas[[#This Row],[Semana]]-1))</f>
      </c>
      <c r="S39" s="46" t="str">
        <f>IF(TblTareas[[#This Row],[Inicio]]="","",TblTareas[[#This Row],[Inicio]]+7*TblTareas[[#This Row],[Duracion]]-1)</f>
      </c>
      <c r="T39"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39"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39" s="44" t="n">
        <f>IF(TblTareas[[#This Row],[ID]]="",0,IF(AND(TblTareas[[#This Row],[Estado]]&lt;&gt;"Descartada",OR(TblTareas[[#This Row],[Fase]]&lt;&gt;"P2",Inicio!$B$9=1)),1,0))</f>
        <v>1</v>
      </c>
      <c r="W39" s="48" t="n">
        <f>IF(OR(TblTareas[[#This Row],[Activa]]=0,TblTareas[[#This Row],[Cierre]]="Aceptada",TblTareas[[#This Row],[Control]]&lt;&gt;"OK"),0,TblTareas[[#This Row],[Horas]]*(1-TblTareas[[#This Row],[Apoyo %]]))</f>
        <v>3.2</v>
      </c>
      <c r="X39" s="48" t="n">
        <f>IF(OR(TblTareas[[#This Row],[Activa]]=0,TblTareas[[#This Row],[Cierre]]="Aceptada",TblTareas[[#This Row],[Control]]&lt;&gt;"OK"),0,TblTareas[[#This Row],[Horas]]*TblTareas[[#This Row],[Apoyo %]])</f>
        <v>0.8</v>
      </c>
      <c r="Y39" s="48" t="n">
        <f>IF(AND(TblTareas[[#This Row],[Activa]]=1,TblTareas[[#This Row],[Cierre]]="Aceptada"),TblTareas[[#This Row],[Horas]],0)</f>
        <v>0</v>
      </c>
      <c r="Z39"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39" s="50" t="n">
        <f>IF(AND(TblTareas[[#This Row],[Activa]]=1,TblTareas[[#This Row],[Control]]="OK",TblTareas[[#This Row],[Semana]]&lt;=Inicio!$B$8,TblTareas[[#This Row],[Semana]]+TblTareas[[#This Row],[Duracion]]&gt;Inicio!$B$8),TblTareas[[#This Row],[Horas responsable]]/TblTareas[[#This Row],[Duracion]],0)</f>
        <v>0</v>
      </c>
      <c r="AB39" s="50" t="n">
        <f>IF(AND(TblTareas[[#This Row],[Activa]]=1,TblTareas[[#This Row],[Control]]="OK",TblTareas[[#This Row],[Semana]]&lt;=Inicio!$B$8,TblTareas[[#This Row],[Semana]]+TblTareas[[#This Row],[Duracion]]&gt;Inicio!$B$8),TblTareas[[#This Row],[Horas apoyo]]/TblTareas[[#This Row],[Duracion]],0)</f>
        <v>0</v>
      </c>
      <c r="AC39" s="50" t="n">
        <f>IF(TblTareas[[#This Row],[ID]]="",0,IF(TblTareas[[#This Row],[Control]]="OK",0,1))</f>
        <v>0</v>
      </c>
    </row>
    <row r="40" ht="54" customHeight="1">
      <c r="A40" s="23" t="str">
        <v>QA-04</v>
      </c>
      <c r="B40" s="25" t="str">
        <v>Uri</v>
      </c>
      <c r="C40" s="25" t="str">
        <v>Por hacer</v>
      </c>
      <c r="D40" s="25" t="str">
        <v>Medir duración y balance</v>
      </c>
      <c r="E40" s="25" t="str">
        <v>P0</v>
      </c>
      <c r="F40" s="38" t="n">
        <v>11</v>
      </c>
      <c r="G40" s="38" t="n">
        <v>1</v>
      </c>
      <c r="H40" s="28" t="n">
        <v>5</v>
      </c>
      <c r="I40" s="25" t="str">
        <v>David</v>
      </c>
      <c r="J40" s="30" t="n">
        <v>0.2</v>
      </c>
      <c r="K40" s="25" t="str">
        <v>PROF-03</v>
      </c>
      <c r="L40" s="25" t="str">
        <v>Nueve partidas instrumentadas</v>
      </c>
      <c r="M40" s="25" t="str">
        <v>Medianas y ajustes razonados.</v>
      </c>
      <c r="N40" s="25" t="str"/>
      <c r="O40" s="25" t="str"/>
      <c r="P40" s="34"/>
      <c r="Q40" s="34" t="str">
        <v>Plan inicial propuesto; 8 h/persona/semana por confirmar. Si comparte semana con su predecesora, acordar el día del traspaso.</v>
      </c>
      <c r="R40" s="46" t="str">
        <f>IF(OR(TblTareas[[#This Row],[ID]]="",NOT(ISNUMBER(Inicio!$B$6))),"",Inicio!$B$6+7*(TblTareas[[#This Row],[Semana]]-1))</f>
      </c>
      <c r="S40" s="46" t="str">
        <f>IF(TblTareas[[#This Row],[Inicio]]="","",TblTareas[[#This Row],[Inicio]]+7*TblTareas[[#This Row],[Duracion]]-1)</f>
      </c>
      <c r="T40"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40"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40" s="44" t="n">
        <f>IF(TblTareas[[#This Row],[ID]]="",0,IF(AND(TblTareas[[#This Row],[Estado]]&lt;&gt;"Descartada",OR(TblTareas[[#This Row],[Fase]]&lt;&gt;"P2",Inicio!$B$9=1)),1,0))</f>
        <v>1</v>
      </c>
      <c r="W40" s="48" t="n">
        <f>IF(OR(TblTareas[[#This Row],[Activa]]=0,TblTareas[[#This Row],[Cierre]]="Aceptada",TblTareas[[#This Row],[Control]]&lt;&gt;"OK"),0,TblTareas[[#This Row],[Horas]]*(1-TblTareas[[#This Row],[Apoyo %]]))</f>
        <v>4</v>
      </c>
      <c r="X40" s="48" t="n">
        <f>IF(OR(TblTareas[[#This Row],[Activa]]=0,TblTareas[[#This Row],[Cierre]]="Aceptada",TblTareas[[#This Row],[Control]]&lt;&gt;"OK"),0,TblTareas[[#This Row],[Horas]]*TblTareas[[#This Row],[Apoyo %]])</f>
        <v>1</v>
      </c>
      <c r="Y40" s="48" t="n">
        <f>IF(AND(TblTareas[[#This Row],[Activa]]=1,TblTareas[[#This Row],[Cierre]]="Aceptada"),TblTareas[[#This Row],[Horas]],0)</f>
        <v>0</v>
      </c>
      <c r="Z40"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40" s="50" t="n">
        <f>IF(AND(TblTareas[[#This Row],[Activa]]=1,TblTareas[[#This Row],[Control]]="OK",TblTareas[[#This Row],[Semana]]&lt;=Inicio!$B$8,TblTareas[[#This Row],[Semana]]+TblTareas[[#This Row],[Duracion]]&gt;Inicio!$B$8),TblTareas[[#This Row],[Horas responsable]]/TblTareas[[#This Row],[Duracion]],0)</f>
        <v>0</v>
      </c>
      <c r="AB40" s="50" t="n">
        <f>IF(AND(TblTareas[[#This Row],[Activa]]=1,TblTareas[[#This Row],[Control]]="OK",TblTareas[[#This Row],[Semana]]&lt;=Inicio!$B$8,TblTareas[[#This Row],[Semana]]+TblTareas[[#This Row],[Duracion]]&gt;Inicio!$B$8),TblTareas[[#This Row],[Horas apoyo]]/TblTareas[[#This Row],[Duracion]],0)</f>
        <v>0</v>
      </c>
      <c r="AC40" s="50" t="n">
        <f>IF(TblTareas[[#This Row],[ID]]="",0,IF(TblTareas[[#This Row],[Control]]="OK",0,1))</f>
        <v>0</v>
      </c>
    </row>
    <row r="41" ht="54" customHeight="1">
      <c r="A41" s="13" t="str">
        <v>FIX-01</v>
      </c>
      <c r="B41" s="25" t="str">
        <v>Iker</v>
      </c>
      <c r="C41" s="25" t="str">
        <v>Por hacer</v>
      </c>
      <c r="D41" s="25" t="str">
        <v>Resolver defectos y regresiones</v>
      </c>
      <c r="E41" s="25" t="str">
        <v>P0</v>
      </c>
      <c r="F41" s="38" t="n">
        <v>12</v>
      </c>
      <c r="G41" s="38" t="n">
        <v>1</v>
      </c>
      <c r="H41" s="28" t="n">
        <v>8</v>
      </c>
      <c r="I41" s="25" t="str">
        <v>Amin</v>
      </c>
      <c r="J41" s="30" t="n">
        <v>0.3</v>
      </c>
      <c r="K41" s="25" t="str">
        <v>QA-02</v>
      </c>
      <c r="L41" s="25" t="str">
        <v>Build estable</v>
      </c>
      <c r="M41" s="25" t="str">
        <v>Errores críticos cerrados y pruebas afectadas repetidas.</v>
      </c>
      <c r="N41" s="25" t="str"/>
      <c r="O41" s="25" t="str"/>
      <c r="P41" s="34"/>
      <c r="Q41" s="34" t="str">
        <v>Plan inicial propuesto; 8 h/persona/semana por confirmar. Si comparte semana con su predecesora, acordar el día del traspaso.</v>
      </c>
      <c r="R41" s="46" t="str">
        <f>IF(OR(TblTareas[[#This Row],[ID]]="",NOT(ISNUMBER(Inicio!$B$6))),"",Inicio!$B$6+7*(TblTareas[[#This Row],[Semana]]-1))</f>
      </c>
      <c r="S41" s="46" t="str">
        <f>IF(TblTareas[[#This Row],[Inicio]]="","",TblTareas[[#This Row],[Inicio]]+7*TblTareas[[#This Row],[Duracion]]-1)</f>
      </c>
      <c r="T41"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41"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41" s="44" t="n">
        <f>IF(TblTareas[[#This Row],[ID]]="",0,IF(AND(TblTareas[[#This Row],[Estado]]&lt;&gt;"Descartada",OR(TblTareas[[#This Row],[Fase]]&lt;&gt;"P2",Inicio!$B$9=1)),1,0))</f>
        <v>1</v>
      </c>
      <c r="W41" s="48" t="n">
        <f>IF(OR(TblTareas[[#This Row],[Activa]]=0,TblTareas[[#This Row],[Cierre]]="Aceptada",TblTareas[[#This Row],[Control]]&lt;&gt;"OK"),0,TblTareas[[#This Row],[Horas]]*(1-TblTareas[[#This Row],[Apoyo %]]))</f>
        <v>5.6</v>
      </c>
      <c r="X41" s="48" t="n">
        <f>IF(OR(TblTareas[[#This Row],[Activa]]=0,TblTareas[[#This Row],[Cierre]]="Aceptada",TblTareas[[#This Row],[Control]]&lt;&gt;"OK"),0,TblTareas[[#This Row],[Horas]]*TblTareas[[#This Row],[Apoyo %]])</f>
        <v>2.4</v>
      </c>
      <c r="Y41" s="48" t="n">
        <f>IF(AND(TblTareas[[#This Row],[Activa]]=1,TblTareas[[#This Row],[Cierre]]="Aceptada"),TblTareas[[#This Row],[Horas]],0)</f>
        <v>0</v>
      </c>
      <c r="Z41"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41" s="50" t="n">
        <f>IF(AND(TblTareas[[#This Row],[Activa]]=1,TblTareas[[#This Row],[Control]]="OK",TblTareas[[#This Row],[Semana]]&lt;=Inicio!$B$8,TblTareas[[#This Row],[Semana]]+TblTareas[[#This Row],[Duracion]]&gt;Inicio!$B$8),TblTareas[[#This Row],[Horas responsable]]/TblTareas[[#This Row],[Duracion]],0)</f>
        <v>0</v>
      </c>
      <c r="AB41" s="50" t="n">
        <f>IF(AND(TblTareas[[#This Row],[Activa]]=1,TblTareas[[#This Row],[Control]]="OK",TblTareas[[#This Row],[Semana]]&lt;=Inicio!$B$8,TblTareas[[#This Row],[Semana]]+TblTareas[[#This Row],[Duracion]]&gt;Inicio!$B$8),TblTareas[[#This Row],[Horas apoyo]]/TblTareas[[#This Row],[Duracion]],0)</f>
        <v>0</v>
      </c>
      <c r="AC41" s="50" t="n">
        <f>IF(TblTareas[[#This Row],[ID]]="",0,IF(TblTareas[[#This Row],[Control]]="OK",0,1))</f>
        <v>0</v>
      </c>
    </row>
    <row r="42" ht="54" customHeight="1">
      <c r="A42" s="23" t="str">
        <v>DOC-01</v>
      </c>
      <c r="B42" s="25" t="str">
        <v>David</v>
      </c>
      <c r="C42" s="25" t="str">
        <v>Por hacer</v>
      </c>
      <c r="D42" s="25" t="str">
        <v>Organizar portafolio y fuentes</v>
      </c>
      <c r="E42" s="25" t="str">
        <v>P0</v>
      </c>
      <c r="F42" s="38" t="n">
        <v>1</v>
      </c>
      <c r="G42" s="38" t="n">
        <v>2</v>
      </c>
      <c r="H42" s="28" t="n">
        <v>3</v>
      </c>
      <c r="I42" s="25" t="str">
        <v>Uri</v>
      </c>
      <c r="J42" s="30" t="n">
        <v>0.2</v>
      </c>
      <c r="K42" s="25" t="str"/>
      <c r="L42" s="25" t="str">
        <v>Estructura de documentación</v>
      </c>
      <c r="M42" s="25" t="str">
        <v>Fuentes con atribución y decisiones por id.</v>
      </c>
      <c r="N42" s="25" t="str"/>
      <c r="O42" s="25" t="str"/>
      <c r="P42" s="34"/>
      <c r="Q42" s="34" t="str">
        <v>Plan inicial propuesto; 8 h/persona/semana por confirmar. Si comparte semana con su predecesora, acordar el día del traspaso.</v>
      </c>
      <c r="R42" s="46" t="str">
        <f>IF(OR(TblTareas[[#This Row],[ID]]="",NOT(ISNUMBER(Inicio!$B$6))),"",Inicio!$B$6+7*(TblTareas[[#This Row],[Semana]]-1))</f>
      </c>
      <c r="S42" s="46" t="str">
        <f>IF(TblTareas[[#This Row],[Inicio]]="","",TblTareas[[#This Row],[Inicio]]+7*TblTareas[[#This Row],[Duracion]]-1)</f>
      </c>
      <c r="T42"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Lista para iniciar</v>
      </c>
      <c r="U42"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42" s="44" t="n">
        <f>IF(TblTareas[[#This Row],[ID]]="",0,IF(AND(TblTareas[[#This Row],[Estado]]&lt;&gt;"Descartada",OR(TblTareas[[#This Row],[Fase]]&lt;&gt;"P2",Inicio!$B$9=1)),1,0))</f>
        <v>1</v>
      </c>
      <c r="W42" s="48" t="n">
        <f>IF(OR(TblTareas[[#This Row],[Activa]]=0,TblTareas[[#This Row],[Cierre]]="Aceptada",TblTareas[[#This Row],[Control]]&lt;&gt;"OK"),0,TblTareas[[#This Row],[Horas]]*(1-TblTareas[[#This Row],[Apoyo %]]))</f>
        <v>2.4000000000000004</v>
      </c>
      <c r="X42" s="48" t="n">
        <f>IF(OR(TblTareas[[#This Row],[Activa]]=0,TblTareas[[#This Row],[Cierre]]="Aceptada",TblTareas[[#This Row],[Control]]&lt;&gt;"OK"),0,TblTareas[[#This Row],[Horas]]*TblTareas[[#This Row],[Apoyo %]])</f>
        <v>0.6000000000000001</v>
      </c>
      <c r="Y42" s="48" t="n">
        <f>IF(AND(TblTareas[[#This Row],[Activa]]=1,TblTareas[[#This Row],[Cierre]]="Aceptada"),TblTareas[[#This Row],[Horas]],0)</f>
        <v>0</v>
      </c>
      <c r="Z42"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42" s="50" t="n">
        <f>IF(AND(TblTareas[[#This Row],[Activa]]=1,TblTareas[[#This Row],[Control]]="OK",TblTareas[[#This Row],[Semana]]&lt;=Inicio!$B$8,TblTareas[[#This Row],[Semana]]+TblTareas[[#This Row],[Duracion]]&gt;Inicio!$B$8),TblTareas[[#This Row],[Horas responsable]]/TblTareas[[#This Row],[Duracion]],0)</f>
        <v>1.2000000000000002</v>
      </c>
      <c r="AB42" s="50" t="n">
        <f>IF(AND(TblTareas[[#This Row],[Activa]]=1,TblTareas[[#This Row],[Control]]="OK",TblTareas[[#This Row],[Semana]]&lt;=Inicio!$B$8,TblTareas[[#This Row],[Semana]]+TblTareas[[#This Row],[Duracion]]&gt;Inicio!$B$8),TblTareas[[#This Row],[Horas apoyo]]/TblTareas[[#This Row],[Duracion]],0)</f>
        <v>0.30000000000000004</v>
      </c>
      <c r="AC42" s="50" t="n">
        <f>IF(TblTareas[[#This Row],[ID]]="",0,IF(TblTareas[[#This Row],[Control]]="OK",0,1))</f>
        <v>0</v>
      </c>
    </row>
    <row r="43" ht="54" customHeight="1">
      <c r="A43" s="13" t="str">
        <v>DOC-02</v>
      </c>
      <c r="B43" s="25" t="str">
        <v>David</v>
      </c>
      <c r="C43" s="25" t="str">
        <v>Por hacer</v>
      </c>
      <c r="D43" s="25" t="str">
        <v>Redactar memoria y evidencias</v>
      </c>
      <c r="E43" s="25" t="str">
        <v>P0</v>
      </c>
      <c r="F43" s="38" t="n">
        <v>9</v>
      </c>
      <c r="G43" s="38" t="n">
        <v>2</v>
      </c>
      <c r="H43" s="28" t="n">
        <v>8</v>
      </c>
      <c r="I43" s="25" t="str">
        <v>Uri</v>
      </c>
      <c r="J43" s="30" t="n">
        <v>0.2</v>
      </c>
      <c r="K43" s="25" t="str">
        <v>IMP-05</v>
      </c>
      <c r="L43" s="25" t="str">
        <v>Memoria técnica</v>
      </c>
      <c r="M43" s="25" t="str">
        <v>Describe lo realmente implementado y medido.</v>
      </c>
      <c r="N43" s="25" t="str"/>
      <c r="O43" s="25" t="str"/>
      <c r="P43" s="34"/>
      <c r="Q43" s="34" t="str">
        <v>Plan inicial propuesto; 8 h/persona/semana por confirmar. Si comparte semana con su predecesora, acordar el día del traspaso.</v>
      </c>
      <c r="R43" s="46" t="str">
        <f>IF(OR(TblTareas[[#This Row],[ID]]="",NOT(ISNUMBER(Inicio!$B$6))),"",Inicio!$B$6+7*(TblTareas[[#This Row],[Semana]]-1))</f>
      </c>
      <c r="S43" s="46" t="str">
        <f>IF(TblTareas[[#This Row],[Inicio]]="","",TblTareas[[#This Row],[Inicio]]+7*TblTareas[[#This Row],[Duracion]]-1)</f>
      </c>
      <c r="T43"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43"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43" s="44" t="n">
        <f>IF(TblTareas[[#This Row],[ID]]="",0,IF(AND(TblTareas[[#This Row],[Estado]]&lt;&gt;"Descartada",OR(TblTareas[[#This Row],[Fase]]&lt;&gt;"P2",Inicio!$B$9=1)),1,0))</f>
        <v>1</v>
      </c>
      <c r="W43" s="48" t="n">
        <f>IF(OR(TblTareas[[#This Row],[Activa]]=0,TblTareas[[#This Row],[Cierre]]="Aceptada",TblTareas[[#This Row],[Control]]&lt;&gt;"OK"),0,TblTareas[[#This Row],[Horas]]*(1-TblTareas[[#This Row],[Apoyo %]]))</f>
        <v>6.4</v>
      </c>
      <c r="X43" s="48" t="n">
        <f>IF(OR(TblTareas[[#This Row],[Activa]]=0,TblTareas[[#This Row],[Cierre]]="Aceptada",TblTareas[[#This Row],[Control]]&lt;&gt;"OK"),0,TblTareas[[#This Row],[Horas]]*TblTareas[[#This Row],[Apoyo %]])</f>
        <v>1.6</v>
      </c>
      <c r="Y43" s="48" t="n">
        <f>IF(AND(TblTareas[[#This Row],[Activa]]=1,TblTareas[[#This Row],[Cierre]]="Aceptada"),TblTareas[[#This Row],[Horas]],0)</f>
        <v>0</v>
      </c>
      <c r="Z43"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43" s="50" t="n">
        <f>IF(AND(TblTareas[[#This Row],[Activa]]=1,TblTareas[[#This Row],[Control]]="OK",TblTareas[[#This Row],[Semana]]&lt;=Inicio!$B$8,TblTareas[[#This Row],[Semana]]+TblTareas[[#This Row],[Duracion]]&gt;Inicio!$B$8),TblTareas[[#This Row],[Horas responsable]]/TblTareas[[#This Row],[Duracion]],0)</f>
        <v>0</v>
      </c>
      <c r="AB43" s="50" t="n">
        <f>IF(AND(TblTareas[[#This Row],[Activa]]=1,TblTareas[[#This Row],[Control]]="OK",TblTareas[[#This Row],[Semana]]&lt;=Inicio!$B$8,TblTareas[[#This Row],[Semana]]+TblTareas[[#This Row],[Duracion]]&gt;Inicio!$B$8),TblTareas[[#This Row],[Horas apoyo]]/TblTareas[[#This Row],[Duracion]],0)</f>
        <v>0</v>
      </c>
      <c r="AC43" s="50" t="n">
        <f>IF(TblTareas[[#This Row],[ID]]="",0,IF(TblTareas[[#This Row],[Control]]="OK",0,1))</f>
        <v>0</v>
      </c>
    </row>
    <row r="44" ht="54" customHeight="1">
      <c r="A44" s="23" t="str">
        <v>DOC-03</v>
      </c>
      <c r="B44" s="25" t="str">
        <v>David</v>
      </c>
      <c r="C44" s="25" t="str">
        <v>Por hacer</v>
      </c>
      <c r="D44" s="25" t="str">
        <v>Preparar demostración y ensayo</v>
      </c>
      <c r="E44" s="25" t="str">
        <v>P0</v>
      </c>
      <c r="F44" s="38" t="n">
        <v>12</v>
      </c>
      <c r="G44" s="38" t="n">
        <v>1</v>
      </c>
      <c r="H44" s="28" t="n">
        <v>4</v>
      </c>
      <c r="I44" s="25" t="str">
        <v>Uri</v>
      </c>
      <c r="J44" s="30" t="n">
        <v>0.2</v>
      </c>
      <c r="K44" s="25" t="str">
        <v>FIX-01</v>
      </c>
      <c r="L44" s="25" t="str">
        <v>Guion y vídeo de la aplicación</v>
      </c>
      <c r="M44" s="25" t="str">
        <v>Demostración reproducible y roles acordados.</v>
      </c>
      <c r="N44" s="25" t="str"/>
      <c r="O44" s="25" t="str"/>
      <c r="P44" s="34"/>
      <c r="Q44" s="34" t="str">
        <v>Plan inicial propuesto; 8 h/persona/semana por confirmar. Si comparte semana con su predecesora, acordar el día del traspaso.</v>
      </c>
      <c r="R44" s="46" t="str">
        <f>IF(OR(TblTareas[[#This Row],[ID]]="",NOT(ISNUMBER(Inicio!$B$6))),"",Inicio!$B$6+7*(TblTareas[[#This Row],[Semana]]-1))</f>
      </c>
      <c r="S44" s="46" t="str">
        <f>IF(TblTareas[[#This Row],[Inicio]]="","",TblTareas[[#This Row],[Inicio]]+7*TblTareas[[#This Row],[Duracion]]-1)</f>
      </c>
      <c r="T44"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44"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44" s="44" t="n">
        <f>IF(TblTareas[[#This Row],[ID]]="",0,IF(AND(TblTareas[[#This Row],[Estado]]&lt;&gt;"Descartada",OR(TblTareas[[#This Row],[Fase]]&lt;&gt;"P2",Inicio!$B$9=1)),1,0))</f>
        <v>1</v>
      </c>
      <c r="W44" s="48" t="n">
        <f>IF(OR(TblTareas[[#This Row],[Activa]]=0,TblTareas[[#This Row],[Cierre]]="Aceptada",TblTareas[[#This Row],[Control]]&lt;&gt;"OK"),0,TblTareas[[#This Row],[Horas]]*(1-TblTareas[[#This Row],[Apoyo %]]))</f>
        <v>3.2</v>
      </c>
      <c r="X44" s="48" t="n">
        <f>IF(OR(TblTareas[[#This Row],[Activa]]=0,TblTareas[[#This Row],[Cierre]]="Aceptada",TblTareas[[#This Row],[Control]]&lt;&gt;"OK"),0,TblTareas[[#This Row],[Horas]]*TblTareas[[#This Row],[Apoyo %]])</f>
        <v>0.8</v>
      </c>
      <c r="Y44" s="48" t="n">
        <f>IF(AND(TblTareas[[#This Row],[Activa]]=1,TblTareas[[#This Row],[Cierre]]="Aceptada"),TblTareas[[#This Row],[Horas]],0)</f>
        <v>0</v>
      </c>
      <c r="Z44"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44" s="50" t="n">
        <f>IF(AND(TblTareas[[#This Row],[Activa]]=1,TblTareas[[#This Row],[Control]]="OK",TblTareas[[#This Row],[Semana]]&lt;=Inicio!$B$8,TblTareas[[#This Row],[Semana]]+TblTareas[[#This Row],[Duracion]]&gt;Inicio!$B$8),TblTareas[[#This Row],[Horas responsable]]/TblTareas[[#This Row],[Duracion]],0)</f>
        <v>0</v>
      </c>
      <c r="AB44" s="50" t="n">
        <f>IF(AND(TblTareas[[#This Row],[Activa]]=1,TblTareas[[#This Row],[Control]]="OK",TblTareas[[#This Row],[Semana]]&lt;=Inicio!$B$8,TblTareas[[#This Row],[Semana]]+TblTareas[[#This Row],[Duracion]]&gt;Inicio!$B$8),TblTareas[[#This Row],[Horas apoyo]]/TblTareas[[#This Row],[Duracion]],0)</f>
        <v>0</v>
      </c>
      <c r="AC44" s="50" t="n">
        <f>IF(TblTareas[[#This Row],[ID]]="",0,IF(TblTareas[[#This Row],[Control]]="OK",0,1))</f>
        <v>0</v>
      </c>
    </row>
    <row r="45" ht="54" customHeight="1">
      <c r="A45" s="13" t="str">
        <v>REL-01</v>
      </c>
      <c r="B45" s="25" t="str">
        <v>Iker</v>
      </c>
      <c r="C45" s="25" t="str">
        <v>Por hacer</v>
      </c>
      <c r="D45" s="25" t="str">
        <v>Empaquetar versión de entrega</v>
      </c>
      <c r="E45" s="25" t="str">
        <v>P0</v>
      </c>
      <c r="F45" s="38" t="n">
        <v>13</v>
      </c>
      <c r="G45" s="38" t="n">
        <v>1</v>
      </c>
      <c r="H45" s="28" t="n">
        <v>4</v>
      </c>
      <c r="I45" s="25" t="str">
        <v>Ferran</v>
      </c>
      <c r="J45" s="30" t="n">
        <v>0.3</v>
      </c>
      <c r="K45" s="25" t="str">
        <v>FIX-01</v>
      </c>
      <c r="L45" s="25" t="str">
        <v>Build y recursos necesarios</v>
      </c>
      <c r="M45" s="25" t="str">
        <v>Se ejecuta desde copia limpia con instrucciones.</v>
      </c>
      <c r="N45" s="25" t="str"/>
      <c r="O45" s="25" t="str"/>
      <c r="P45" s="34"/>
      <c r="Q45" s="34" t="str">
        <v>Plan inicial propuesto; 8 h/persona/semana por confirmar. Si comparte semana con su predecesora, acordar el día del traspaso.</v>
      </c>
      <c r="R45" s="46" t="str">
        <f>IF(OR(TblTareas[[#This Row],[ID]]="",NOT(ISNUMBER(Inicio!$B$6))),"",Inicio!$B$6+7*(TblTareas[[#This Row],[Semana]]-1))</f>
      </c>
      <c r="S45" s="46" t="str">
        <f>IF(TblTareas[[#This Row],[Inicio]]="","",TblTareas[[#This Row],[Inicio]]+7*TblTareas[[#This Row],[Duracion]]-1)</f>
      </c>
      <c r="T45"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Espera predecesora</v>
      </c>
      <c r="U45"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45" s="44" t="n">
        <f>IF(TblTareas[[#This Row],[ID]]="",0,IF(AND(TblTareas[[#This Row],[Estado]]&lt;&gt;"Descartada",OR(TblTareas[[#This Row],[Fase]]&lt;&gt;"P2",Inicio!$B$9=1)),1,0))</f>
        <v>1</v>
      </c>
      <c r="W45" s="48" t="n">
        <f>IF(OR(TblTareas[[#This Row],[Activa]]=0,TblTareas[[#This Row],[Cierre]]="Aceptada",TblTareas[[#This Row],[Control]]&lt;&gt;"OK"),0,TblTareas[[#This Row],[Horas]]*(1-TblTareas[[#This Row],[Apoyo %]]))</f>
        <v>2.8</v>
      </c>
      <c r="X45" s="48" t="n">
        <f>IF(OR(TblTareas[[#This Row],[Activa]]=0,TblTareas[[#This Row],[Cierre]]="Aceptada",TblTareas[[#This Row],[Control]]&lt;&gt;"OK"),0,TblTareas[[#This Row],[Horas]]*TblTareas[[#This Row],[Apoyo %]])</f>
        <v>1.2</v>
      </c>
      <c r="Y45" s="48" t="n">
        <f>IF(AND(TblTareas[[#This Row],[Activa]]=1,TblTareas[[#This Row],[Cierre]]="Aceptada"),TblTareas[[#This Row],[Horas]],0)</f>
        <v>0</v>
      </c>
      <c r="Z45"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45" s="50" t="n">
        <f>IF(AND(TblTareas[[#This Row],[Activa]]=1,TblTareas[[#This Row],[Control]]="OK",TblTareas[[#This Row],[Semana]]&lt;=Inicio!$B$8,TblTareas[[#This Row],[Semana]]+TblTareas[[#This Row],[Duracion]]&gt;Inicio!$B$8),TblTareas[[#This Row],[Horas responsable]]/TblTareas[[#This Row],[Duracion]],0)</f>
        <v>0</v>
      </c>
      <c r="AB45" s="50" t="n">
        <f>IF(AND(TblTareas[[#This Row],[Activa]]=1,TblTareas[[#This Row],[Control]]="OK",TblTareas[[#This Row],[Semana]]&lt;=Inicio!$B$8,TblTareas[[#This Row],[Semana]]+TblTareas[[#This Row],[Duracion]]&gt;Inicio!$B$8),TblTareas[[#This Row],[Horas apoyo]]/TblTareas[[#This Row],[Duracion]],0)</f>
        <v>0</v>
      </c>
      <c r="AC45" s="50" t="n">
        <f>IF(TblTareas[[#This Row],[ID]]="",0,IF(TblTareas[[#This Row],[Control]]="OK",0,1))</f>
        <v>0</v>
      </c>
    </row>
    <row r="46" ht="54" customHeight="1">
      <c r="A46" s="23" t="str">
        <v>OPT-01</v>
      </c>
      <c r="B46" s="25" t="str">
        <v>Amin</v>
      </c>
      <c r="C46" s="25" t="str">
        <v>Por hacer</v>
      </c>
      <c r="D46" s="25" t="str">
        <v>Especificar y validar rescate opcional</v>
      </c>
      <c r="E46" s="25" t="str">
        <v>P2</v>
      </c>
      <c r="F46" s="38" t="n">
        <v>11</v>
      </c>
      <c r="G46" s="38" t="n">
        <v>1</v>
      </c>
      <c r="H46" s="28" t="n">
        <v>3</v>
      </c>
      <c r="I46" s="25" t="str">
        <v>David</v>
      </c>
      <c r="J46" s="30" t="n">
        <v>0.3</v>
      </c>
      <c r="K46" s="25" t="str">
        <v>PROF-03</v>
      </c>
      <c r="L46" s="25" t="str">
        <v>Estados de aliada y portador</v>
      </c>
      <c r="M46" s="25" t="str">
        <v>P2 autorizado sin afectar cierre P0/P1.</v>
      </c>
      <c r="N46" s="25" t="str"/>
      <c r="O46" s="25" t="str"/>
      <c r="P46" s="34"/>
      <c r="Q46" s="34" t="str">
        <v>Plan inicial propuesto; 8 h/persona/semana por confirmar. Si comparte semana con su predecesora, acordar el día del traspaso.</v>
      </c>
      <c r="R46" s="46" t="str">
        <f>IF(OR(TblTareas[[#This Row],[ID]]="",NOT(ISNUMBER(Inicio!$B$6))),"",Inicio!$B$6+7*(TblTareas[[#This Row],[Semana]]-1))</f>
      </c>
      <c r="S46" s="46" t="str">
        <f>IF(TblTareas[[#This Row],[Inicio]]="","",TblTareas[[#This Row],[Inicio]]+7*TblTareas[[#This Row],[Duracion]]-1)</f>
      </c>
      <c r="T46"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Fuera de alcance</v>
      </c>
      <c r="U46"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46" s="44" t="n">
        <f>IF(TblTareas[[#This Row],[ID]]="",0,IF(AND(TblTareas[[#This Row],[Estado]]&lt;&gt;"Descartada",OR(TblTareas[[#This Row],[Fase]]&lt;&gt;"P2",Inicio!$B$9=1)),1,0))</f>
        <v>0</v>
      </c>
      <c r="W46" s="48" t="n">
        <f>IF(OR(TblTareas[[#This Row],[Activa]]=0,TblTareas[[#This Row],[Cierre]]="Aceptada",TblTareas[[#This Row],[Control]]&lt;&gt;"OK"),0,TblTareas[[#This Row],[Horas]]*(1-TblTareas[[#This Row],[Apoyo %]]))</f>
        <v>0</v>
      </c>
      <c r="X46" s="48" t="n">
        <f>IF(OR(TblTareas[[#This Row],[Activa]]=0,TblTareas[[#This Row],[Cierre]]="Aceptada",TblTareas[[#This Row],[Control]]&lt;&gt;"OK"),0,TblTareas[[#This Row],[Horas]]*TblTareas[[#This Row],[Apoyo %]])</f>
        <v>0</v>
      </c>
      <c r="Y46" s="48" t="n">
        <f>IF(AND(TblTareas[[#This Row],[Activa]]=1,TblTareas[[#This Row],[Cierre]]="Aceptada"),TblTareas[[#This Row],[Horas]],0)</f>
        <v>0</v>
      </c>
      <c r="Z46"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46" s="50" t="n">
        <f>IF(AND(TblTareas[[#This Row],[Activa]]=1,TblTareas[[#This Row],[Control]]="OK",TblTareas[[#This Row],[Semana]]&lt;=Inicio!$B$8,TblTareas[[#This Row],[Semana]]+TblTareas[[#This Row],[Duracion]]&gt;Inicio!$B$8),TblTareas[[#This Row],[Horas responsable]]/TblTareas[[#This Row],[Duracion]],0)</f>
        <v>0</v>
      </c>
      <c r="AB46" s="50" t="n">
        <f>IF(AND(TblTareas[[#This Row],[Activa]]=1,TblTareas[[#This Row],[Control]]="OK",TblTareas[[#This Row],[Semana]]&lt;=Inicio!$B$8,TblTareas[[#This Row],[Semana]]+TblTareas[[#This Row],[Duracion]]&gt;Inicio!$B$8),TblTareas[[#This Row],[Horas apoyo]]/TblTareas[[#This Row],[Duracion]],0)</f>
        <v>0</v>
      </c>
      <c r="AC46" s="50" t="n">
        <f>IF(TblTareas[[#This Row],[ID]]="",0,IF(TblTareas[[#This Row],[Control]]="OK",0,1))</f>
        <v>0</v>
      </c>
    </row>
    <row r="47" ht="54" customHeight="1">
      <c r="A47" s="13" t="str">
        <v>OPT-02</v>
      </c>
      <c r="B47" s="25" t="str">
        <v>Iker</v>
      </c>
      <c r="C47" s="25" t="str">
        <v>Por hacer</v>
      </c>
      <c r="D47" s="25" t="str">
        <v>Implementar doble nave si hay margen</v>
      </c>
      <c r="E47" s="25" t="str">
        <v>P2</v>
      </c>
      <c r="F47" s="38" t="n">
        <v>14</v>
      </c>
      <c r="G47" s="38" t="n">
        <v>1</v>
      </c>
      <c r="H47" s="28" t="n">
        <v>8</v>
      </c>
      <c r="I47" s="25" t="str">
        <v>Amin</v>
      </c>
      <c r="J47" s="30" t="n">
        <v>0.3</v>
      </c>
      <c r="K47" s="25" t="str">
        <v>OPT-01</v>
      </c>
      <c r="L47" s="25" t="str">
        <v>Rescate y doble disparo</v>
      </c>
      <c r="M47" s="25" t="str">
        <v>Pasan pruebas específicas y regresión de daño.</v>
      </c>
      <c r="N47" s="25" t="str"/>
      <c r="O47" s="25" t="str"/>
      <c r="P47" s="34"/>
      <c r="Q47" s="34" t="str">
        <v>Plan inicial propuesto; 8 h/persona/semana por confirmar. Si comparte semana con su predecesora, acordar el día del traspaso.</v>
      </c>
      <c r="R47" s="46" t="str">
        <f>IF(OR(TblTareas[[#This Row],[ID]]="",NOT(ISNUMBER(Inicio!$B$6))),"",Inicio!$B$6+7*(TblTareas[[#This Row],[Semana]]-1))</f>
      </c>
      <c r="S47" s="46" t="str">
        <f>IF(TblTareas[[#This Row],[Inicio]]="","",TblTareas[[#This Row],[Inicio]]+7*TblTareas[[#This Row],[Duracion]]-1)</f>
      </c>
      <c r="T47" s="44"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v>Fuera de alcance</v>
      </c>
      <c r="U47" s="44"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v>Pendiente</v>
      </c>
      <c r="V47" s="44" t="n">
        <f>IF(TblTareas[[#This Row],[ID]]="",0,IF(AND(TblTareas[[#This Row],[Estado]]&lt;&gt;"Descartada",OR(TblTareas[[#This Row],[Fase]]&lt;&gt;"P2",Inicio!$B$9=1)),1,0))</f>
        <v>0</v>
      </c>
      <c r="W47" s="48" t="n">
        <f>IF(OR(TblTareas[[#This Row],[Activa]]=0,TblTareas[[#This Row],[Cierre]]="Aceptada",TblTareas[[#This Row],[Control]]&lt;&gt;"OK"),0,TblTareas[[#This Row],[Horas]]*(1-TblTareas[[#This Row],[Apoyo %]]))</f>
        <v>0</v>
      </c>
      <c r="X47" s="48" t="n">
        <f>IF(OR(TblTareas[[#This Row],[Activa]]=0,TblTareas[[#This Row],[Cierre]]="Aceptada",TblTareas[[#This Row],[Control]]&lt;&gt;"OK"),0,TblTareas[[#This Row],[Horas]]*TblTareas[[#This Row],[Apoyo %]])</f>
        <v>0</v>
      </c>
      <c r="Y47" s="48" t="n">
        <f>IF(AND(TblTareas[[#This Row],[Activa]]=1,TblTareas[[#This Row],[Cierre]]="Aceptada"),TblTareas[[#This Row],[Horas]],0)</f>
        <v>0</v>
      </c>
      <c r="Z47" s="44"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v>OK</v>
      </c>
      <c r="AA47" s="50" t="n">
        <f>IF(AND(TblTareas[[#This Row],[Activa]]=1,TblTareas[[#This Row],[Control]]="OK",TblTareas[[#This Row],[Semana]]&lt;=Inicio!$B$8,TblTareas[[#This Row],[Semana]]+TblTareas[[#This Row],[Duracion]]&gt;Inicio!$B$8),TblTareas[[#This Row],[Horas responsable]]/TblTareas[[#This Row],[Duracion]],0)</f>
        <v>0</v>
      </c>
      <c r="AB47" s="50" t="n">
        <f>IF(AND(TblTareas[[#This Row],[Activa]]=1,TblTareas[[#This Row],[Control]]="OK",TblTareas[[#This Row],[Semana]]&lt;=Inicio!$B$8,TblTareas[[#This Row],[Semana]]+TblTareas[[#This Row],[Duracion]]&gt;Inicio!$B$8),TblTareas[[#This Row],[Horas apoyo]]/TblTareas[[#This Row],[Duracion]],0)</f>
        <v>0</v>
      </c>
      <c r="AC47" s="50" t="n">
        <f>IF(TblTareas[[#This Row],[ID]]="",0,IF(TblTareas[[#This Row],[Control]]="OK",0,1))</f>
        <v>0</v>
      </c>
    </row>
    <row r="48" ht="22" customHeight="1">
      <c r="A48" s="3" t="str"/>
      <c r="B48" s="9" t="str"/>
      <c r="C48" s="9" t="str"/>
      <c r="D48" s="3" t="str"/>
      <c r="E48" s="9" t="str"/>
      <c r="F48" s="3" t="n">
        <v>1</v>
      </c>
      <c r="G48" s="3" t="n">
        <v>1</v>
      </c>
      <c r="H48" s="3" t="n">
        <v>0</v>
      </c>
      <c r="I48" s="9" t="str"/>
      <c r="J48" s="3" t="n">
        <v>0</v>
      </c>
      <c r="K48" s="3" t="str"/>
      <c r="L48" s="3" t="str"/>
      <c r="M48" s="3" t="str"/>
      <c r="N48" s="3" t="str"/>
      <c r="O48" s="9" t="str"/>
      <c r="P48" s="3" t="str"/>
      <c r="Q48" s="3" t="str"/>
      <c r="R48" s="3" t="str">
        <f>IF(OR(TblTareas[[#This Row],[ID]]="",NOT(ISNUMBER(Inicio!$B$6))),"",Inicio!$B$6+7*(TblTareas[[#This Row],[Semana]]-1))</f>
      </c>
      <c r="S48" s="3" t="str">
        <f>IF(TblTareas[[#This Row],[Inicio]]="","",TblTareas[[#This Row],[Inicio]]+7*TblTareas[[#This Row],[Duracion]]-1)</f>
      </c>
      <c r="T48" s="3" t="str">
        <f>IF(TblTareas[[#This Row],[ID]]="","",IF(TblTareas[[#This Row],[Control]]&lt;&gt;"OK",TblTareas[[#This Row],[Control]],IF(TblTareas[[#This Row],[Activa]]=0,"Fuera de alcance",IF(TblTareas[[#This Row],[Cierre]]="Aceptada","Aceptada",IF(TblTareas[[#This Row],[Estado]]="Hecha",TblTareas[[#This Row],[Cierre]],IF(TblTareas[[#This Row],[Estado]]="Bloqueada","Bloqueada: ver Notas",IF(AND(ISNUMBER(TblTareas[[#This Row],[Fin]]),ISNUMBER(Inicio!$B$7),TblTareas[[#This Row],[Fin]]&lt;Inicio!$B$7),"Vencida",IF(AND(ISNUMBER(TblTareas[[#This Row],[Fin]]),ISNUMBER(Inicio!$B$10),TblTareas[[#This Row],[Fin]]&gt;Inicio!$B$10),"Fuera de entrega",IF(TblTareas[[#This Row],[Predecesora]]="","Lista para iniciar",IF(TblTareas[[#This Row],[Semana]]&lt;INDEX(TblTareas[Semana],MATCH(TblTareas[[#This Row],[Predecesora]],TblTareas[ID],0))+INDEX(TblTareas[Duracion],MATCH(TblTareas[[#This Row],[Predecesora]],TblTareas[ID],0))-1,"Solape con predecesora",IF(INDEX(TblTareas[Cierre],MATCH(TblTareas[[#This Row],[Predecesora]],TblTareas[ID],0))&lt;&gt;"Aceptada","Espera predecesora","Lista para iniciar")))))))))))</f>
      </c>
      <c r="U48" s="3" t="str">
        <f>IF(TblTareas[[#This Row],[ID]]="","",IF(TblTareas[[#This Row],[Control]]&lt;&gt;"OK","Revisar datos",IF(TblTareas[[#This Row],[Estado]]="Descartada","Descartada",IF(TblTareas[[#This Row],[Estado]]&lt;&gt;"Hecha","Pendiente",IF(AND(TblTareas[[#This Row],[Evidencia]]&lt;&gt;"",COUNTIF(TblEquipo[Persona],TblTareas[[#This Row],[Revisa]])=1,IF(ISNUMBER(TblTareas[[#This Row],[Fecha]]),TblTareas[[#This Row],[Fecha]]&gt;0,FALSE)),"Aceptada","Falta evidencia o revision")))))</f>
      </c>
      <c r="V48" s="3" t="n">
        <f>IF(TblTareas[[#This Row],[ID]]="",0,IF(AND(TblTareas[[#This Row],[Estado]]&lt;&gt;"Descartada",OR(TblTareas[[#This Row],[Fase]]&lt;&gt;"P2",Inicio!$B$9=1)),1,0))</f>
        <v>0</v>
      </c>
      <c r="W48" s="3" t="n">
        <f>IF(OR(TblTareas[[#This Row],[Activa]]=0,TblTareas[[#This Row],[Cierre]]="Aceptada",TblTareas[[#This Row],[Control]]&lt;&gt;"OK"),0,TblTareas[[#This Row],[Horas]]*(1-TblTareas[[#This Row],[Apoyo %]]))</f>
        <v>0</v>
      </c>
      <c r="X48" s="3" t="n">
        <f>IF(OR(TblTareas[[#This Row],[Activa]]=0,TblTareas[[#This Row],[Cierre]]="Aceptada",TblTareas[[#This Row],[Control]]&lt;&gt;"OK"),0,TblTareas[[#This Row],[Horas]]*TblTareas[[#This Row],[Apoyo %]])</f>
        <v>0</v>
      </c>
      <c r="Y48" s="3" t="n">
        <f>IF(AND(TblTareas[[#This Row],[Activa]]=1,TblTareas[[#This Row],[Cierre]]="Aceptada"),TblTareas[[#This Row],[Horas]],0)</f>
        <v>0</v>
      </c>
      <c r="Z48" s="3" t="str">
        <f>IF(TblTareas[[#This Row],[ID]]="","",IF(COUNTIF(TblTareas[ID],TblTareas[[#This Row],[ID]])&lt;&gt;1,"Duplicado ID",IF(OR(COUNTIF(TblEquipo[Persona],TblTareas[[#This Row],[Responsable]])&lt;&gt;1,TblTareas[[#This Row],[Trabajo]]="",TblTareas[[#This Row],[Entregable]]="",TblTareas[[#This Row],[Criterio]]=""),"Falta responsable o descripcion",IF(OR(NOT(ISNUMBER(TblTareas[[#This Row],[Semana]])),NOT(ISNUMBER(TblTareas[[#This Row],[Duracion]])),TblTareas[[#This Row],[Semana]]&lt;1,TblTareas[[#This Row],[Duracion]]&lt;1,MOD(TblTareas[[#This Row],[Semana]],1)&lt;&gt;0,MOD(TblTareas[[#This Row],[Duracion]],1)&lt;&gt;0,TblTareas[[#This Row],[Semana]]+TblTareas[[#This Row],[Duracion]]-1&gt;52),"Revisar semanas",IF(OR(NOT(ISNUMBER(TblTareas[[#This Row],[Horas]])),TblTareas[[#This Row],[Horas]]&lt;=0),"Revisar horas",IF(OR(NOT(ISNUMBER(TblTareas[[#This Row],[Apoyo %]])),TblTareas[[#This Row],[Apoyo %]]&lt;0,TblTareas[[#This Row],[Apoyo %]]&gt;1),"Revisar reparto",IF(AND(TblTareas[[#This Row],[Apoyo %]]&gt;0,OR(TblTareas[[#This Row],[Apoyo]]="",TblTareas[[#This Row],[Apoyo]]=TblTareas[[#This Row],[Responsable]],COUNTIF(TblEquipo[Persona],TblTareas[[#This Row],[Apoyo]])&lt;&gt;1)),"Falta apoyo distinto",IF(AND(TblTareas[[#This Row],[Predecesora]]&lt;&gt;"",OR(TblTareas[[#This Row],[Predecesora]]=TblTareas[[#This Row],[ID]],COUNTIF(TblTareas[ID],TblTareas[[#This Row],[Predecesora]])&lt;&gt;1)),"Revisar predecesora","OK"))))))))</f>
      </c>
      <c r="AA48" t="n">
        <f>IF(AND(TblTareas[[#This Row],[Activa]]=1,TblTareas[[#This Row],[Control]]="OK",TblTareas[[#This Row],[Semana]]&lt;=Inicio!$B$8,TblTareas[[#This Row],[Semana]]+TblTareas[[#This Row],[Duracion]]&gt;Inicio!$B$8),TblTareas[[#This Row],[Horas responsable]]/TblTareas[[#This Row],[Duracion]],0)</f>
        <v>0</v>
      </c>
      <c r="AB48" t="n">
        <f>IF(AND(TblTareas[[#This Row],[Activa]]=1,TblTareas[[#This Row],[Control]]="OK",TblTareas[[#This Row],[Semana]]&lt;=Inicio!$B$8,TblTareas[[#This Row],[Semana]]+TblTareas[[#This Row],[Duracion]]&gt;Inicio!$B$8),TblTareas[[#This Row],[Horas apoyo]]/TblTareas[[#This Row],[Duracion]],0)</f>
        <v>0</v>
      </c>
      <c r="AC48" t="n">
        <f>IF(TblTareas[[#This Row],[ID]]="",0,IF(TblTareas[[#This Row],[Control]]="OK",0,1))</f>
        <v>0</v>
      </c>
    </row>
    <row r="49" ht="22" customHeight="1">
      <c r="A49" s="3"/>
      <c r="B49" s="9"/>
      <c r="C49" s="9"/>
      <c r="D49" s="3"/>
      <c r="E49" s="9"/>
      <c r="F49" s="3"/>
      <c r="G49" s="3"/>
      <c r="H49" s="3"/>
      <c r="I49" s="9"/>
      <c r="J49" s="3"/>
      <c r="K49" s="3"/>
      <c r="L49" s="3"/>
      <c r="M49" s="3"/>
      <c r="N49" s="3"/>
      <c r="O49" s="9"/>
      <c r="P49" s="3"/>
      <c r="Q49" s="3"/>
      <c r="R49" s="3"/>
      <c r="S49" s="3"/>
      <c r="T49" s="3"/>
      <c r="U49" s="3"/>
      <c r="V49" s="3"/>
      <c r="W49" s="3"/>
      <c r="X49" s="3"/>
      <c r="Y49" s="3"/>
      <c r="Z49" s="3"/>
    </row>
    <row r="50" ht="22" customHeight="1">
      <c r="A50" s="3"/>
      <c r="B50" s="9"/>
      <c r="C50" s="9"/>
      <c r="D50" s="3"/>
      <c r="E50" s="9"/>
      <c r="F50" s="3"/>
      <c r="G50" s="3"/>
      <c r="H50" s="3"/>
      <c r="I50" s="9"/>
      <c r="J50" s="3"/>
      <c r="K50" s="3"/>
      <c r="L50" s="3"/>
      <c r="M50" s="3"/>
      <c r="N50" s="3"/>
      <c r="O50" s="9"/>
      <c r="P50" s="3"/>
      <c r="Q50" s="3"/>
      <c r="R50" s="3"/>
      <c r="S50" s="3"/>
      <c r="T50" s="3"/>
      <c r="U50" s="3"/>
      <c r="V50" s="3"/>
      <c r="W50" s="3"/>
      <c r="X50" s="3"/>
      <c r="Y50" s="3"/>
      <c r="Z50" s="3"/>
    </row>
    <row r="51" ht="22" customHeight="1">
      <c r="A51" s="3"/>
      <c r="B51" s="9"/>
      <c r="C51" s="9"/>
      <c r="D51" s="3"/>
      <c r="E51" s="9"/>
      <c r="F51" s="3"/>
      <c r="G51" s="3"/>
      <c r="H51" s="3"/>
      <c r="I51" s="9"/>
      <c r="J51" s="3"/>
      <c r="K51" s="3"/>
      <c r="L51" s="3"/>
      <c r="M51" s="3"/>
      <c r="N51" s="3"/>
      <c r="O51" s="9"/>
      <c r="P51" s="3"/>
      <c r="Q51" s="3"/>
      <c r="R51" s="3"/>
      <c r="S51" s="3"/>
      <c r="T51" s="3"/>
      <c r="U51" s="3"/>
      <c r="V51" s="3"/>
      <c r="W51" s="3"/>
      <c r="X51" s="3"/>
      <c r="Y51" s="3"/>
      <c r="Z51" s="3"/>
    </row>
    <row r="52" ht="22" customHeight="1">
      <c r="A52" s="3"/>
      <c r="B52" s="9"/>
      <c r="C52" s="9"/>
      <c r="D52" s="3"/>
      <c r="E52" s="9"/>
      <c r="F52" s="3"/>
      <c r="G52" s="3"/>
      <c r="H52" s="3"/>
      <c r="I52" s="9"/>
      <c r="J52" s="3"/>
      <c r="K52" s="3"/>
      <c r="L52" s="3"/>
      <c r="M52" s="3"/>
      <c r="N52" s="3"/>
      <c r="O52" s="9"/>
      <c r="P52" s="3"/>
      <c r="Q52" s="3"/>
      <c r="R52" s="3"/>
      <c r="S52" s="3"/>
      <c r="T52" s="3"/>
      <c r="U52" s="3"/>
      <c r="V52" s="3"/>
      <c r="W52" s="3"/>
      <c r="X52" s="3"/>
      <c r="Y52" s="3"/>
      <c r="Z52" s="3"/>
    </row>
    <row r="53" ht="22" customHeight="1">
      <c r="A53" s="3"/>
      <c r="B53" s="9"/>
      <c r="C53" s="9"/>
      <c r="D53" s="3"/>
      <c r="E53" s="9"/>
      <c r="F53" s="3"/>
      <c r="G53" s="3"/>
      <c r="H53" s="3"/>
      <c r="I53" s="9"/>
      <c r="J53" s="3"/>
      <c r="K53" s="3"/>
      <c r="L53" s="3"/>
      <c r="M53" s="3"/>
      <c r="N53" s="3"/>
      <c r="O53" s="9"/>
      <c r="P53" s="3"/>
      <c r="Q53" s="3"/>
      <c r="R53" s="3"/>
      <c r="S53" s="3"/>
      <c r="T53" s="3"/>
      <c r="U53" s="3"/>
      <c r="V53" s="3"/>
      <c r="W53" s="3"/>
      <c r="X53" s="3"/>
      <c r="Y53" s="3"/>
      <c r="Z53" s="3"/>
    </row>
    <row r="54" ht="22" customHeight="1">
      <c r="A54" s="3"/>
      <c r="B54" s="9"/>
      <c r="C54" s="9"/>
      <c r="D54" s="3"/>
      <c r="E54" s="9"/>
      <c r="F54" s="3"/>
      <c r="G54" s="3"/>
      <c r="H54" s="3"/>
      <c r="I54" s="9"/>
      <c r="J54" s="3"/>
      <c r="K54" s="3"/>
      <c r="L54" s="3"/>
      <c r="M54" s="3"/>
      <c r="N54" s="3"/>
      <c r="O54" s="9"/>
      <c r="P54" s="3"/>
      <c r="Q54" s="3"/>
      <c r="R54" s="3"/>
      <c r="S54" s="3"/>
      <c r="T54" s="3"/>
      <c r="U54" s="3"/>
      <c r="V54" s="3"/>
      <c r="W54" s="3"/>
      <c r="X54" s="3"/>
      <c r="Y54" s="3"/>
      <c r="Z54" s="3"/>
    </row>
    <row r="55" ht="22" customHeight="1">
      <c r="A55" s="3"/>
      <c r="B55" s="9"/>
      <c r="C55" s="9"/>
      <c r="D55" s="3"/>
      <c r="E55" s="9"/>
      <c r="F55" s="3"/>
      <c r="G55" s="3"/>
      <c r="H55" s="3"/>
      <c r="I55" s="9"/>
      <c r="J55" s="3"/>
      <c r="K55" s="3"/>
      <c r="L55" s="3"/>
      <c r="M55" s="3"/>
      <c r="N55" s="3"/>
      <c r="O55" s="9"/>
      <c r="P55" s="3"/>
      <c r="Q55" s="3"/>
      <c r="R55" s="3"/>
      <c r="S55" s="3"/>
      <c r="T55" s="3"/>
      <c r="U55" s="3"/>
      <c r="V55" s="3"/>
      <c r="W55" s="3"/>
      <c r="X55" s="3"/>
      <c r="Y55" s="3"/>
      <c r="Z55" s="3"/>
    </row>
    <row r="56" ht="22" customHeight="1">
      <c r="A56" s="3"/>
      <c r="B56" s="9"/>
      <c r="C56" s="9"/>
      <c r="D56" s="3"/>
      <c r="E56" s="9"/>
      <c r="F56" s="3"/>
      <c r="G56" s="3"/>
      <c r="H56" s="3"/>
      <c r="I56" s="9"/>
      <c r="J56" s="3"/>
      <c r="K56" s="3"/>
      <c r="L56" s="3"/>
      <c r="M56" s="3"/>
      <c r="N56" s="3"/>
      <c r="O56" s="9"/>
      <c r="P56" s="3"/>
      <c r="Q56" s="3"/>
      <c r="R56" s="3"/>
      <c r="S56" s="3"/>
      <c r="T56" s="3"/>
      <c r="U56" s="3"/>
      <c r="V56" s="3"/>
      <c r="W56" s="3"/>
      <c r="X56" s="3"/>
      <c r="Y56" s="3"/>
      <c r="Z56" s="3"/>
    </row>
    <row r="57" ht="22" customHeight="1">
      <c r="A57" s="3"/>
      <c r="B57" s="9"/>
      <c r="C57" s="9"/>
      <c r="D57" s="3"/>
      <c r="E57" s="9"/>
      <c r="F57" s="3"/>
      <c r="G57" s="3"/>
      <c r="H57" s="3"/>
      <c r="I57" s="9"/>
      <c r="J57" s="3"/>
      <c r="K57" s="3"/>
      <c r="L57" s="3"/>
      <c r="M57" s="3"/>
      <c r="N57" s="3"/>
      <c r="O57" s="9"/>
      <c r="P57" s="3"/>
      <c r="Q57" s="3"/>
      <c r="R57" s="3"/>
      <c r="S57" s="3"/>
      <c r="T57" s="3"/>
      <c r="U57" s="3"/>
      <c r="V57" s="3"/>
      <c r="W57" s="3"/>
      <c r="X57" s="3"/>
      <c r="Y57" s="3"/>
      <c r="Z57" s="3"/>
    </row>
    <row r="58" ht="22" customHeight="1">
      <c r="A58" s="3"/>
      <c r="B58" s="9"/>
      <c r="C58" s="9"/>
      <c r="D58" s="3"/>
      <c r="E58" s="9"/>
      <c r="F58" s="3"/>
      <c r="G58" s="3"/>
      <c r="H58" s="3"/>
      <c r="I58" s="9"/>
      <c r="J58" s="3"/>
      <c r="K58" s="3"/>
      <c r="L58" s="3"/>
      <c r="M58" s="3"/>
      <c r="N58" s="3"/>
      <c r="O58" s="9"/>
      <c r="P58" s="3"/>
      <c r="Q58" s="3"/>
      <c r="R58" s="3"/>
      <c r="S58" s="3"/>
      <c r="T58" s="3"/>
      <c r="U58" s="3"/>
      <c r="V58" s="3"/>
      <c r="W58" s="3"/>
      <c r="X58" s="3"/>
      <c r="Y58" s="3"/>
      <c r="Z58" s="3"/>
    </row>
    <row r="59" ht="22" customHeight="1">
      <c r="A59" s="3"/>
      <c r="B59" s="9"/>
      <c r="C59" s="9"/>
      <c r="D59" s="3"/>
      <c r="E59" s="9"/>
      <c r="F59" s="3"/>
      <c r="G59" s="3"/>
      <c r="H59" s="3"/>
      <c r="I59" s="9"/>
      <c r="J59" s="3"/>
      <c r="K59" s="3"/>
      <c r="L59" s="3"/>
      <c r="M59" s="3"/>
      <c r="N59" s="3"/>
      <c r="O59" s="9"/>
      <c r="P59" s="3"/>
      <c r="Q59" s="3"/>
      <c r="R59" s="3"/>
      <c r="S59" s="3"/>
      <c r="T59" s="3"/>
      <c r="U59" s="3"/>
      <c r="V59" s="3"/>
      <c r="W59" s="3"/>
      <c r="X59" s="3"/>
      <c r="Y59" s="3"/>
      <c r="Z59" s="3"/>
    </row>
    <row r="60" ht="22" customHeight="1">
      <c r="A60" s="3"/>
      <c r="B60" s="9"/>
      <c r="C60" s="9"/>
      <c r="D60" s="3"/>
      <c r="E60" s="9"/>
      <c r="F60" s="3"/>
      <c r="G60" s="3"/>
      <c r="H60" s="3"/>
      <c r="I60" s="9"/>
      <c r="J60" s="3"/>
      <c r="K60" s="3"/>
      <c r="L60" s="3"/>
      <c r="M60" s="3"/>
      <c r="N60" s="3"/>
      <c r="O60" s="9"/>
      <c r="P60" s="3"/>
      <c r="Q60" s="3"/>
      <c r="R60" s="3"/>
      <c r="S60" s="3"/>
      <c r="T60" s="3"/>
      <c r="U60" s="3"/>
      <c r="V60" s="3"/>
      <c r="W60" s="3"/>
      <c r="X60" s="3"/>
      <c r="Y60" s="3"/>
      <c r="Z60" s="3"/>
    </row>
    <row r="61">
      <c r="B61" s="26"/>
      <c r="C61" s="26"/>
      <c r="E61" s="26"/>
      <c r="I61" s="26"/>
      <c r="O61" s="26"/>
    </row>
    <row r="62">
      <c r="B62" s="26"/>
      <c r="C62" s="26"/>
      <c r="E62" s="26"/>
      <c r="I62" s="26"/>
      <c r="O62" s="26"/>
    </row>
    <row r="63">
      <c r="B63" s="26"/>
      <c r="C63" s="26"/>
      <c r="E63" s="26"/>
      <c r="I63" s="26"/>
      <c r="O63" s="26"/>
    </row>
    <row r="64">
      <c r="B64" s="26"/>
      <c r="C64" s="26"/>
      <c r="E64" s="26"/>
      <c r="I64" s="26"/>
      <c r="O64" s="26"/>
    </row>
    <row r="65">
      <c r="B65" s="26"/>
      <c r="C65" s="26"/>
      <c r="E65" s="26"/>
      <c r="I65" s="26"/>
      <c r="O65" s="26"/>
    </row>
    <row r="66">
      <c r="B66" s="26"/>
      <c r="C66" s="26"/>
      <c r="E66" s="26"/>
      <c r="I66" s="26"/>
      <c r="O66" s="26"/>
    </row>
    <row r="67">
      <c r="B67" s="26"/>
      <c r="C67" s="26"/>
      <c r="E67" s="26"/>
      <c r="I67" s="26"/>
      <c r="O67" s="26"/>
    </row>
    <row r="68">
      <c r="B68" s="26"/>
      <c r="C68" s="26"/>
      <c r="E68" s="26"/>
      <c r="I68" s="26"/>
      <c r="O68" s="26"/>
    </row>
    <row r="69">
      <c r="B69" s="26"/>
      <c r="C69" s="26"/>
      <c r="E69" s="26"/>
      <c r="I69" s="26"/>
      <c r="O69" s="26"/>
    </row>
    <row r="70">
      <c r="B70" s="26"/>
      <c r="C70" s="26"/>
      <c r="E70" s="26"/>
      <c r="I70" s="26"/>
      <c r="O70" s="26"/>
    </row>
    <row r="71">
      <c r="B71" s="26"/>
      <c r="C71" s="26"/>
      <c r="E71" s="26"/>
      <c r="I71" s="26"/>
      <c r="O71" s="26"/>
    </row>
    <row r="72">
      <c r="B72" s="26"/>
      <c r="C72" s="26"/>
      <c r="E72" s="26"/>
      <c r="I72" s="26"/>
      <c r="O72" s="26"/>
    </row>
    <row r="73">
      <c r="B73" s="26"/>
      <c r="C73" s="26"/>
      <c r="E73" s="26"/>
      <c r="I73" s="26"/>
      <c r="O73" s="26"/>
    </row>
    <row r="74">
      <c r="B74" s="26"/>
      <c r="C74" s="26"/>
      <c r="E74" s="26"/>
      <c r="I74" s="26"/>
      <c r="O74" s="26"/>
    </row>
    <row r="75">
      <c r="B75" s="26"/>
      <c r="C75" s="26"/>
      <c r="E75" s="26"/>
      <c r="I75" s="26"/>
      <c r="O75" s="26"/>
    </row>
    <row r="76">
      <c r="B76" s="26"/>
      <c r="C76" s="26"/>
      <c r="E76" s="26"/>
      <c r="I76" s="26"/>
      <c r="O76" s="26"/>
    </row>
    <row r="77">
      <c r="B77" s="26"/>
      <c r="C77" s="26"/>
      <c r="E77" s="26"/>
      <c r="I77" s="26"/>
      <c r="O77" s="26"/>
    </row>
    <row r="78">
      <c r="B78" s="26"/>
      <c r="C78" s="26"/>
      <c r="E78" s="26"/>
      <c r="I78" s="26"/>
      <c r="O78" s="26"/>
    </row>
    <row r="79">
      <c r="B79" s="26"/>
      <c r="C79" s="26"/>
      <c r="E79" s="26"/>
      <c r="I79" s="26"/>
      <c r="O79" s="26"/>
    </row>
    <row r="80">
      <c r="B80" s="26"/>
      <c r="C80" s="26"/>
      <c r="E80" s="26"/>
      <c r="I80" s="26"/>
      <c r="O80" s="26"/>
    </row>
    <row r="81">
      <c r="B81" s="26"/>
      <c r="C81" s="26"/>
      <c r="E81" s="26"/>
      <c r="I81" s="26"/>
      <c r="O81" s="26"/>
    </row>
    <row r="82">
      <c r="B82" s="26"/>
      <c r="C82" s="26"/>
      <c r="E82" s="26"/>
      <c r="I82" s="26"/>
      <c r="O82" s="26"/>
    </row>
    <row r="83">
      <c r="B83" s="26"/>
      <c r="C83" s="26"/>
      <c r="E83" s="26"/>
      <c r="I83" s="26"/>
      <c r="O83" s="26"/>
    </row>
    <row r="84">
      <c r="B84" s="26"/>
      <c r="C84" s="26"/>
      <c r="E84" s="26"/>
      <c r="I84" s="26"/>
      <c r="O84" s="26"/>
    </row>
    <row r="85">
      <c r="B85" s="26"/>
      <c r="C85" s="26"/>
      <c r="E85" s="26"/>
      <c r="I85" s="26"/>
      <c r="O85" s="26"/>
    </row>
    <row r="86">
      <c r="B86" s="26"/>
      <c r="C86" s="26"/>
      <c r="E86" s="26"/>
      <c r="I86" s="26"/>
      <c r="O86" s="26"/>
    </row>
    <row r="87">
      <c r="B87" s="26"/>
      <c r="C87" s="26"/>
      <c r="E87" s="26"/>
      <c r="I87" s="26"/>
      <c r="O87" s="26"/>
    </row>
    <row r="88">
      <c r="B88" s="26"/>
      <c r="C88" s="26"/>
      <c r="E88" s="26"/>
      <c r="I88" s="26"/>
      <c r="O88" s="26"/>
    </row>
    <row r="89">
      <c r="B89" s="26"/>
      <c r="C89" s="26"/>
      <c r="E89" s="26"/>
      <c r="I89" s="26"/>
      <c r="O89" s="26"/>
    </row>
    <row r="90">
      <c r="B90" s="26"/>
      <c r="C90" s="26"/>
      <c r="E90" s="26"/>
      <c r="I90" s="26"/>
      <c r="O90" s="26"/>
    </row>
    <row r="91">
      <c r="B91" s="26"/>
      <c r="C91" s="26"/>
      <c r="E91" s="26"/>
      <c r="I91" s="26"/>
      <c r="O91" s="26"/>
    </row>
    <row r="92">
      <c r="B92" s="26"/>
      <c r="C92" s="26"/>
      <c r="E92" s="26"/>
      <c r="I92" s="26"/>
      <c r="O92" s="26"/>
    </row>
    <row r="93">
      <c r="B93" s="26"/>
      <c r="C93" s="26"/>
      <c r="E93" s="26"/>
      <c r="I93" s="26"/>
      <c r="O93" s="26"/>
    </row>
    <row r="94">
      <c r="B94" s="26"/>
      <c r="C94" s="26"/>
      <c r="E94" s="26"/>
      <c r="I94" s="26"/>
      <c r="O94" s="26"/>
    </row>
    <row r="95">
      <c r="B95" s="26"/>
      <c r="C95" s="26"/>
      <c r="E95" s="26"/>
      <c r="I95" s="26"/>
      <c r="O95" s="26"/>
    </row>
    <row r="96">
      <c r="B96" s="26"/>
      <c r="C96" s="26"/>
      <c r="E96" s="26"/>
      <c r="I96" s="26"/>
      <c r="O96" s="26"/>
    </row>
    <row r="97">
      <c r="B97" s="26"/>
      <c r="C97" s="26"/>
      <c r="E97" s="26"/>
      <c r="I97" s="26"/>
      <c r="O97" s="26"/>
    </row>
    <row r="98">
      <c r="B98" s="26"/>
      <c r="C98" s="26"/>
      <c r="E98" s="26"/>
      <c r="I98" s="26"/>
      <c r="O98" s="26"/>
    </row>
    <row r="99">
      <c r="B99" s="26"/>
      <c r="C99" s="26"/>
      <c r="E99" s="26"/>
      <c r="I99" s="26"/>
      <c r="O99" s="26"/>
    </row>
    <row r="100">
      <c r="B100" s="26"/>
      <c r="C100" s="26"/>
      <c r="E100" s="26"/>
      <c r="I100" s="26"/>
      <c r="O100" s="26"/>
    </row>
    <row r="101">
      <c r="B101" s="26"/>
      <c r="C101" s="26"/>
      <c r="E101" s="26"/>
      <c r="I101" s="26"/>
      <c r="O101" s="26"/>
    </row>
    <row r="102">
      <c r="B102" s="26"/>
      <c r="C102" s="26"/>
      <c r="E102" s="26"/>
      <c r="I102" s="26"/>
      <c r="O102" s="26"/>
    </row>
    <row r="103">
      <c r="B103" s="26"/>
      <c r="C103" s="26"/>
      <c r="E103" s="26"/>
      <c r="I103" s="26"/>
      <c r="O103" s="26"/>
    </row>
    <row r="104">
      <c r="B104" s="26"/>
      <c r="C104" s="26"/>
      <c r="E104" s="26"/>
      <c r="I104" s="26"/>
      <c r="O104" s="26"/>
    </row>
    <row r="105">
      <c r="B105" s="26"/>
      <c r="C105" s="26"/>
      <c r="E105" s="26"/>
      <c r="I105" s="26"/>
      <c r="O105" s="26"/>
    </row>
    <row r="106">
      <c r="B106" s="26"/>
      <c r="C106" s="26"/>
      <c r="E106" s="26"/>
      <c r="I106" s="26"/>
      <c r="O106" s="26"/>
    </row>
    <row r="107">
      <c r="B107" s="26"/>
      <c r="C107" s="26"/>
      <c r="E107" s="26"/>
      <c r="I107" s="26"/>
      <c r="O107" s="26"/>
    </row>
    <row r="108">
      <c r="B108" s="26"/>
      <c r="C108" s="26"/>
      <c r="E108" s="26"/>
      <c r="I108" s="26"/>
      <c r="O108" s="26"/>
    </row>
    <row r="109">
      <c r="B109" s="26"/>
      <c r="C109" s="26"/>
      <c r="E109" s="26"/>
      <c r="I109" s="26"/>
      <c r="O109" s="26"/>
    </row>
    <row r="110">
      <c r="B110" s="26"/>
      <c r="C110" s="26"/>
      <c r="E110" s="26"/>
      <c r="I110" s="26"/>
      <c r="O110" s="26"/>
    </row>
    <row r="111">
      <c r="B111" s="26"/>
      <c r="C111" s="26"/>
      <c r="E111" s="26"/>
      <c r="I111" s="26"/>
      <c r="O111" s="26"/>
    </row>
    <row r="112">
      <c r="B112" s="26"/>
      <c r="C112" s="26"/>
      <c r="E112" s="26"/>
      <c r="I112" s="26"/>
      <c r="O112" s="26"/>
    </row>
    <row r="113">
      <c r="B113" s="26"/>
      <c r="C113" s="26"/>
      <c r="E113" s="26"/>
      <c r="I113" s="26"/>
      <c r="O113" s="26"/>
    </row>
    <row r="114">
      <c r="B114" s="26"/>
      <c r="C114" s="26"/>
      <c r="E114" s="26"/>
      <c r="I114" s="26"/>
      <c r="O114" s="26"/>
    </row>
    <row r="115">
      <c r="B115" s="26"/>
      <c r="C115" s="26"/>
      <c r="E115" s="26"/>
      <c r="I115" s="26"/>
      <c r="O115" s="26"/>
    </row>
    <row r="116">
      <c r="B116" s="26"/>
      <c r="C116" s="26"/>
      <c r="E116" s="26"/>
      <c r="I116" s="26"/>
      <c r="O116" s="26"/>
    </row>
    <row r="117">
      <c r="B117" s="26"/>
      <c r="C117" s="26"/>
      <c r="E117" s="26"/>
      <c r="I117" s="26"/>
      <c r="O117" s="26"/>
    </row>
    <row r="118">
      <c r="B118" s="26"/>
      <c r="C118" s="26"/>
      <c r="E118" s="26"/>
      <c r="I118" s="26"/>
      <c r="O118" s="26"/>
    </row>
    <row r="119">
      <c r="B119" s="26"/>
      <c r="C119" s="26"/>
      <c r="E119" s="26"/>
      <c r="I119" s="26"/>
      <c r="O119" s="26"/>
    </row>
    <row r="120">
      <c r="B120" s="26"/>
      <c r="C120" s="26"/>
      <c r="E120" s="26"/>
      <c r="I120" s="26"/>
      <c r="O120" s="26"/>
    </row>
    <row r="121">
      <c r="B121" s="26"/>
      <c r="C121" s="26"/>
      <c r="E121" s="26"/>
      <c r="I121" s="26"/>
      <c r="O121" s="26"/>
    </row>
    <row r="122">
      <c r="B122" s="26"/>
      <c r="C122" s="26"/>
      <c r="E122" s="26"/>
      <c r="I122" s="26"/>
      <c r="O122" s="26"/>
    </row>
    <row r="123">
      <c r="B123" s="26"/>
      <c r="C123" s="26"/>
      <c r="E123" s="26"/>
      <c r="I123" s="26"/>
      <c r="O123" s="26"/>
    </row>
    <row r="124">
      <c r="B124" s="26"/>
      <c r="C124" s="26"/>
      <c r="E124" s="26"/>
      <c r="I124" s="26"/>
      <c r="O124" s="26"/>
    </row>
    <row r="125">
      <c r="B125" s="26"/>
      <c r="C125" s="26"/>
      <c r="E125" s="26"/>
      <c r="I125" s="26"/>
      <c r="O125" s="26"/>
    </row>
    <row r="126">
      <c r="B126" s="26"/>
      <c r="C126" s="26"/>
      <c r="E126" s="26"/>
      <c r="I126" s="26"/>
      <c r="O126" s="26"/>
    </row>
    <row r="127">
      <c r="B127" s="26"/>
      <c r="C127" s="26"/>
      <c r="E127" s="26"/>
      <c r="I127" s="26"/>
      <c r="O127" s="26"/>
    </row>
    <row r="128">
      <c r="B128" s="26"/>
      <c r="C128" s="26"/>
      <c r="E128" s="26"/>
      <c r="I128" s="26"/>
      <c r="O128" s="26"/>
    </row>
    <row r="129">
      <c r="B129" s="26"/>
      <c r="C129" s="26"/>
      <c r="E129" s="26"/>
      <c r="I129" s="26"/>
      <c r="O129" s="26"/>
    </row>
    <row r="130">
      <c r="B130" s="26"/>
      <c r="C130" s="26"/>
      <c r="E130" s="26"/>
      <c r="I130" s="26"/>
      <c r="O130" s="26"/>
    </row>
    <row r="131">
      <c r="B131" s="26"/>
      <c r="C131" s="26"/>
      <c r="E131" s="26"/>
      <c r="I131" s="26"/>
      <c r="O131" s="26"/>
    </row>
    <row r="132">
      <c r="B132" s="26"/>
      <c r="C132" s="26"/>
      <c r="E132" s="26"/>
      <c r="I132" s="26"/>
      <c r="O132" s="26"/>
    </row>
    <row r="133">
      <c r="B133" s="26"/>
      <c r="C133" s="26"/>
      <c r="E133" s="26"/>
      <c r="I133" s="26"/>
      <c r="O133" s="26"/>
    </row>
    <row r="134">
      <c r="B134" s="26"/>
      <c r="C134" s="26"/>
      <c r="E134" s="26"/>
      <c r="I134" s="26"/>
      <c r="O134" s="26"/>
    </row>
    <row r="135">
      <c r="B135" s="26"/>
      <c r="C135" s="26"/>
      <c r="E135" s="26"/>
      <c r="I135" s="26"/>
      <c r="O135" s="26"/>
    </row>
    <row r="136">
      <c r="B136" s="26"/>
      <c r="C136" s="26"/>
      <c r="E136" s="26"/>
      <c r="I136" s="26"/>
      <c r="O136" s="26"/>
    </row>
    <row r="137">
      <c r="B137" s="26"/>
      <c r="C137" s="26"/>
      <c r="E137" s="26"/>
      <c r="I137" s="26"/>
      <c r="O137" s="26"/>
    </row>
    <row r="138">
      <c r="B138" s="26"/>
      <c r="C138" s="26"/>
      <c r="E138" s="26"/>
      <c r="I138" s="26"/>
      <c r="O138" s="26"/>
    </row>
    <row r="139">
      <c r="B139" s="26"/>
      <c r="C139" s="26"/>
      <c r="E139" s="26"/>
      <c r="I139" s="26"/>
      <c r="O139" s="26"/>
    </row>
    <row r="140">
      <c r="B140" s="26"/>
      <c r="C140" s="26"/>
      <c r="E140" s="26"/>
      <c r="I140" s="26"/>
      <c r="O140" s="26"/>
    </row>
    <row r="141">
      <c r="B141" s="26"/>
      <c r="C141" s="26"/>
      <c r="E141" s="26"/>
      <c r="I141" s="26"/>
      <c r="O141" s="26"/>
    </row>
    <row r="142">
      <c r="B142" s="26"/>
      <c r="C142" s="26"/>
      <c r="E142" s="26"/>
      <c r="I142" s="26"/>
      <c r="O142" s="26"/>
    </row>
    <row r="143">
      <c r="B143" s="26"/>
      <c r="C143" s="26"/>
      <c r="E143" s="26"/>
      <c r="I143" s="26"/>
      <c r="O143" s="26"/>
    </row>
    <row r="144">
      <c r="B144" s="26"/>
      <c r="C144" s="26"/>
      <c r="E144" s="26"/>
      <c r="I144" s="26"/>
      <c r="O144" s="26"/>
    </row>
    <row r="145">
      <c r="B145" s="26"/>
      <c r="C145" s="26"/>
      <c r="E145" s="26"/>
      <c r="I145" s="26"/>
      <c r="O145" s="26"/>
    </row>
    <row r="146">
      <c r="B146" s="26"/>
      <c r="C146" s="26"/>
      <c r="E146" s="26"/>
      <c r="I146" s="26"/>
      <c r="O146" s="26"/>
    </row>
    <row r="147">
      <c r="B147" s="26"/>
      <c r="C147" s="26"/>
      <c r="E147" s="26"/>
      <c r="I147" s="26"/>
      <c r="O147" s="26"/>
    </row>
    <row r="148">
      <c r="B148" s="26"/>
      <c r="C148" s="26"/>
      <c r="E148" s="26"/>
      <c r="I148" s="26"/>
      <c r="O148" s="26"/>
    </row>
    <row r="149">
      <c r="B149" s="26"/>
      <c r="C149" s="26"/>
      <c r="E149" s="26"/>
      <c r="I149" s="26"/>
      <c r="O149" s="26"/>
    </row>
    <row r="150">
      <c r="B150" s="26"/>
      <c r="C150" s="26"/>
      <c r="E150" s="26"/>
      <c r="I150" s="26"/>
      <c r="O150" s="26"/>
    </row>
    <row r="151">
      <c r="B151" s="26"/>
      <c r="C151" s="26"/>
      <c r="E151" s="26"/>
      <c r="I151" s="26"/>
      <c r="O151" s="26"/>
    </row>
    <row r="152">
      <c r="B152" s="26"/>
      <c r="C152" s="26"/>
      <c r="E152" s="26"/>
      <c r="I152" s="26"/>
      <c r="O152" s="26"/>
    </row>
    <row r="153">
      <c r="B153" s="26"/>
      <c r="C153" s="26"/>
      <c r="E153" s="26"/>
      <c r="I153" s="26"/>
      <c r="O153" s="26"/>
    </row>
    <row r="154">
      <c r="B154" s="26"/>
      <c r="C154" s="26"/>
      <c r="E154" s="26"/>
      <c r="I154" s="26"/>
      <c r="O154" s="26"/>
    </row>
    <row r="155">
      <c r="B155" s="26"/>
      <c r="C155" s="26"/>
      <c r="E155" s="26"/>
      <c r="I155" s="26"/>
      <c r="O155" s="26"/>
    </row>
    <row r="156">
      <c r="B156" s="26"/>
      <c r="C156" s="26"/>
      <c r="E156" s="26"/>
      <c r="I156" s="26"/>
      <c r="O156" s="26"/>
    </row>
    <row r="157">
      <c r="B157" s="26"/>
      <c r="C157" s="26"/>
      <c r="E157" s="26"/>
      <c r="I157" s="26"/>
      <c r="O157" s="26"/>
    </row>
    <row r="158">
      <c r="B158" s="26"/>
      <c r="C158" s="26"/>
      <c r="E158" s="26"/>
      <c r="I158" s="26"/>
      <c r="O158" s="26"/>
    </row>
    <row r="159">
      <c r="B159" s="26"/>
      <c r="C159" s="26"/>
      <c r="E159" s="26"/>
      <c r="I159" s="26"/>
      <c r="O159" s="26"/>
    </row>
    <row r="160">
      <c r="B160" s="26"/>
      <c r="C160" s="26"/>
      <c r="E160" s="26"/>
      <c r="I160" s="26"/>
      <c r="O160" s="26"/>
    </row>
    <row r="161">
      <c r="B161" s="26"/>
      <c r="C161" s="26"/>
      <c r="E161" s="26"/>
      <c r="I161" s="26"/>
      <c r="O161" s="26"/>
    </row>
    <row r="162">
      <c r="B162" s="26"/>
      <c r="C162" s="26"/>
      <c r="E162" s="26"/>
      <c r="I162" s="26"/>
      <c r="O162" s="26"/>
    </row>
    <row r="163">
      <c r="B163" s="26"/>
      <c r="C163" s="26"/>
      <c r="E163" s="26"/>
      <c r="I163" s="26"/>
      <c r="O163" s="26"/>
    </row>
    <row r="164">
      <c r="B164" s="26"/>
      <c r="C164" s="26"/>
      <c r="E164" s="26"/>
      <c r="I164" s="26"/>
      <c r="O164" s="26"/>
    </row>
    <row r="165">
      <c r="B165" s="26"/>
      <c r="C165" s="26"/>
      <c r="E165" s="26"/>
      <c r="I165" s="26"/>
      <c r="O165" s="26"/>
    </row>
    <row r="166">
      <c r="B166" s="26"/>
      <c r="C166" s="26"/>
      <c r="E166" s="26"/>
      <c r="I166" s="26"/>
      <c r="O166" s="26"/>
    </row>
    <row r="167">
      <c r="B167" s="26"/>
      <c r="C167" s="26"/>
      <c r="E167" s="26"/>
      <c r="I167" s="26"/>
      <c r="O167" s="26"/>
    </row>
    <row r="168">
      <c r="B168" s="26"/>
      <c r="C168" s="26"/>
      <c r="E168" s="26"/>
      <c r="I168" s="26"/>
      <c r="O168" s="26"/>
    </row>
    <row r="169">
      <c r="B169" s="26"/>
      <c r="C169" s="26"/>
      <c r="E169" s="26"/>
      <c r="I169" s="26"/>
      <c r="O169" s="26"/>
    </row>
    <row r="170">
      <c r="B170" s="26"/>
      <c r="C170" s="26"/>
      <c r="E170" s="26"/>
      <c r="I170" s="26"/>
      <c r="O170" s="26"/>
    </row>
    <row r="171">
      <c r="B171" s="26"/>
      <c r="C171" s="26"/>
      <c r="E171" s="26"/>
      <c r="I171" s="26"/>
      <c r="O171" s="26"/>
    </row>
    <row r="172">
      <c r="B172" s="26"/>
      <c r="C172" s="26"/>
      <c r="E172" s="26"/>
      <c r="I172" s="26"/>
      <c r="O172" s="26"/>
    </row>
    <row r="173">
      <c r="B173" s="26"/>
      <c r="C173" s="26"/>
      <c r="E173" s="26"/>
      <c r="I173" s="26"/>
      <c r="O173" s="26"/>
    </row>
    <row r="174">
      <c r="B174" s="26"/>
      <c r="C174" s="26"/>
      <c r="E174" s="26"/>
      <c r="I174" s="26"/>
      <c r="O174" s="26"/>
    </row>
    <row r="175">
      <c r="B175" s="26"/>
      <c r="C175" s="26"/>
      <c r="E175" s="26"/>
      <c r="I175" s="26"/>
      <c r="O175" s="26"/>
    </row>
    <row r="176">
      <c r="B176" s="26"/>
      <c r="C176" s="26"/>
      <c r="E176" s="26"/>
      <c r="I176" s="26"/>
      <c r="O176" s="26"/>
    </row>
    <row r="177">
      <c r="B177" s="26"/>
      <c r="C177" s="26"/>
      <c r="E177" s="26"/>
      <c r="I177" s="26"/>
      <c r="O177" s="26"/>
    </row>
    <row r="178">
      <c r="B178" s="26"/>
      <c r="C178" s="26"/>
      <c r="E178" s="26"/>
      <c r="I178" s="26"/>
      <c r="O178" s="26"/>
    </row>
    <row r="179">
      <c r="B179" s="26"/>
      <c r="C179" s="26"/>
      <c r="E179" s="26"/>
      <c r="I179" s="26"/>
      <c r="O179" s="26"/>
    </row>
    <row r="180">
      <c r="B180" s="26"/>
      <c r="C180" s="26"/>
      <c r="E180" s="26"/>
      <c r="I180" s="26"/>
      <c r="O180" s="26"/>
    </row>
    <row r="181">
      <c r="B181" s="26"/>
      <c r="C181" s="26"/>
      <c r="E181" s="26"/>
      <c r="I181" s="26"/>
      <c r="O181" s="26"/>
    </row>
    <row r="182">
      <c r="B182" s="26"/>
      <c r="C182" s="26"/>
      <c r="E182" s="26"/>
      <c r="I182" s="26"/>
      <c r="O182" s="26"/>
    </row>
    <row r="183">
      <c r="B183" s="26"/>
      <c r="C183" s="26"/>
      <c r="E183" s="26"/>
      <c r="I183" s="26"/>
      <c r="O183" s="26"/>
    </row>
    <row r="184">
      <c r="B184" s="26"/>
      <c r="C184" s="26"/>
      <c r="E184" s="26"/>
      <c r="I184" s="26"/>
      <c r="O184" s="26"/>
    </row>
    <row r="185">
      <c r="B185" s="26"/>
      <c r="C185" s="26"/>
      <c r="E185" s="26"/>
      <c r="I185" s="26"/>
      <c r="O185" s="26"/>
    </row>
    <row r="186">
      <c r="B186" s="26"/>
      <c r="C186" s="26"/>
      <c r="E186" s="26"/>
      <c r="I186" s="26"/>
      <c r="O186" s="26"/>
    </row>
    <row r="187">
      <c r="B187" s="26"/>
      <c r="C187" s="26"/>
      <c r="E187" s="26"/>
      <c r="I187" s="26"/>
      <c r="O187" s="26"/>
    </row>
    <row r="188">
      <c r="B188" s="26"/>
      <c r="C188" s="26"/>
      <c r="E188" s="26"/>
      <c r="I188" s="26"/>
      <c r="O188" s="26"/>
    </row>
    <row r="189">
      <c r="B189" s="26"/>
      <c r="C189" s="26"/>
      <c r="E189" s="26"/>
      <c r="I189" s="26"/>
      <c r="O189" s="26"/>
    </row>
    <row r="190">
      <c r="B190" s="26"/>
      <c r="C190" s="26"/>
      <c r="E190" s="26"/>
      <c r="I190" s="26"/>
      <c r="O190" s="26"/>
    </row>
    <row r="191">
      <c r="B191" s="26"/>
      <c r="C191" s="26"/>
      <c r="E191" s="26"/>
      <c r="I191" s="26"/>
      <c r="O191" s="26"/>
    </row>
    <row r="192">
      <c r="B192" s="26"/>
      <c r="C192" s="26"/>
      <c r="E192" s="26"/>
      <c r="I192" s="26"/>
      <c r="O192" s="26"/>
    </row>
    <row r="193">
      <c r="B193" s="26"/>
      <c r="C193" s="26"/>
      <c r="E193" s="26"/>
      <c r="I193" s="26"/>
      <c r="O193" s="26"/>
    </row>
    <row r="194">
      <c r="B194" s="26"/>
      <c r="C194" s="26"/>
      <c r="E194" s="26"/>
      <c r="I194" s="26"/>
      <c r="O194" s="26"/>
    </row>
    <row r="195">
      <c r="B195" s="26"/>
      <c r="C195" s="26"/>
      <c r="E195" s="26"/>
      <c r="I195" s="26"/>
      <c r="O195" s="26"/>
    </row>
    <row r="196">
      <c r="B196" s="26"/>
      <c r="C196" s="26"/>
      <c r="E196" s="26"/>
      <c r="I196" s="26"/>
      <c r="O196" s="26"/>
    </row>
    <row r="197">
      <c r="B197" s="26"/>
      <c r="C197" s="26"/>
      <c r="E197" s="26"/>
      <c r="I197" s="26"/>
      <c r="O197" s="26"/>
    </row>
    <row r="198">
      <c r="B198" s="26"/>
      <c r="C198" s="26"/>
      <c r="E198" s="26"/>
      <c r="I198" s="26"/>
      <c r="O198" s="26"/>
    </row>
    <row r="199">
      <c r="B199" s="26"/>
      <c r="C199" s="26"/>
      <c r="E199" s="26"/>
      <c r="I199" s="26"/>
      <c r="O199" s="26"/>
    </row>
    <row r="200">
      <c r="B200" s="26"/>
      <c r="C200" s="26"/>
      <c r="E200" s="26"/>
      <c r="I200" s="26"/>
      <c r="O200" s="26"/>
    </row>
    <row r="201">
      <c r="B201" s="26"/>
      <c r="C201" s="26"/>
      <c r="E201" s="26"/>
      <c r="I201" s="26"/>
      <c r="O201" s="26"/>
    </row>
    <row r="202">
      <c r="B202" s="26"/>
      <c r="C202" s="26"/>
      <c r="E202" s="26"/>
      <c r="I202" s="26"/>
      <c r="O202" s="26"/>
    </row>
    <row r="203">
      <c r="B203" s="26"/>
      <c r="C203" s="26"/>
      <c r="E203" s="26"/>
      <c r="I203" s="26"/>
      <c r="O203" s="26"/>
    </row>
    <row r="204">
      <c r="B204" s="26"/>
      <c r="C204" s="26"/>
      <c r="E204" s="26"/>
      <c r="I204" s="26"/>
      <c r="O204" s="26"/>
    </row>
    <row r="205">
      <c r="B205" s="26"/>
      <c r="C205" s="26"/>
      <c r="E205" s="26"/>
      <c r="I205" s="26"/>
      <c r="O205" s="26"/>
    </row>
    <row r="206">
      <c r="B206" s="26"/>
      <c r="C206" s="26"/>
      <c r="E206" s="26"/>
      <c r="I206" s="26"/>
      <c r="O206" s="26"/>
    </row>
    <row r="207">
      <c r="B207" s="26"/>
      <c r="C207" s="26"/>
      <c r="E207" s="26"/>
      <c r="I207" s="26"/>
      <c r="O207" s="26"/>
    </row>
    <row r="208">
      <c r="B208" s="26"/>
      <c r="C208" s="26"/>
      <c r="E208" s="26"/>
      <c r="I208" s="26"/>
      <c r="O208" s="26"/>
    </row>
    <row r="209">
      <c r="B209" s="26"/>
      <c r="C209" s="26"/>
      <c r="E209" s="26"/>
      <c r="I209" s="26"/>
      <c r="O209" s="26"/>
    </row>
    <row r="210">
      <c r="B210" s="26"/>
      <c r="C210" s="26"/>
      <c r="E210" s="26"/>
      <c r="I210" s="26"/>
      <c r="O210" s="26"/>
    </row>
    <row r="211">
      <c r="B211" s="26"/>
      <c r="C211" s="26"/>
      <c r="E211" s="26"/>
      <c r="I211" s="26"/>
      <c r="O211" s="26"/>
    </row>
    <row r="212">
      <c r="B212" s="26"/>
      <c r="C212" s="26"/>
      <c r="E212" s="26"/>
      <c r="I212" s="26"/>
      <c r="O212" s="26"/>
    </row>
    <row r="213">
      <c r="B213" s="26"/>
      <c r="C213" s="26"/>
      <c r="E213" s="26"/>
      <c r="I213" s="26"/>
      <c r="O213" s="26"/>
    </row>
    <row r="214">
      <c r="B214" s="26"/>
      <c r="C214" s="26"/>
      <c r="E214" s="26"/>
      <c r="I214" s="26"/>
      <c r="O214" s="26"/>
    </row>
    <row r="215">
      <c r="B215" s="26"/>
      <c r="C215" s="26"/>
      <c r="E215" s="26"/>
      <c r="I215" s="26"/>
      <c r="O215" s="26"/>
    </row>
    <row r="216">
      <c r="B216" s="26"/>
      <c r="C216" s="26"/>
      <c r="E216" s="26"/>
      <c r="I216" s="26"/>
      <c r="O216" s="26"/>
    </row>
    <row r="217">
      <c r="B217" s="26"/>
      <c r="C217" s="26"/>
      <c r="E217" s="26"/>
      <c r="I217" s="26"/>
      <c r="O217" s="26"/>
    </row>
    <row r="218">
      <c r="B218" s="26"/>
      <c r="C218" s="26"/>
      <c r="E218" s="26"/>
      <c r="I218" s="26"/>
      <c r="O218" s="26"/>
    </row>
    <row r="219">
      <c r="B219" s="26"/>
      <c r="C219" s="26"/>
      <c r="E219" s="26"/>
      <c r="I219" s="26"/>
      <c r="O219" s="26"/>
    </row>
    <row r="220">
      <c r="B220" s="26"/>
      <c r="C220" s="26"/>
      <c r="E220" s="26"/>
      <c r="I220" s="26"/>
      <c r="O220" s="26"/>
    </row>
    <row r="221">
      <c r="B221" s="26"/>
      <c r="C221" s="26"/>
      <c r="E221" s="26"/>
      <c r="I221" s="26"/>
      <c r="O221" s="26"/>
    </row>
    <row r="222">
      <c r="B222" s="26"/>
      <c r="C222" s="26"/>
      <c r="E222" s="26"/>
      <c r="I222" s="26"/>
      <c r="O222" s="26"/>
    </row>
    <row r="223">
      <c r="B223" s="26"/>
      <c r="C223" s="26"/>
      <c r="E223" s="26"/>
      <c r="I223" s="26"/>
      <c r="O223" s="26"/>
    </row>
    <row r="224">
      <c r="B224" s="26"/>
      <c r="C224" s="26"/>
      <c r="E224" s="26"/>
      <c r="I224" s="26"/>
      <c r="O224" s="26"/>
    </row>
    <row r="225">
      <c r="B225" s="26"/>
      <c r="C225" s="26"/>
      <c r="E225" s="26"/>
      <c r="I225" s="26"/>
      <c r="O225" s="26"/>
    </row>
    <row r="226">
      <c r="B226" s="26"/>
      <c r="C226" s="26"/>
      <c r="E226" s="26"/>
      <c r="I226" s="26"/>
      <c r="O226" s="26"/>
    </row>
    <row r="227">
      <c r="B227" s="26"/>
      <c r="C227" s="26"/>
      <c r="E227" s="26"/>
      <c r="I227" s="26"/>
      <c r="O227" s="26"/>
    </row>
    <row r="228">
      <c r="B228" s="26"/>
      <c r="C228" s="26"/>
      <c r="E228" s="26"/>
      <c r="I228" s="26"/>
      <c r="O228" s="26"/>
    </row>
    <row r="229">
      <c r="B229" s="26"/>
      <c r="C229" s="26"/>
      <c r="E229" s="26"/>
      <c r="I229" s="26"/>
      <c r="O229" s="26"/>
    </row>
    <row r="230">
      <c r="B230" s="26"/>
      <c r="C230" s="26"/>
      <c r="E230" s="26"/>
      <c r="I230" s="26"/>
      <c r="O230" s="26"/>
    </row>
    <row r="231">
      <c r="B231" s="26"/>
      <c r="C231" s="26"/>
      <c r="E231" s="26"/>
      <c r="I231" s="26"/>
      <c r="O231" s="26"/>
    </row>
    <row r="232">
      <c r="B232" s="26"/>
      <c r="C232" s="26"/>
      <c r="E232" s="26"/>
      <c r="I232" s="26"/>
      <c r="O232" s="26"/>
    </row>
    <row r="233">
      <c r="B233" s="26"/>
      <c r="C233" s="26"/>
      <c r="E233" s="26"/>
      <c r="I233" s="26"/>
      <c r="O233" s="26"/>
    </row>
    <row r="234">
      <c r="B234" s="26"/>
      <c r="C234" s="26"/>
      <c r="E234" s="26"/>
      <c r="I234" s="26"/>
      <c r="O234" s="26"/>
    </row>
    <row r="235">
      <c r="B235" s="26"/>
      <c r="C235" s="26"/>
      <c r="E235" s="26"/>
      <c r="I235" s="26"/>
      <c r="O235" s="26"/>
    </row>
    <row r="236">
      <c r="B236" s="26"/>
      <c r="C236" s="26"/>
      <c r="E236" s="26"/>
      <c r="I236" s="26"/>
      <c r="O236" s="26"/>
    </row>
    <row r="237">
      <c r="B237" s="26"/>
      <c r="C237" s="26"/>
      <c r="E237" s="26"/>
      <c r="I237" s="26"/>
      <c r="O237" s="26"/>
    </row>
    <row r="238">
      <c r="B238" s="26"/>
      <c r="C238" s="26"/>
      <c r="E238" s="26"/>
      <c r="I238" s="26"/>
      <c r="O238" s="26"/>
    </row>
    <row r="239">
      <c r="B239" s="26"/>
      <c r="C239" s="26"/>
      <c r="E239" s="26"/>
      <c r="I239" s="26"/>
      <c r="O239" s="26"/>
    </row>
    <row r="240">
      <c r="B240" s="26"/>
      <c r="C240" s="26"/>
      <c r="E240" s="26"/>
      <c r="I240" s="26"/>
      <c r="O240" s="26"/>
    </row>
    <row r="241">
      <c r="B241" s="26"/>
      <c r="C241" s="26"/>
      <c r="E241" s="26"/>
      <c r="I241" s="26"/>
      <c r="O241" s="26"/>
    </row>
    <row r="242">
      <c r="B242" s="26"/>
      <c r="C242" s="26"/>
      <c r="E242" s="26"/>
      <c r="I242" s="26"/>
      <c r="O242" s="26"/>
    </row>
    <row r="243">
      <c r="B243" s="26"/>
      <c r="C243" s="26"/>
      <c r="E243" s="26"/>
      <c r="I243" s="26"/>
      <c r="O243" s="26"/>
    </row>
    <row r="244">
      <c r="B244" s="26"/>
      <c r="C244" s="26"/>
      <c r="E244" s="26"/>
      <c r="I244" s="26"/>
      <c r="O244" s="26"/>
    </row>
    <row r="245">
      <c r="B245" s="26"/>
      <c r="C245" s="26"/>
      <c r="E245" s="26"/>
      <c r="I245" s="26"/>
      <c r="O245" s="26"/>
    </row>
    <row r="246">
      <c r="B246" s="26"/>
      <c r="C246" s="26"/>
      <c r="E246" s="26"/>
      <c r="I246" s="26"/>
      <c r="O246" s="26"/>
    </row>
    <row r="247">
      <c r="B247" s="26"/>
      <c r="C247" s="26"/>
      <c r="E247" s="26"/>
      <c r="I247" s="26"/>
      <c r="O247" s="26"/>
    </row>
    <row r="248">
      <c r="B248" s="26"/>
      <c r="C248" s="26"/>
      <c r="E248" s="26"/>
      <c r="I248" s="26"/>
      <c r="O248" s="26"/>
    </row>
    <row r="249">
      <c r="B249" s="26"/>
      <c r="C249" s="26"/>
      <c r="E249" s="26"/>
      <c r="I249" s="26"/>
      <c r="O249" s="26"/>
    </row>
    <row r="250">
      <c r="B250" s="26"/>
      <c r="C250" s="26"/>
      <c r="E250" s="26"/>
      <c r="I250" s="26"/>
      <c r="O250" s="26"/>
    </row>
    <row r="251">
      <c r="B251" s="26"/>
      <c r="C251" s="26"/>
      <c r="E251" s="26"/>
      <c r="I251" s="26"/>
      <c r="O251" s="26"/>
    </row>
    <row r="252">
      <c r="B252" s="26"/>
      <c r="C252" s="26"/>
      <c r="E252" s="26"/>
      <c r="I252" s="26"/>
      <c r="O252" s="26"/>
    </row>
    <row r="253">
      <c r="B253" s="26"/>
      <c r="C253" s="26"/>
      <c r="E253" s="26"/>
      <c r="I253" s="26"/>
      <c r="O253" s="26"/>
    </row>
    <row r="254">
      <c r="B254" s="26"/>
      <c r="C254" s="26"/>
      <c r="E254" s="26"/>
      <c r="I254" s="26"/>
      <c r="O254" s="26"/>
    </row>
    <row r="255">
      <c r="B255" s="26"/>
      <c r="C255" s="26"/>
      <c r="E255" s="26"/>
      <c r="I255" s="26"/>
      <c r="O255" s="26"/>
    </row>
    <row r="256">
      <c r="B256" s="26"/>
      <c r="C256" s="26"/>
      <c r="E256" s="26"/>
      <c r="I256" s="26"/>
      <c r="O256" s="26"/>
    </row>
    <row r="257">
      <c r="B257" s="26"/>
      <c r="C257" s="26"/>
      <c r="E257" s="26"/>
      <c r="I257" s="26"/>
      <c r="O257" s="26"/>
    </row>
    <row r="258">
      <c r="B258" s="26"/>
      <c r="C258" s="26"/>
      <c r="E258" s="26"/>
      <c r="I258" s="26"/>
      <c r="O258" s="26"/>
    </row>
    <row r="259">
      <c r="B259" s="26"/>
      <c r="C259" s="26"/>
      <c r="E259" s="26"/>
      <c r="I259" s="26"/>
      <c r="O259" s="26"/>
    </row>
    <row r="260">
      <c r="B260" s="26"/>
      <c r="C260" s="26"/>
      <c r="E260" s="26"/>
      <c r="I260" s="26"/>
      <c r="O260" s="26"/>
    </row>
    <row r="261">
      <c r="B261" s="26"/>
      <c r="C261" s="26"/>
      <c r="E261" s="26"/>
      <c r="I261" s="26"/>
      <c r="O261" s="26"/>
    </row>
    <row r="262">
      <c r="B262" s="26"/>
      <c r="C262" s="26"/>
      <c r="E262" s="26"/>
      <c r="I262" s="26"/>
      <c r="O262" s="26"/>
    </row>
    <row r="263">
      <c r="B263" s="26"/>
      <c r="C263" s="26"/>
      <c r="E263" s="26"/>
      <c r="I263" s="26"/>
      <c r="O263" s="26"/>
    </row>
    <row r="264">
      <c r="B264" s="26"/>
      <c r="C264" s="26"/>
      <c r="E264" s="26"/>
      <c r="I264" s="26"/>
      <c r="O264" s="26"/>
    </row>
    <row r="265">
      <c r="B265" s="26"/>
      <c r="C265" s="26"/>
      <c r="E265" s="26"/>
      <c r="I265" s="26"/>
      <c r="O265" s="26"/>
    </row>
    <row r="266">
      <c r="B266" s="26"/>
      <c r="C266" s="26"/>
      <c r="E266" s="26"/>
      <c r="I266" s="26"/>
      <c r="O266" s="26"/>
    </row>
    <row r="267">
      <c r="B267" s="26"/>
      <c r="C267" s="26"/>
      <c r="E267" s="26"/>
      <c r="I267" s="26"/>
      <c r="O267" s="26"/>
    </row>
    <row r="268">
      <c r="B268" s="26"/>
      <c r="C268" s="26"/>
      <c r="E268" s="26"/>
      <c r="I268" s="26"/>
      <c r="O268" s="26"/>
    </row>
    <row r="269">
      <c r="B269" s="26"/>
      <c r="C269" s="26"/>
      <c r="E269" s="26"/>
      <c r="I269" s="26"/>
      <c r="O269" s="26"/>
    </row>
    <row r="270">
      <c r="B270" s="26"/>
      <c r="C270" s="26"/>
      <c r="E270" s="26"/>
      <c r="I270" s="26"/>
      <c r="O270" s="26"/>
    </row>
    <row r="271">
      <c r="B271" s="26"/>
      <c r="C271" s="26"/>
      <c r="E271" s="26"/>
      <c r="I271" s="26"/>
      <c r="O271" s="26"/>
    </row>
    <row r="272">
      <c r="B272" s="26"/>
      <c r="C272" s="26"/>
      <c r="E272" s="26"/>
      <c r="I272" s="26"/>
      <c r="O272" s="26"/>
    </row>
    <row r="273">
      <c r="B273" s="26"/>
      <c r="C273" s="26"/>
      <c r="E273" s="26"/>
      <c r="I273" s="26"/>
      <c r="O273" s="26"/>
    </row>
    <row r="274">
      <c r="B274" s="26"/>
      <c r="C274" s="26"/>
      <c r="E274" s="26"/>
      <c r="I274" s="26"/>
      <c r="O274" s="26"/>
    </row>
    <row r="275">
      <c r="B275" s="26"/>
      <c r="C275" s="26"/>
      <c r="E275" s="26"/>
      <c r="I275" s="26"/>
      <c r="O275" s="26"/>
    </row>
    <row r="276">
      <c r="B276" s="26"/>
      <c r="C276" s="26"/>
      <c r="E276" s="26"/>
      <c r="I276" s="26"/>
      <c r="O276" s="26"/>
    </row>
    <row r="277">
      <c r="B277" s="26"/>
      <c r="C277" s="26"/>
      <c r="E277" s="26"/>
      <c r="I277" s="26"/>
      <c r="O277" s="26"/>
    </row>
    <row r="278">
      <c r="B278" s="26"/>
      <c r="C278" s="26"/>
      <c r="E278" s="26"/>
      <c r="I278" s="26"/>
      <c r="O278" s="26"/>
    </row>
    <row r="279">
      <c r="B279" s="26"/>
      <c r="C279" s="26"/>
      <c r="E279" s="26"/>
      <c r="I279" s="26"/>
      <c r="O279" s="26"/>
    </row>
    <row r="280">
      <c r="B280" s="26"/>
      <c r="C280" s="26"/>
      <c r="E280" s="26"/>
      <c r="I280" s="26"/>
      <c r="O280" s="26"/>
    </row>
    <row r="281">
      <c r="B281" s="26"/>
      <c r="C281" s="26"/>
      <c r="E281" s="26"/>
      <c r="I281" s="26"/>
      <c r="O281" s="26"/>
    </row>
    <row r="282">
      <c r="B282" s="26"/>
      <c r="C282" s="26"/>
      <c r="E282" s="26"/>
      <c r="I282" s="26"/>
      <c r="O282" s="26"/>
    </row>
    <row r="283">
      <c r="B283" s="26"/>
      <c r="C283" s="26"/>
      <c r="E283" s="26"/>
      <c r="I283" s="26"/>
      <c r="O283" s="26"/>
    </row>
    <row r="284">
      <c r="B284" s="26"/>
      <c r="C284" s="26"/>
      <c r="E284" s="26"/>
      <c r="I284" s="26"/>
      <c r="O284" s="26"/>
    </row>
    <row r="285">
      <c r="B285" s="26"/>
      <c r="C285" s="26"/>
      <c r="E285" s="26"/>
      <c r="I285" s="26"/>
      <c r="O285" s="26"/>
    </row>
    <row r="286">
      <c r="B286" s="26"/>
      <c r="C286" s="26"/>
      <c r="E286" s="26"/>
      <c r="I286" s="26"/>
      <c r="O286" s="26"/>
    </row>
    <row r="287">
      <c r="B287" s="26"/>
      <c r="C287" s="26"/>
      <c r="E287" s="26"/>
      <c r="I287" s="26"/>
      <c r="O287" s="26"/>
    </row>
    <row r="288">
      <c r="B288" s="26"/>
      <c r="C288" s="26"/>
      <c r="E288" s="26"/>
      <c r="I288" s="26"/>
      <c r="O288" s="26"/>
    </row>
    <row r="289">
      <c r="B289" s="26"/>
      <c r="C289" s="26"/>
      <c r="E289" s="26"/>
      <c r="I289" s="26"/>
      <c r="O289" s="26"/>
    </row>
    <row r="290">
      <c r="B290" s="26"/>
      <c r="C290" s="26"/>
      <c r="E290" s="26"/>
      <c r="I290" s="26"/>
      <c r="O290" s="26"/>
    </row>
    <row r="291">
      <c r="B291" s="26"/>
      <c r="C291" s="26"/>
      <c r="E291" s="26"/>
      <c r="I291" s="26"/>
      <c r="O291" s="26"/>
    </row>
    <row r="292">
      <c r="B292" s="26"/>
      <c r="C292" s="26"/>
      <c r="E292" s="26"/>
      <c r="I292" s="26"/>
      <c r="O292" s="26"/>
    </row>
    <row r="293">
      <c r="B293" s="26"/>
      <c r="C293" s="26"/>
      <c r="E293" s="26"/>
      <c r="I293" s="26"/>
      <c r="O293" s="26"/>
    </row>
    <row r="294">
      <c r="B294" s="26"/>
      <c r="C294" s="26"/>
      <c r="E294" s="26"/>
      <c r="I294" s="26"/>
      <c r="O294" s="26"/>
    </row>
    <row r="295">
      <c r="B295" s="26"/>
      <c r="C295" s="26"/>
      <c r="E295" s="26"/>
      <c r="I295" s="26"/>
      <c r="O295" s="26"/>
    </row>
    <row r="296">
      <c r="B296" s="26"/>
      <c r="C296" s="26"/>
      <c r="E296" s="26"/>
      <c r="I296" s="26"/>
      <c r="O296" s="26"/>
    </row>
    <row r="297">
      <c r="B297" s="26"/>
      <c r="C297" s="26"/>
      <c r="E297" s="26"/>
      <c r="I297" s="26"/>
      <c r="O297" s="26"/>
    </row>
    <row r="298">
      <c r="B298" s="26"/>
      <c r="C298" s="26"/>
      <c r="E298" s="26"/>
      <c r="I298" s="26"/>
      <c r="O298" s="26"/>
    </row>
    <row r="299">
      <c r="B299" s="26"/>
      <c r="C299" s="26"/>
      <c r="E299" s="26"/>
      <c r="I299" s="26"/>
      <c r="O299" s="26"/>
    </row>
    <row r="300">
      <c r="B300" s="26"/>
      <c r="C300" s="26"/>
      <c r="E300" s="26"/>
      <c r="I300" s="26"/>
      <c r="O300" s="26"/>
    </row>
    <row r="301">
      <c r="B301" s="26"/>
      <c r="C301" s="26"/>
      <c r="E301" s="26"/>
      <c r="I301" s="26"/>
      <c r="O301" s="26"/>
    </row>
    <row r="302">
      <c r="B302" s="26"/>
      <c r="C302" s="26"/>
      <c r="E302" s="26"/>
      <c r="I302" s="26"/>
      <c r="O302" s="26"/>
    </row>
    <row r="303">
      <c r="B303" s="26"/>
      <c r="C303" s="26"/>
      <c r="E303" s="26"/>
      <c r="I303" s="26"/>
      <c r="O303" s="26"/>
    </row>
    <row r="304">
      <c r="B304" s="26"/>
      <c r="C304" s="26"/>
      <c r="E304" s="26"/>
      <c r="I304" s="26"/>
      <c r="O304" s="26"/>
    </row>
    <row r="305">
      <c r="B305" s="26"/>
      <c r="C305" s="26"/>
      <c r="E305" s="26"/>
      <c r="I305" s="26"/>
      <c r="O305" s="26"/>
    </row>
    <row r="306">
      <c r="B306" s="26"/>
      <c r="C306" s="26"/>
      <c r="E306" s="26"/>
      <c r="I306" s="26"/>
      <c r="O306" s="26"/>
    </row>
    <row r="307">
      <c r="B307" s="26"/>
      <c r="C307" s="26"/>
      <c r="E307" s="26"/>
      <c r="I307" s="26"/>
      <c r="O307" s="26"/>
    </row>
    <row r="308">
      <c r="B308" s="26"/>
      <c r="C308" s="26"/>
      <c r="E308" s="26"/>
      <c r="I308" s="26"/>
      <c r="O308" s="26"/>
    </row>
    <row r="309">
      <c r="B309" s="26"/>
      <c r="C309" s="26"/>
      <c r="E309" s="26"/>
      <c r="I309" s="26"/>
      <c r="O309" s="26"/>
    </row>
    <row r="310">
      <c r="B310" s="26"/>
      <c r="C310" s="26"/>
      <c r="E310" s="26"/>
      <c r="I310" s="26"/>
      <c r="O310" s="26"/>
    </row>
    <row r="311">
      <c r="B311" s="26"/>
      <c r="C311" s="26"/>
      <c r="E311" s="26"/>
      <c r="I311" s="26"/>
      <c r="O311" s="26"/>
    </row>
    <row r="312">
      <c r="B312" s="26"/>
      <c r="C312" s="26"/>
      <c r="E312" s="26"/>
      <c r="I312" s="26"/>
      <c r="O312" s="26"/>
    </row>
    <row r="313">
      <c r="B313" s="26"/>
      <c r="C313" s="26"/>
      <c r="E313" s="26"/>
      <c r="I313" s="26"/>
      <c r="O313" s="26"/>
    </row>
    <row r="314">
      <c r="B314" s="26"/>
      <c r="C314" s="26"/>
      <c r="E314" s="26"/>
      <c r="I314" s="26"/>
      <c r="O314" s="26"/>
    </row>
    <row r="315">
      <c r="B315" s="26"/>
      <c r="C315" s="26"/>
      <c r="E315" s="26"/>
      <c r="I315" s="26"/>
      <c r="O315" s="26"/>
    </row>
    <row r="316">
      <c r="B316" s="26"/>
      <c r="C316" s="26"/>
      <c r="E316" s="26"/>
      <c r="I316" s="26"/>
      <c r="O316" s="26"/>
    </row>
    <row r="317">
      <c r="B317" s="26"/>
      <c r="C317" s="26"/>
      <c r="E317" s="26"/>
      <c r="I317" s="26"/>
      <c r="O317" s="26"/>
    </row>
    <row r="318">
      <c r="B318" s="26"/>
      <c r="C318" s="26"/>
      <c r="E318" s="26"/>
      <c r="I318" s="26"/>
      <c r="O318" s="26"/>
    </row>
    <row r="319">
      <c r="B319" s="26"/>
      <c r="C319" s="26"/>
      <c r="E319" s="26"/>
      <c r="I319" s="26"/>
      <c r="O319" s="26"/>
    </row>
    <row r="320">
      <c r="B320" s="26"/>
      <c r="C320" s="26"/>
      <c r="E320" s="26"/>
      <c r="I320" s="26"/>
      <c r="O320" s="26"/>
    </row>
    <row r="321">
      <c r="B321" s="26"/>
      <c r="C321" s="26"/>
      <c r="E321" s="26"/>
      <c r="I321" s="26"/>
      <c r="O321" s="26"/>
    </row>
    <row r="322">
      <c r="B322" s="26"/>
      <c r="C322" s="26"/>
      <c r="E322" s="26"/>
      <c r="I322" s="26"/>
      <c r="O322" s="26"/>
    </row>
    <row r="323">
      <c r="B323" s="26"/>
      <c r="C323" s="26"/>
      <c r="E323" s="26"/>
      <c r="I323" s="26"/>
      <c r="O323" s="26"/>
    </row>
    <row r="324">
      <c r="B324" s="26"/>
      <c r="C324" s="26"/>
      <c r="E324" s="26"/>
      <c r="I324" s="26"/>
      <c r="O324" s="26"/>
    </row>
    <row r="325">
      <c r="B325" s="26"/>
      <c r="C325" s="26"/>
      <c r="E325" s="26"/>
      <c r="I325" s="26"/>
      <c r="O325" s="26"/>
    </row>
    <row r="326">
      <c r="B326" s="26"/>
      <c r="C326" s="26"/>
      <c r="E326" s="26"/>
      <c r="I326" s="26"/>
      <c r="O326" s="26"/>
    </row>
    <row r="327">
      <c r="B327" s="26"/>
      <c r="C327" s="26"/>
      <c r="E327" s="26"/>
      <c r="I327" s="26"/>
      <c r="O327" s="26"/>
    </row>
    <row r="328">
      <c r="B328" s="26"/>
      <c r="C328" s="26"/>
      <c r="E328" s="26"/>
      <c r="I328" s="26"/>
      <c r="O328" s="26"/>
    </row>
    <row r="329">
      <c r="B329" s="26"/>
      <c r="C329" s="26"/>
      <c r="E329" s="26"/>
      <c r="I329" s="26"/>
      <c r="O329" s="26"/>
    </row>
    <row r="330">
      <c r="B330" s="26"/>
      <c r="C330" s="26"/>
      <c r="E330" s="26"/>
      <c r="I330" s="26"/>
      <c r="O330" s="26"/>
    </row>
    <row r="331">
      <c r="B331" s="26"/>
      <c r="C331" s="26"/>
      <c r="E331" s="26"/>
      <c r="I331" s="26"/>
      <c r="O331" s="26"/>
    </row>
    <row r="332">
      <c r="B332" s="26"/>
      <c r="C332" s="26"/>
      <c r="E332" s="26"/>
      <c r="I332" s="26"/>
      <c r="O332" s="26"/>
    </row>
    <row r="333">
      <c r="B333" s="26"/>
      <c r="C333" s="26"/>
      <c r="E333" s="26"/>
      <c r="I333" s="26"/>
      <c r="O333" s="26"/>
    </row>
    <row r="334">
      <c r="B334" s="26"/>
      <c r="C334" s="26"/>
      <c r="E334" s="26"/>
      <c r="I334" s="26"/>
      <c r="O334" s="26"/>
    </row>
    <row r="335">
      <c r="B335" s="26"/>
      <c r="C335" s="26"/>
      <c r="E335" s="26"/>
      <c r="I335" s="26"/>
      <c r="O335" s="26"/>
    </row>
    <row r="336">
      <c r="B336" s="26"/>
      <c r="C336" s="26"/>
      <c r="E336" s="26"/>
      <c r="I336" s="26"/>
      <c r="O336" s="26"/>
    </row>
    <row r="337">
      <c r="B337" s="26"/>
      <c r="C337" s="26"/>
      <c r="E337" s="26"/>
      <c r="I337" s="26"/>
      <c r="O337" s="26"/>
    </row>
    <row r="338">
      <c r="B338" s="26"/>
      <c r="C338" s="26"/>
      <c r="E338" s="26"/>
      <c r="I338" s="26"/>
      <c r="O338" s="26"/>
    </row>
    <row r="339">
      <c r="B339" s="26"/>
      <c r="C339" s="26"/>
      <c r="E339" s="26"/>
      <c r="I339" s="26"/>
      <c r="O339" s="26"/>
    </row>
    <row r="340">
      <c r="B340" s="26"/>
      <c r="C340" s="26"/>
      <c r="E340" s="26"/>
      <c r="I340" s="26"/>
      <c r="O340" s="26"/>
    </row>
    <row r="341">
      <c r="B341" s="26"/>
      <c r="C341" s="26"/>
      <c r="E341" s="26"/>
      <c r="I341" s="26"/>
      <c r="O341" s="26"/>
    </row>
    <row r="342">
      <c r="B342" s="26"/>
      <c r="C342" s="26"/>
      <c r="E342" s="26"/>
      <c r="I342" s="26"/>
      <c r="O342" s="26"/>
    </row>
    <row r="343">
      <c r="B343" s="26"/>
      <c r="C343" s="26"/>
      <c r="E343" s="26"/>
      <c r="I343" s="26"/>
      <c r="O343" s="26"/>
    </row>
    <row r="344">
      <c r="B344" s="26"/>
      <c r="C344" s="26"/>
      <c r="E344" s="26"/>
      <c r="I344" s="26"/>
      <c r="O344" s="26"/>
    </row>
    <row r="345">
      <c r="B345" s="26"/>
      <c r="C345" s="26"/>
      <c r="E345" s="26"/>
      <c r="I345" s="26"/>
      <c r="O345" s="26"/>
    </row>
    <row r="346">
      <c r="B346" s="26"/>
      <c r="C346" s="26"/>
      <c r="E346" s="26"/>
      <c r="I346" s="26"/>
      <c r="O346" s="26"/>
    </row>
    <row r="347">
      <c r="B347" s="26"/>
      <c r="C347" s="26"/>
      <c r="E347" s="26"/>
      <c r="I347" s="26"/>
      <c r="O347" s="26"/>
    </row>
    <row r="348">
      <c r="B348" s="26"/>
      <c r="C348" s="26"/>
      <c r="E348" s="26"/>
      <c r="I348" s="26"/>
      <c r="O348" s="26"/>
    </row>
    <row r="349">
      <c r="B349" s="26"/>
      <c r="C349" s="26"/>
      <c r="E349" s="26"/>
      <c r="I349" s="26"/>
      <c r="O349" s="26"/>
    </row>
    <row r="350">
      <c r="B350" s="26"/>
      <c r="C350" s="26"/>
      <c r="E350" s="26"/>
      <c r="I350" s="26"/>
      <c r="O350" s="26"/>
    </row>
    <row r="351">
      <c r="B351" s="26"/>
      <c r="C351" s="26"/>
      <c r="E351" s="26"/>
      <c r="I351" s="26"/>
      <c r="O351" s="26"/>
    </row>
    <row r="352">
      <c r="B352" s="26"/>
      <c r="C352" s="26"/>
      <c r="E352" s="26"/>
      <c r="I352" s="26"/>
      <c r="O352" s="26"/>
    </row>
    <row r="353">
      <c r="B353" s="26"/>
      <c r="C353" s="26"/>
      <c r="E353" s="26"/>
      <c r="I353" s="26"/>
      <c r="O353" s="26"/>
    </row>
    <row r="354">
      <c r="B354" s="26"/>
      <c r="C354" s="26"/>
      <c r="E354" s="26"/>
      <c r="I354" s="26"/>
      <c r="O354" s="26"/>
    </row>
    <row r="355">
      <c r="B355" s="26"/>
      <c r="C355" s="26"/>
      <c r="E355" s="26"/>
      <c r="I355" s="26"/>
      <c r="O355" s="26"/>
    </row>
    <row r="356">
      <c r="B356" s="26"/>
      <c r="C356" s="26"/>
      <c r="E356" s="26"/>
      <c r="I356" s="26"/>
      <c r="O356" s="26"/>
    </row>
    <row r="357">
      <c r="B357" s="26"/>
      <c r="C357" s="26"/>
      <c r="E357" s="26"/>
      <c r="I357" s="26"/>
      <c r="O357" s="26"/>
    </row>
    <row r="358">
      <c r="B358" s="26"/>
      <c r="C358" s="26"/>
      <c r="E358" s="26"/>
      <c r="I358" s="26"/>
      <c r="O358" s="26"/>
    </row>
    <row r="359">
      <c r="B359" s="26"/>
      <c r="C359" s="26"/>
      <c r="E359" s="26"/>
      <c r="I359" s="26"/>
      <c r="O359" s="26"/>
    </row>
    <row r="360">
      <c r="B360" s="26"/>
      <c r="C360" s="26"/>
      <c r="E360" s="26"/>
      <c r="I360" s="26"/>
      <c r="O360" s="26"/>
    </row>
    <row r="361">
      <c r="B361" s="26"/>
      <c r="C361" s="26"/>
      <c r="E361" s="26"/>
      <c r="I361" s="26"/>
      <c r="O361" s="26"/>
    </row>
    <row r="362">
      <c r="B362" s="26"/>
      <c r="C362" s="26"/>
      <c r="E362" s="26"/>
      <c r="I362" s="26"/>
      <c r="O362" s="26"/>
    </row>
    <row r="363">
      <c r="B363" s="26"/>
      <c r="C363" s="26"/>
      <c r="E363" s="26"/>
      <c r="I363" s="26"/>
      <c r="O363" s="26"/>
    </row>
    <row r="364">
      <c r="B364" s="26"/>
      <c r="C364" s="26"/>
      <c r="E364" s="26"/>
      <c r="I364" s="26"/>
      <c r="O364" s="26"/>
    </row>
    <row r="365">
      <c r="B365" s="26"/>
      <c r="C365" s="26"/>
      <c r="E365" s="26"/>
      <c r="I365" s="26"/>
      <c r="O365" s="26"/>
    </row>
    <row r="366">
      <c r="B366" s="26"/>
      <c r="C366" s="26"/>
      <c r="E366" s="26"/>
      <c r="I366" s="26"/>
      <c r="O366" s="26"/>
    </row>
    <row r="367">
      <c r="B367" s="26"/>
      <c r="C367" s="26"/>
      <c r="E367" s="26"/>
      <c r="I367" s="26"/>
      <c r="O367" s="26"/>
    </row>
    <row r="368">
      <c r="B368" s="26"/>
      <c r="C368" s="26"/>
      <c r="E368" s="26"/>
      <c r="I368" s="26"/>
      <c r="O368" s="26"/>
    </row>
    <row r="369">
      <c r="B369" s="26"/>
      <c r="C369" s="26"/>
      <c r="E369" s="26"/>
      <c r="I369" s="26"/>
      <c r="O369" s="26"/>
    </row>
    <row r="370">
      <c r="B370" s="26"/>
      <c r="C370" s="26"/>
      <c r="E370" s="26"/>
      <c r="I370" s="26"/>
      <c r="O370" s="26"/>
    </row>
    <row r="371">
      <c r="B371" s="26"/>
      <c r="C371" s="26"/>
      <c r="E371" s="26"/>
      <c r="I371" s="26"/>
      <c r="O371" s="26"/>
    </row>
    <row r="372">
      <c r="B372" s="26"/>
      <c r="C372" s="26"/>
      <c r="E372" s="26"/>
      <c r="I372" s="26"/>
      <c r="O372" s="26"/>
    </row>
    <row r="373">
      <c r="B373" s="26"/>
      <c r="C373" s="26"/>
      <c r="E373" s="26"/>
      <c r="I373" s="26"/>
      <c r="O373" s="26"/>
    </row>
    <row r="374">
      <c r="B374" s="26"/>
      <c r="C374" s="26"/>
      <c r="E374" s="26"/>
      <c r="I374" s="26"/>
      <c r="O374" s="26"/>
    </row>
    <row r="375">
      <c r="B375" s="26"/>
      <c r="C375" s="26"/>
      <c r="E375" s="26"/>
      <c r="I375" s="26"/>
      <c r="O375" s="26"/>
    </row>
    <row r="376">
      <c r="B376" s="26"/>
      <c r="C376" s="26"/>
      <c r="E376" s="26"/>
      <c r="I376" s="26"/>
      <c r="O376" s="26"/>
    </row>
    <row r="377">
      <c r="B377" s="26"/>
      <c r="C377" s="26"/>
      <c r="E377" s="26"/>
      <c r="I377" s="26"/>
      <c r="O377" s="26"/>
    </row>
    <row r="378">
      <c r="B378" s="26"/>
      <c r="C378" s="26"/>
      <c r="E378" s="26"/>
      <c r="I378" s="26"/>
      <c r="O378" s="26"/>
    </row>
    <row r="379">
      <c r="B379" s="26"/>
      <c r="C379" s="26"/>
      <c r="E379" s="26"/>
      <c r="I379" s="26"/>
      <c r="O379" s="26"/>
    </row>
    <row r="380">
      <c r="B380" s="26"/>
      <c r="C380" s="26"/>
      <c r="E380" s="26"/>
      <c r="I380" s="26"/>
      <c r="O380" s="26"/>
    </row>
    <row r="381">
      <c r="B381" s="26"/>
      <c r="C381" s="26"/>
      <c r="E381" s="26"/>
      <c r="I381" s="26"/>
      <c r="O381" s="26"/>
    </row>
    <row r="382">
      <c r="B382" s="26"/>
      <c r="C382" s="26"/>
      <c r="E382" s="26"/>
      <c r="I382" s="26"/>
      <c r="O382" s="26"/>
    </row>
    <row r="383">
      <c r="B383" s="26"/>
      <c r="C383" s="26"/>
      <c r="E383" s="26"/>
      <c r="I383" s="26"/>
      <c r="O383" s="26"/>
    </row>
    <row r="384">
      <c r="B384" s="26"/>
      <c r="C384" s="26"/>
      <c r="E384" s="26"/>
      <c r="I384" s="26"/>
      <c r="O384" s="26"/>
    </row>
    <row r="385">
      <c r="B385" s="26"/>
      <c r="C385" s="26"/>
      <c r="E385" s="26"/>
      <c r="I385" s="26"/>
      <c r="O385" s="26"/>
    </row>
    <row r="386">
      <c r="B386" s="26"/>
      <c r="C386" s="26"/>
      <c r="E386" s="26"/>
      <c r="I386" s="26"/>
      <c r="O386" s="26"/>
    </row>
    <row r="387">
      <c r="B387" s="26"/>
      <c r="C387" s="26"/>
      <c r="E387" s="26"/>
      <c r="I387" s="26"/>
      <c r="O387" s="26"/>
    </row>
    <row r="388">
      <c r="B388" s="26"/>
      <c r="C388" s="26"/>
      <c r="E388" s="26"/>
      <c r="I388" s="26"/>
      <c r="O388" s="26"/>
    </row>
    <row r="389">
      <c r="B389" s="26"/>
      <c r="C389" s="26"/>
      <c r="E389" s="26"/>
      <c r="I389" s="26"/>
      <c r="O389" s="26"/>
    </row>
    <row r="390">
      <c r="B390" s="26"/>
      <c r="C390" s="26"/>
      <c r="E390" s="26"/>
      <c r="I390" s="26"/>
      <c r="O390" s="26"/>
    </row>
    <row r="391">
      <c r="B391" s="26"/>
      <c r="C391" s="26"/>
      <c r="E391" s="26"/>
      <c r="I391" s="26"/>
      <c r="O391" s="26"/>
    </row>
    <row r="392">
      <c r="B392" s="26"/>
      <c r="C392" s="26"/>
      <c r="E392" s="26"/>
      <c r="I392" s="26"/>
      <c r="O392" s="26"/>
    </row>
    <row r="393">
      <c r="B393" s="26"/>
      <c r="C393" s="26"/>
      <c r="E393" s="26"/>
      <c r="I393" s="26"/>
      <c r="O393" s="26"/>
    </row>
    <row r="394">
      <c r="B394" s="26"/>
      <c r="C394" s="26"/>
      <c r="E394" s="26"/>
      <c r="I394" s="26"/>
      <c r="O394" s="26"/>
    </row>
    <row r="395">
      <c r="B395" s="26"/>
      <c r="C395" s="26"/>
      <c r="E395" s="26"/>
      <c r="I395" s="26"/>
      <c r="O395" s="26"/>
    </row>
    <row r="396">
      <c r="B396" s="26"/>
      <c r="C396" s="26"/>
      <c r="E396" s="26"/>
      <c r="I396" s="26"/>
      <c r="O396" s="26"/>
    </row>
    <row r="397">
      <c r="B397" s="26"/>
      <c r="C397" s="26"/>
      <c r="E397" s="26"/>
      <c r="I397" s="26"/>
      <c r="O397" s="26"/>
    </row>
    <row r="398">
      <c r="B398" s="26"/>
      <c r="C398" s="26"/>
      <c r="E398" s="26"/>
      <c r="I398" s="26"/>
      <c r="O398" s="26"/>
    </row>
    <row r="399">
      <c r="B399" s="26"/>
      <c r="C399" s="26"/>
      <c r="E399" s="26"/>
      <c r="I399" s="26"/>
      <c r="O399" s="26"/>
    </row>
    <row r="400">
      <c r="B400" s="26"/>
      <c r="C400" s="26"/>
      <c r="E400" s="26"/>
      <c r="I400" s="26"/>
      <c r="O400" s="26"/>
    </row>
    <row r="401">
      <c r="B401" s="26"/>
      <c r="C401" s="26"/>
      <c r="E401" s="26"/>
      <c r="I401" s="26"/>
      <c r="O401" s="26"/>
    </row>
    <row r="402">
      <c r="B402" s="26"/>
      <c r="C402" s="26"/>
      <c r="E402" s="26"/>
      <c r="I402" s="26"/>
      <c r="O402" s="26"/>
    </row>
    <row r="403">
      <c r="B403" s="26"/>
      <c r="C403" s="26"/>
      <c r="E403" s="26"/>
      <c r="I403" s="26"/>
      <c r="O403" s="26"/>
    </row>
    <row r="404">
      <c r="B404" s="26"/>
      <c r="C404" s="26"/>
      <c r="E404" s="26"/>
      <c r="I404" s="26"/>
      <c r="O404" s="26"/>
    </row>
    <row r="405">
      <c r="B405" s="26"/>
      <c r="C405" s="26"/>
      <c r="E405" s="26"/>
      <c r="I405" s="26"/>
      <c r="O405" s="26"/>
    </row>
    <row r="406">
      <c r="B406" s="26"/>
      <c r="C406" s="26"/>
      <c r="E406" s="26"/>
      <c r="I406" s="26"/>
      <c r="O406" s="26"/>
    </row>
    <row r="407">
      <c r="B407" s="26"/>
      <c r="C407" s="26"/>
      <c r="E407" s="26"/>
      <c r="I407" s="26"/>
      <c r="O407" s="26"/>
    </row>
    <row r="408">
      <c r="B408" s="26"/>
      <c r="C408" s="26"/>
      <c r="E408" s="26"/>
      <c r="I408" s="26"/>
      <c r="O408" s="26"/>
    </row>
    <row r="409">
      <c r="B409" s="26"/>
      <c r="C409" s="26"/>
      <c r="E409" s="26"/>
      <c r="I409" s="26"/>
      <c r="O409" s="26"/>
    </row>
    <row r="410">
      <c r="B410" s="26"/>
      <c r="C410" s="26"/>
      <c r="E410" s="26"/>
      <c r="I410" s="26"/>
      <c r="O410" s="26"/>
    </row>
    <row r="411">
      <c r="B411" s="26"/>
      <c r="C411" s="26"/>
      <c r="E411" s="26"/>
      <c r="I411" s="26"/>
      <c r="O411" s="26"/>
    </row>
    <row r="412">
      <c r="B412" s="26"/>
      <c r="C412" s="26"/>
      <c r="E412" s="26"/>
      <c r="I412" s="26"/>
      <c r="O412" s="26"/>
    </row>
    <row r="413">
      <c r="B413" s="26"/>
      <c r="C413" s="26"/>
      <c r="E413" s="26"/>
      <c r="I413" s="26"/>
      <c r="O413" s="26"/>
    </row>
    <row r="414">
      <c r="B414" s="26"/>
      <c r="C414" s="26"/>
      <c r="E414" s="26"/>
      <c r="I414" s="26"/>
      <c r="O414" s="26"/>
    </row>
    <row r="415">
      <c r="B415" s="26"/>
      <c r="C415" s="26"/>
      <c r="E415" s="26"/>
      <c r="I415" s="26"/>
      <c r="O415" s="26"/>
    </row>
    <row r="416">
      <c r="B416" s="26"/>
      <c r="C416" s="26"/>
      <c r="E416" s="26"/>
      <c r="I416" s="26"/>
      <c r="O416" s="26"/>
    </row>
    <row r="417">
      <c r="B417" s="26"/>
      <c r="C417" s="26"/>
      <c r="E417" s="26"/>
      <c r="I417" s="26"/>
      <c r="O417" s="26"/>
    </row>
    <row r="418">
      <c r="B418" s="26"/>
      <c r="C418" s="26"/>
      <c r="E418" s="26"/>
      <c r="I418" s="26"/>
      <c r="O418" s="26"/>
    </row>
    <row r="419">
      <c r="B419" s="26"/>
      <c r="C419" s="26"/>
      <c r="E419" s="26"/>
      <c r="I419" s="26"/>
      <c r="O419" s="26"/>
    </row>
    <row r="420">
      <c r="B420" s="26"/>
      <c r="C420" s="26"/>
      <c r="E420" s="26"/>
      <c r="I420" s="26"/>
      <c r="O420" s="26"/>
    </row>
    <row r="421">
      <c r="B421" s="26"/>
      <c r="C421" s="26"/>
      <c r="E421" s="26"/>
      <c r="I421" s="26"/>
      <c r="O421" s="26"/>
    </row>
    <row r="422">
      <c r="B422" s="26"/>
      <c r="C422" s="26"/>
      <c r="E422" s="26"/>
      <c r="I422" s="26"/>
      <c r="O422" s="26"/>
    </row>
    <row r="423">
      <c r="B423" s="26"/>
      <c r="C423" s="26"/>
      <c r="E423" s="26"/>
      <c r="I423" s="26"/>
      <c r="O423" s="26"/>
    </row>
    <row r="424">
      <c r="B424" s="26"/>
      <c r="C424" s="26"/>
      <c r="E424" s="26"/>
      <c r="I424" s="26"/>
      <c r="O424" s="26"/>
    </row>
    <row r="425">
      <c r="B425" s="26"/>
      <c r="C425" s="26"/>
      <c r="E425" s="26"/>
      <c r="I425" s="26"/>
      <c r="O425" s="26"/>
    </row>
    <row r="426">
      <c r="B426" s="26"/>
      <c r="C426" s="26"/>
      <c r="E426" s="26"/>
      <c r="I426" s="26"/>
      <c r="O426" s="26"/>
    </row>
    <row r="427">
      <c r="B427" s="26"/>
      <c r="C427" s="26"/>
      <c r="E427" s="26"/>
      <c r="I427" s="26"/>
      <c r="O427" s="26"/>
    </row>
    <row r="428">
      <c r="B428" s="26"/>
      <c r="C428" s="26"/>
      <c r="E428" s="26"/>
      <c r="I428" s="26"/>
      <c r="O428" s="26"/>
    </row>
    <row r="429">
      <c r="B429" s="26"/>
      <c r="C429" s="26"/>
      <c r="E429" s="26"/>
      <c r="I429" s="26"/>
      <c r="O429" s="26"/>
    </row>
    <row r="430">
      <c r="B430" s="26"/>
      <c r="C430" s="26"/>
      <c r="E430" s="26"/>
      <c r="I430" s="26"/>
      <c r="O430" s="26"/>
    </row>
    <row r="431">
      <c r="B431" s="26"/>
      <c r="C431" s="26"/>
      <c r="E431" s="26"/>
      <c r="I431" s="26"/>
      <c r="O431" s="26"/>
    </row>
    <row r="432">
      <c r="B432" s="26"/>
      <c r="C432" s="26"/>
      <c r="E432" s="26"/>
      <c r="I432" s="26"/>
      <c r="O432" s="26"/>
    </row>
    <row r="433">
      <c r="B433" s="26"/>
      <c r="C433" s="26"/>
      <c r="E433" s="26"/>
      <c r="I433" s="26"/>
      <c r="O433" s="26"/>
    </row>
    <row r="434">
      <c r="B434" s="26"/>
      <c r="C434" s="26"/>
      <c r="E434" s="26"/>
      <c r="I434" s="26"/>
      <c r="O434" s="26"/>
    </row>
    <row r="435">
      <c r="B435" s="26"/>
      <c r="C435" s="26"/>
      <c r="E435" s="26"/>
      <c r="I435" s="26"/>
      <c r="O435" s="26"/>
    </row>
    <row r="436">
      <c r="B436" s="26"/>
      <c r="C436" s="26"/>
      <c r="E436" s="26"/>
      <c r="I436" s="26"/>
      <c r="O436" s="26"/>
    </row>
    <row r="437">
      <c r="B437" s="26"/>
      <c r="C437" s="26"/>
      <c r="E437" s="26"/>
      <c r="I437" s="26"/>
      <c r="O437" s="26"/>
    </row>
    <row r="438">
      <c r="B438" s="26"/>
      <c r="C438" s="26"/>
      <c r="E438" s="26"/>
      <c r="I438" s="26"/>
      <c r="O438" s="26"/>
    </row>
    <row r="439">
      <c r="B439" s="26"/>
      <c r="C439" s="26"/>
      <c r="E439" s="26"/>
      <c r="I439" s="26"/>
      <c r="O439" s="26"/>
    </row>
    <row r="440">
      <c r="B440" s="26"/>
      <c r="C440" s="26"/>
      <c r="E440" s="26"/>
      <c r="I440" s="26"/>
      <c r="O440" s="26"/>
    </row>
    <row r="441">
      <c r="B441" s="26"/>
      <c r="C441" s="26"/>
      <c r="E441" s="26"/>
      <c r="I441" s="26"/>
      <c r="O441" s="26"/>
    </row>
    <row r="442">
      <c r="B442" s="26"/>
      <c r="C442" s="26"/>
      <c r="E442" s="26"/>
      <c r="I442" s="26"/>
      <c r="O442" s="26"/>
    </row>
    <row r="443">
      <c r="B443" s="26"/>
      <c r="C443" s="26"/>
      <c r="E443" s="26"/>
      <c r="I443" s="26"/>
      <c r="O443" s="26"/>
    </row>
    <row r="444">
      <c r="B444" s="26"/>
      <c r="C444" s="26"/>
      <c r="E444" s="26"/>
      <c r="I444" s="26"/>
      <c r="O444" s="26"/>
    </row>
    <row r="445">
      <c r="B445" s="26"/>
      <c r="C445" s="26"/>
      <c r="E445" s="26"/>
      <c r="I445" s="26"/>
      <c r="O445" s="26"/>
    </row>
    <row r="446">
      <c r="B446" s="26"/>
      <c r="C446" s="26"/>
      <c r="E446" s="26"/>
      <c r="I446" s="26"/>
      <c r="O446" s="26"/>
    </row>
    <row r="447">
      <c r="B447" s="26"/>
      <c r="C447" s="26"/>
      <c r="E447" s="26"/>
      <c r="I447" s="26"/>
      <c r="O447" s="26"/>
    </row>
    <row r="448">
      <c r="B448" s="26"/>
      <c r="C448" s="26"/>
      <c r="E448" s="26"/>
      <c r="I448" s="26"/>
      <c r="O448" s="26"/>
    </row>
    <row r="449">
      <c r="B449" s="26"/>
      <c r="C449" s="26"/>
      <c r="E449" s="26"/>
      <c r="I449" s="26"/>
      <c r="O449" s="26"/>
    </row>
    <row r="450">
      <c r="B450" s="26"/>
      <c r="C450" s="26"/>
      <c r="E450" s="26"/>
      <c r="I450" s="26"/>
      <c r="O450" s="26"/>
    </row>
    <row r="451">
      <c r="B451" s="26"/>
      <c r="C451" s="26"/>
      <c r="E451" s="26"/>
      <c r="I451" s="26"/>
      <c r="O451" s="26"/>
    </row>
    <row r="452">
      <c r="B452" s="26"/>
      <c r="C452" s="26"/>
      <c r="E452" s="26"/>
      <c r="I452" s="26"/>
      <c r="O452" s="26"/>
    </row>
    <row r="453">
      <c r="B453" s="26"/>
      <c r="C453" s="26"/>
      <c r="E453" s="26"/>
      <c r="I453" s="26"/>
      <c r="O453" s="26"/>
    </row>
    <row r="454">
      <c r="B454" s="26"/>
      <c r="C454" s="26"/>
      <c r="E454" s="26"/>
      <c r="I454" s="26"/>
      <c r="O454" s="26"/>
    </row>
    <row r="455">
      <c r="B455" s="26"/>
      <c r="C455" s="26"/>
      <c r="E455" s="26"/>
      <c r="I455" s="26"/>
      <c r="O455" s="26"/>
    </row>
    <row r="456">
      <c r="B456" s="26"/>
      <c r="C456" s="26"/>
      <c r="E456" s="26"/>
      <c r="I456" s="26"/>
      <c r="O456" s="26"/>
    </row>
    <row r="457">
      <c r="B457" s="26"/>
      <c r="C457" s="26"/>
      <c r="E457" s="26"/>
      <c r="I457" s="26"/>
      <c r="O457" s="26"/>
    </row>
    <row r="458">
      <c r="B458" s="26"/>
      <c r="C458" s="26"/>
      <c r="E458" s="26"/>
      <c r="I458" s="26"/>
      <c r="O458" s="26"/>
    </row>
    <row r="459">
      <c r="B459" s="26"/>
      <c r="C459" s="26"/>
      <c r="E459" s="26"/>
      <c r="I459" s="26"/>
      <c r="O459" s="26"/>
    </row>
    <row r="460">
      <c r="B460" s="26"/>
      <c r="C460" s="26"/>
      <c r="E460" s="26"/>
      <c r="I460" s="26"/>
      <c r="O460" s="26"/>
    </row>
    <row r="461">
      <c r="B461" s="26"/>
      <c r="C461" s="26"/>
      <c r="E461" s="26"/>
      <c r="I461" s="26"/>
      <c r="O461" s="26"/>
    </row>
    <row r="462">
      <c r="B462" s="26"/>
      <c r="C462" s="26"/>
      <c r="E462" s="26"/>
      <c r="I462" s="26"/>
      <c r="O462" s="26"/>
    </row>
    <row r="463">
      <c r="B463" s="26"/>
      <c r="C463" s="26"/>
      <c r="E463" s="26"/>
      <c r="I463" s="26"/>
      <c r="O463" s="26"/>
    </row>
    <row r="464">
      <c r="B464" s="26"/>
      <c r="C464" s="26"/>
      <c r="E464" s="26"/>
      <c r="I464" s="26"/>
      <c r="O464" s="26"/>
    </row>
    <row r="465">
      <c r="B465" s="26"/>
      <c r="C465" s="26"/>
      <c r="E465" s="26"/>
      <c r="I465" s="26"/>
      <c r="O465" s="26"/>
    </row>
    <row r="466">
      <c r="B466" s="26"/>
      <c r="C466" s="26"/>
      <c r="E466" s="26"/>
      <c r="I466" s="26"/>
      <c r="O466" s="26"/>
    </row>
    <row r="467">
      <c r="B467" s="26"/>
      <c r="C467" s="26"/>
      <c r="E467" s="26"/>
      <c r="I467" s="26"/>
      <c r="O467" s="26"/>
    </row>
    <row r="468">
      <c r="B468" s="26"/>
      <c r="C468" s="26"/>
      <c r="E468" s="26"/>
      <c r="I468" s="26"/>
      <c r="O468" s="26"/>
    </row>
    <row r="469">
      <c r="B469" s="26"/>
      <c r="C469" s="26"/>
      <c r="E469" s="26"/>
      <c r="I469" s="26"/>
      <c r="O469" s="26"/>
    </row>
    <row r="470">
      <c r="B470" s="26"/>
      <c r="C470" s="26"/>
      <c r="E470" s="26"/>
      <c r="I470" s="26"/>
      <c r="O470" s="26"/>
    </row>
    <row r="471">
      <c r="B471" s="26"/>
      <c r="C471" s="26"/>
      <c r="E471" s="26"/>
      <c r="I471" s="26"/>
      <c r="O471" s="26"/>
    </row>
    <row r="472">
      <c r="B472" s="26"/>
      <c r="C472" s="26"/>
      <c r="E472" s="26"/>
      <c r="I472" s="26"/>
      <c r="O472" s="26"/>
    </row>
    <row r="473">
      <c r="B473" s="26"/>
      <c r="C473" s="26"/>
      <c r="E473" s="26"/>
      <c r="I473" s="26"/>
      <c r="O473" s="26"/>
    </row>
    <row r="474">
      <c r="B474" s="26"/>
      <c r="C474" s="26"/>
      <c r="E474" s="26"/>
      <c r="I474" s="26"/>
      <c r="O474" s="26"/>
    </row>
    <row r="475">
      <c r="B475" s="26"/>
      <c r="C475" s="26"/>
      <c r="E475" s="26"/>
      <c r="I475" s="26"/>
      <c r="O475" s="26"/>
    </row>
    <row r="476">
      <c r="B476" s="26"/>
      <c r="C476" s="26"/>
      <c r="E476" s="26"/>
      <c r="I476" s="26"/>
      <c r="O476" s="26"/>
    </row>
    <row r="477">
      <c r="B477" s="26"/>
      <c r="C477" s="26"/>
      <c r="E477" s="26"/>
      <c r="I477" s="26"/>
      <c r="O477" s="26"/>
    </row>
    <row r="478">
      <c r="B478" s="26"/>
      <c r="C478" s="26"/>
      <c r="E478" s="26"/>
      <c r="I478" s="26"/>
      <c r="O478" s="26"/>
    </row>
    <row r="479">
      <c r="B479" s="26"/>
      <c r="C479" s="26"/>
      <c r="E479" s="26"/>
      <c r="I479" s="26"/>
      <c r="O479" s="26"/>
    </row>
    <row r="480">
      <c r="B480" s="26"/>
      <c r="C480" s="26"/>
      <c r="E480" s="26"/>
      <c r="I480" s="26"/>
      <c r="O480" s="26"/>
    </row>
    <row r="481">
      <c r="B481" s="26"/>
      <c r="C481" s="26"/>
      <c r="E481" s="26"/>
      <c r="I481" s="26"/>
      <c r="O481" s="26"/>
    </row>
    <row r="482">
      <c r="B482" s="26"/>
      <c r="C482" s="26"/>
      <c r="E482" s="26"/>
      <c r="I482" s="26"/>
      <c r="O482" s="26"/>
    </row>
    <row r="483">
      <c r="B483" s="26"/>
      <c r="C483" s="26"/>
      <c r="E483" s="26"/>
      <c r="I483" s="26"/>
      <c r="O483" s="26"/>
    </row>
    <row r="484">
      <c r="B484" s="26"/>
      <c r="C484" s="26"/>
      <c r="E484" s="26"/>
      <c r="I484" s="26"/>
      <c r="O484" s="26"/>
    </row>
    <row r="485">
      <c r="B485" s="26"/>
      <c r="C485" s="26"/>
      <c r="E485" s="26"/>
      <c r="I485" s="26"/>
      <c r="O485" s="26"/>
    </row>
    <row r="486">
      <c r="B486" s="26"/>
      <c r="C486" s="26"/>
      <c r="E486" s="26"/>
      <c r="I486" s="26"/>
      <c r="O486" s="26"/>
    </row>
    <row r="487">
      <c r="B487" s="26"/>
      <c r="C487" s="26"/>
      <c r="E487" s="26"/>
      <c r="I487" s="26"/>
      <c r="O487" s="26"/>
    </row>
    <row r="488">
      <c r="B488" s="26"/>
      <c r="C488" s="26"/>
      <c r="E488" s="26"/>
      <c r="I488" s="26"/>
      <c r="O488" s="26"/>
    </row>
    <row r="489">
      <c r="B489" s="26"/>
      <c r="C489" s="26"/>
      <c r="E489" s="26"/>
      <c r="I489" s="26"/>
      <c r="O489" s="26"/>
    </row>
    <row r="490">
      <c r="B490" s="26"/>
      <c r="C490" s="26"/>
      <c r="E490" s="26"/>
      <c r="I490" s="26"/>
      <c r="O490" s="26"/>
    </row>
    <row r="491">
      <c r="B491" s="26"/>
      <c r="C491" s="26"/>
      <c r="E491" s="26"/>
      <c r="I491" s="26"/>
      <c r="O491" s="26"/>
    </row>
    <row r="492">
      <c r="B492" s="26"/>
      <c r="C492" s="26"/>
      <c r="E492" s="26"/>
      <c r="I492" s="26"/>
      <c r="O492" s="26"/>
    </row>
    <row r="493">
      <c r="B493" s="26"/>
      <c r="C493" s="26"/>
      <c r="E493" s="26"/>
      <c r="I493" s="26"/>
      <c r="O493" s="26"/>
    </row>
    <row r="494">
      <c r="B494" s="26"/>
      <c r="C494" s="26"/>
      <c r="E494" s="26"/>
      <c r="I494" s="26"/>
      <c r="O494" s="26"/>
    </row>
    <row r="495">
      <c r="B495" s="26"/>
      <c r="C495" s="26"/>
      <c r="E495" s="26"/>
      <c r="I495" s="26"/>
      <c r="O495" s="26"/>
    </row>
    <row r="496">
      <c r="B496" s="26"/>
      <c r="C496" s="26"/>
      <c r="E496" s="26"/>
      <c r="I496" s="26"/>
      <c r="O496" s="26"/>
    </row>
    <row r="497">
      <c r="B497" s="26"/>
      <c r="C497" s="26"/>
      <c r="E497" s="26"/>
      <c r="I497" s="26"/>
      <c r="O497" s="26"/>
    </row>
    <row r="498">
      <c r="B498" s="26"/>
      <c r="C498" s="26"/>
      <c r="E498" s="26"/>
      <c r="I498" s="26"/>
      <c r="O498" s="26"/>
    </row>
    <row r="499">
      <c r="B499" s="26"/>
      <c r="C499" s="26"/>
      <c r="E499" s="26"/>
      <c r="I499" s="26"/>
      <c r="O499" s="26"/>
    </row>
    <row r="500">
      <c r="B500" s="26"/>
      <c r="C500" s="26"/>
      <c r="E500" s="26"/>
      <c r="I500" s="26"/>
      <c r="O500" s="26"/>
    </row>
    <row r="501">
      <c r="B501" s="26"/>
      <c r="C501" s="26"/>
      <c r="E501" s="26"/>
      <c r="I501" s="26"/>
      <c r="O501" s="26"/>
    </row>
    <row r="502">
      <c r="B502" s="26"/>
      <c r="C502" s="26"/>
      <c r="E502" s="26"/>
      <c r="I502" s="26"/>
      <c r="O502" s="26"/>
    </row>
    <row r="503">
      <c r="B503" s="26"/>
      <c r="C503" s="26"/>
      <c r="E503" s="26"/>
      <c r="I503" s="26"/>
      <c r="O503" s="26"/>
    </row>
    <row r="504">
      <c r="B504" s="26"/>
      <c r="C504" s="26"/>
      <c r="E504" s="26"/>
      <c r="I504" s="26"/>
      <c r="O504" s="26"/>
    </row>
    <row r="505">
      <c r="B505" s="26"/>
      <c r="C505" s="26"/>
      <c r="E505" s="26"/>
      <c r="I505" s="26"/>
      <c r="O505" s="26"/>
    </row>
    <row r="506">
      <c r="B506" s="26"/>
      <c r="C506" s="26"/>
      <c r="E506" s="26"/>
      <c r="I506" s="26"/>
      <c r="O506" s="26"/>
    </row>
    <row r="507">
      <c r="B507" s="26"/>
      <c r="C507" s="26"/>
      <c r="E507" s="26"/>
      <c r="I507" s="26"/>
      <c r="O507" s="26"/>
    </row>
    <row r="508">
      <c r="B508" s="26"/>
      <c r="C508" s="26"/>
      <c r="E508" s="26"/>
      <c r="I508" s="26"/>
      <c r="O508" s="26"/>
    </row>
    <row r="509">
      <c r="B509" s="26"/>
      <c r="C509" s="26"/>
      <c r="E509" s="26"/>
      <c r="I509" s="26"/>
      <c r="O509" s="26"/>
    </row>
    <row r="510">
      <c r="B510" s="26"/>
      <c r="C510" s="26"/>
      <c r="E510" s="26"/>
      <c r="I510" s="26"/>
      <c r="O510" s="26"/>
    </row>
    <row r="511">
      <c r="B511" s="26"/>
      <c r="C511" s="26"/>
      <c r="E511" s="26"/>
      <c r="I511" s="26"/>
      <c r="O511" s="26"/>
    </row>
    <row r="512">
      <c r="B512" s="26"/>
      <c r="C512" s="26"/>
      <c r="E512" s="26"/>
      <c r="I512" s="26"/>
      <c r="O512" s="26"/>
    </row>
    <row r="513">
      <c r="B513" s="26"/>
      <c r="C513" s="26"/>
      <c r="E513" s="26"/>
      <c r="I513" s="26"/>
      <c r="O513" s="26"/>
    </row>
    <row r="514">
      <c r="B514" s="26"/>
      <c r="C514" s="26"/>
      <c r="E514" s="26"/>
      <c r="I514" s="26"/>
      <c r="O514" s="26"/>
    </row>
    <row r="515">
      <c r="B515" s="26"/>
      <c r="C515" s="26"/>
      <c r="E515" s="26"/>
      <c r="I515" s="26"/>
      <c r="O515" s="26"/>
    </row>
    <row r="516">
      <c r="B516" s="26"/>
      <c r="C516" s="26"/>
      <c r="E516" s="26"/>
      <c r="I516" s="26"/>
      <c r="O516" s="26"/>
    </row>
    <row r="517">
      <c r="B517" s="26"/>
      <c r="C517" s="26"/>
      <c r="E517" s="26"/>
      <c r="I517" s="26"/>
      <c r="O517" s="26"/>
    </row>
    <row r="518">
      <c r="B518" s="26"/>
      <c r="C518" s="26"/>
      <c r="E518" s="26"/>
      <c r="I518" s="26"/>
      <c r="O518" s="26"/>
    </row>
    <row r="519">
      <c r="B519" s="26"/>
      <c r="C519" s="26"/>
      <c r="E519" s="26"/>
      <c r="I519" s="26"/>
      <c r="O519" s="26"/>
    </row>
    <row r="520">
      <c r="B520" s="26"/>
      <c r="C520" s="26"/>
      <c r="E520" s="26"/>
      <c r="I520" s="26"/>
      <c r="O520" s="26"/>
    </row>
    <row r="521">
      <c r="B521" s="26"/>
      <c r="C521" s="26"/>
      <c r="E521" s="26"/>
      <c r="I521" s="26"/>
      <c r="O521" s="26"/>
    </row>
    <row r="522">
      <c r="B522" s="26"/>
      <c r="C522" s="26"/>
      <c r="E522" s="26"/>
      <c r="I522" s="26"/>
      <c r="O522" s="26"/>
    </row>
    <row r="523">
      <c r="B523" s="26"/>
      <c r="C523" s="26"/>
      <c r="E523" s="26"/>
      <c r="I523" s="26"/>
      <c r="O523" s="26"/>
    </row>
    <row r="524">
      <c r="B524" s="26"/>
      <c r="C524" s="26"/>
      <c r="E524" s="26"/>
      <c r="I524" s="26"/>
      <c r="O524" s="26"/>
    </row>
    <row r="525">
      <c r="B525" s="26"/>
      <c r="C525" s="26"/>
      <c r="E525" s="26"/>
      <c r="I525" s="26"/>
      <c r="O525" s="26"/>
    </row>
    <row r="526">
      <c r="B526" s="26"/>
      <c r="C526" s="26"/>
      <c r="E526" s="26"/>
      <c r="I526" s="26"/>
      <c r="O526" s="26"/>
    </row>
    <row r="527">
      <c r="B527" s="26"/>
      <c r="C527" s="26"/>
      <c r="E527" s="26"/>
      <c r="I527" s="26"/>
      <c r="O527" s="26"/>
    </row>
    <row r="528">
      <c r="B528" s="26"/>
      <c r="C528" s="26"/>
      <c r="E528" s="26"/>
      <c r="I528" s="26"/>
      <c r="O528" s="26"/>
    </row>
    <row r="529">
      <c r="B529" s="26"/>
      <c r="C529" s="26"/>
      <c r="E529" s="26"/>
      <c r="I529" s="26"/>
      <c r="O529" s="26"/>
    </row>
    <row r="530">
      <c r="B530" s="26"/>
      <c r="C530" s="26"/>
      <c r="E530" s="26"/>
      <c r="I530" s="26"/>
      <c r="O530" s="26"/>
    </row>
    <row r="531">
      <c r="B531" s="26"/>
      <c r="C531" s="26"/>
      <c r="E531" s="26"/>
      <c r="I531" s="26"/>
      <c r="O531" s="26"/>
    </row>
    <row r="532">
      <c r="B532" s="26"/>
      <c r="C532" s="26"/>
      <c r="E532" s="26"/>
      <c r="I532" s="26"/>
      <c r="O532" s="26"/>
    </row>
    <row r="533">
      <c r="B533" s="26"/>
      <c r="C533" s="26"/>
      <c r="E533" s="26"/>
      <c r="I533" s="26"/>
      <c r="O533" s="26"/>
    </row>
    <row r="534">
      <c r="B534" s="26"/>
      <c r="C534" s="26"/>
      <c r="E534" s="26"/>
      <c r="I534" s="26"/>
      <c r="O534" s="26"/>
    </row>
    <row r="535">
      <c r="B535" s="26"/>
      <c r="C535" s="26"/>
      <c r="E535" s="26"/>
      <c r="I535" s="26"/>
      <c r="O535" s="26"/>
    </row>
    <row r="536">
      <c r="B536" s="26"/>
      <c r="C536" s="26"/>
      <c r="E536" s="26"/>
      <c r="I536" s="26"/>
      <c r="O536" s="26"/>
    </row>
    <row r="537">
      <c r="B537" s="26"/>
      <c r="C537" s="26"/>
      <c r="E537" s="26"/>
      <c r="I537" s="26"/>
      <c r="O537" s="26"/>
    </row>
    <row r="538">
      <c r="B538" s="26"/>
      <c r="C538" s="26"/>
      <c r="E538" s="26"/>
      <c r="I538" s="26"/>
      <c r="O538" s="26"/>
    </row>
    <row r="539">
      <c r="B539" s="26"/>
      <c r="C539" s="26"/>
      <c r="E539" s="26"/>
      <c r="I539" s="26"/>
      <c r="O539" s="26"/>
    </row>
    <row r="540">
      <c r="B540" s="26"/>
      <c r="C540" s="26"/>
      <c r="E540" s="26"/>
      <c r="I540" s="26"/>
      <c r="O540" s="26"/>
    </row>
    <row r="541">
      <c r="B541" s="26"/>
      <c r="C541" s="26"/>
      <c r="E541" s="26"/>
      <c r="I541" s="26"/>
      <c r="O541" s="26"/>
    </row>
    <row r="542">
      <c r="B542" s="26"/>
      <c r="C542" s="26"/>
      <c r="E542" s="26"/>
      <c r="I542" s="26"/>
      <c r="O542" s="26"/>
    </row>
    <row r="543">
      <c r="B543" s="26"/>
      <c r="C543" s="26"/>
      <c r="E543" s="26"/>
      <c r="I543" s="26"/>
      <c r="O543" s="26"/>
    </row>
    <row r="544">
      <c r="B544" s="26"/>
      <c r="C544" s="26"/>
      <c r="E544" s="26"/>
      <c r="I544" s="26"/>
      <c r="O544" s="26"/>
    </row>
    <row r="545">
      <c r="B545" s="26"/>
      <c r="C545" s="26"/>
      <c r="E545" s="26"/>
      <c r="I545" s="26"/>
      <c r="O545" s="26"/>
    </row>
    <row r="546">
      <c r="B546" s="26"/>
      <c r="C546" s="26"/>
      <c r="E546" s="26"/>
      <c r="I546" s="26"/>
      <c r="O546" s="26"/>
    </row>
    <row r="547">
      <c r="B547" s="26"/>
      <c r="C547" s="26"/>
      <c r="E547" s="26"/>
      <c r="I547" s="26"/>
      <c r="O547" s="26"/>
    </row>
    <row r="548">
      <c r="B548" s="26"/>
      <c r="C548" s="26"/>
      <c r="E548" s="26"/>
      <c r="I548" s="26"/>
      <c r="O548" s="26"/>
    </row>
    <row r="549">
      <c r="B549" s="26"/>
      <c r="C549" s="26"/>
      <c r="E549" s="26"/>
      <c r="I549" s="26"/>
      <c r="O549" s="26"/>
    </row>
    <row r="550">
      <c r="B550" s="26"/>
      <c r="C550" s="26"/>
      <c r="E550" s="26"/>
      <c r="I550" s="26"/>
      <c r="O550" s="26"/>
    </row>
    <row r="551">
      <c r="B551" s="26"/>
      <c r="C551" s="26"/>
      <c r="E551" s="26"/>
      <c r="I551" s="26"/>
      <c r="O551" s="26"/>
    </row>
    <row r="552">
      <c r="B552" s="26"/>
      <c r="C552" s="26"/>
      <c r="E552" s="26"/>
      <c r="I552" s="26"/>
      <c r="O552" s="26"/>
    </row>
    <row r="553">
      <c r="B553" s="26"/>
      <c r="C553" s="26"/>
      <c r="E553" s="26"/>
      <c r="I553" s="26"/>
      <c r="O553" s="26"/>
    </row>
    <row r="554">
      <c r="B554" s="26"/>
      <c r="C554" s="26"/>
      <c r="E554" s="26"/>
      <c r="I554" s="26"/>
      <c r="O554" s="26"/>
    </row>
    <row r="555">
      <c r="B555" s="26"/>
      <c r="C555" s="26"/>
      <c r="E555" s="26"/>
      <c r="I555" s="26"/>
      <c r="O555" s="26"/>
    </row>
    <row r="556">
      <c r="B556" s="26"/>
      <c r="C556" s="26"/>
      <c r="E556" s="26"/>
      <c r="I556" s="26"/>
      <c r="O556" s="26"/>
    </row>
    <row r="557">
      <c r="B557" s="26"/>
      <c r="C557" s="26"/>
      <c r="E557" s="26"/>
      <c r="I557" s="26"/>
      <c r="O557" s="26"/>
    </row>
    <row r="558">
      <c r="B558" s="26"/>
      <c r="C558" s="26"/>
      <c r="E558" s="26"/>
      <c r="I558" s="26"/>
      <c r="O558" s="26"/>
    </row>
    <row r="559">
      <c r="B559" s="26"/>
      <c r="C559" s="26"/>
      <c r="E559" s="26"/>
      <c r="I559" s="26"/>
      <c r="O559" s="26"/>
    </row>
    <row r="560">
      <c r="B560" s="26"/>
      <c r="C560" s="26"/>
      <c r="E560" s="26"/>
      <c r="I560" s="26"/>
      <c r="O560" s="26"/>
    </row>
    <row r="561">
      <c r="B561" s="26"/>
      <c r="C561" s="26"/>
      <c r="E561" s="26"/>
      <c r="I561" s="26"/>
      <c r="O561" s="26"/>
    </row>
    <row r="562">
      <c r="B562" s="26"/>
      <c r="C562" s="26"/>
      <c r="E562" s="26"/>
      <c r="I562" s="26"/>
      <c r="O562" s="26"/>
    </row>
    <row r="563">
      <c r="B563" s="26"/>
      <c r="C563" s="26"/>
      <c r="E563" s="26"/>
      <c r="I563" s="26"/>
      <c r="O563" s="26"/>
    </row>
    <row r="564">
      <c r="B564" s="26"/>
      <c r="C564" s="26"/>
      <c r="E564" s="26"/>
      <c r="I564" s="26"/>
      <c r="O564" s="26"/>
    </row>
    <row r="565">
      <c r="B565" s="26"/>
      <c r="C565" s="26"/>
      <c r="E565" s="26"/>
      <c r="I565" s="26"/>
      <c r="O565" s="26"/>
    </row>
    <row r="566">
      <c r="B566" s="26"/>
      <c r="C566" s="26"/>
      <c r="E566" s="26"/>
      <c r="I566" s="26"/>
      <c r="O566" s="26"/>
    </row>
    <row r="567">
      <c r="B567" s="26"/>
      <c r="C567" s="26"/>
      <c r="E567" s="26"/>
      <c r="I567" s="26"/>
      <c r="O567" s="26"/>
    </row>
    <row r="568">
      <c r="B568" s="26"/>
      <c r="C568" s="26"/>
      <c r="E568" s="26"/>
      <c r="I568" s="26"/>
      <c r="O568" s="26"/>
    </row>
    <row r="569">
      <c r="B569" s="26"/>
      <c r="C569" s="26"/>
      <c r="E569" s="26"/>
      <c r="I569" s="26"/>
      <c r="O569" s="26"/>
    </row>
    <row r="570">
      <c r="B570" s="26"/>
      <c r="C570" s="26"/>
      <c r="E570" s="26"/>
      <c r="I570" s="26"/>
      <c r="O570" s="26"/>
    </row>
    <row r="571">
      <c r="B571" s="26"/>
      <c r="C571" s="26"/>
      <c r="E571" s="26"/>
      <c r="I571" s="26"/>
      <c r="O571" s="26"/>
    </row>
    <row r="572">
      <c r="B572" s="26"/>
      <c r="C572" s="26"/>
      <c r="E572" s="26"/>
      <c r="I572" s="26"/>
      <c r="O572" s="26"/>
    </row>
    <row r="573">
      <c r="B573" s="26"/>
      <c r="C573" s="26"/>
      <c r="E573" s="26"/>
      <c r="I573" s="26"/>
      <c r="O573" s="26"/>
    </row>
    <row r="574">
      <c r="B574" s="26"/>
      <c r="C574" s="26"/>
      <c r="E574" s="26"/>
      <c r="I574" s="26"/>
      <c r="O574" s="26"/>
    </row>
    <row r="575">
      <c r="B575" s="26"/>
      <c r="C575" s="26"/>
      <c r="E575" s="26"/>
      <c r="I575" s="26"/>
      <c r="O575" s="26"/>
    </row>
    <row r="576">
      <c r="B576" s="26"/>
      <c r="C576" s="26"/>
      <c r="E576" s="26"/>
      <c r="I576" s="26"/>
      <c r="O576" s="26"/>
    </row>
    <row r="577">
      <c r="B577" s="26"/>
      <c r="C577" s="26"/>
      <c r="E577" s="26"/>
      <c r="I577" s="26"/>
      <c r="O577" s="26"/>
    </row>
    <row r="578">
      <c r="B578" s="26"/>
      <c r="C578" s="26"/>
      <c r="E578" s="26"/>
      <c r="I578" s="26"/>
      <c r="O578" s="26"/>
    </row>
    <row r="579">
      <c r="B579" s="26"/>
      <c r="C579" s="26"/>
      <c r="E579" s="26"/>
      <c r="I579" s="26"/>
      <c r="O579" s="26"/>
    </row>
    <row r="580">
      <c r="B580" s="26"/>
      <c r="C580" s="26"/>
      <c r="E580" s="26"/>
      <c r="I580" s="26"/>
      <c r="O580" s="26"/>
    </row>
    <row r="581">
      <c r="B581" s="26"/>
      <c r="C581" s="26"/>
      <c r="E581" s="26"/>
      <c r="I581" s="26"/>
      <c r="O581" s="26"/>
    </row>
    <row r="582">
      <c r="B582" s="26"/>
      <c r="C582" s="26"/>
      <c r="E582" s="26"/>
      <c r="I582" s="26"/>
      <c r="O582" s="26"/>
    </row>
    <row r="583">
      <c r="B583" s="26"/>
      <c r="C583" s="26"/>
      <c r="E583" s="26"/>
      <c r="I583" s="26"/>
      <c r="O583" s="26"/>
    </row>
    <row r="584">
      <c r="B584" s="26"/>
      <c r="C584" s="26"/>
      <c r="E584" s="26"/>
      <c r="I584" s="26"/>
      <c r="O584" s="26"/>
    </row>
    <row r="585">
      <c r="B585" s="26"/>
      <c r="C585" s="26"/>
      <c r="E585" s="26"/>
      <c r="I585" s="26"/>
      <c r="O585" s="26"/>
    </row>
    <row r="586">
      <c r="B586" s="26"/>
      <c r="C586" s="26"/>
      <c r="E586" s="26"/>
      <c r="I586" s="26"/>
      <c r="O586" s="26"/>
    </row>
    <row r="587">
      <c r="B587" s="26"/>
      <c r="C587" s="26"/>
      <c r="E587" s="26"/>
      <c r="I587" s="26"/>
      <c r="O587" s="26"/>
    </row>
    <row r="588">
      <c r="B588" s="26"/>
      <c r="C588" s="26"/>
      <c r="E588" s="26"/>
      <c r="I588" s="26"/>
      <c r="O588" s="26"/>
    </row>
    <row r="589">
      <c r="B589" s="26"/>
      <c r="C589" s="26"/>
      <c r="E589" s="26"/>
      <c r="I589" s="26"/>
      <c r="O589" s="26"/>
    </row>
    <row r="590">
      <c r="B590" s="26"/>
      <c r="C590" s="26"/>
      <c r="E590" s="26"/>
      <c r="I590" s="26"/>
      <c r="O590" s="26"/>
    </row>
    <row r="591">
      <c r="B591" s="26"/>
      <c r="C591" s="26"/>
      <c r="E591" s="26"/>
      <c r="I591" s="26"/>
      <c r="O591" s="26"/>
    </row>
    <row r="592">
      <c r="B592" s="26"/>
      <c r="C592" s="26"/>
      <c r="E592" s="26"/>
      <c r="I592" s="26"/>
      <c r="O592" s="26"/>
    </row>
    <row r="593">
      <c r="B593" s="26"/>
      <c r="C593" s="26"/>
      <c r="E593" s="26"/>
      <c r="I593" s="26"/>
      <c r="O593" s="26"/>
    </row>
    <row r="594">
      <c r="B594" s="26"/>
      <c r="C594" s="26"/>
      <c r="E594" s="26"/>
      <c r="I594" s="26"/>
      <c r="O594" s="26"/>
    </row>
    <row r="595">
      <c r="B595" s="26"/>
      <c r="C595" s="26"/>
      <c r="E595" s="26"/>
      <c r="I595" s="26"/>
      <c r="O595" s="26"/>
    </row>
    <row r="596">
      <c r="B596" s="26"/>
      <c r="C596" s="26"/>
      <c r="E596" s="26"/>
      <c r="I596" s="26"/>
      <c r="O596" s="26"/>
    </row>
    <row r="597">
      <c r="B597" s="26"/>
      <c r="C597" s="26"/>
      <c r="E597" s="26"/>
      <c r="I597" s="26"/>
      <c r="O597" s="26"/>
    </row>
    <row r="598">
      <c r="B598" s="26"/>
      <c r="C598" s="26"/>
      <c r="E598" s="26"/>
      <c r="I598" s="26"/>
      <c r="O598" s="26"/>
    </row>
    <row r="599">
      <c r="B599" s="26"/>
      <c r="C599" s="26"/>
      <c r="E599" s="26"/>
      <c r="I599" s="26"/>
      <c r="O599" s="26"/>
    </row>
    <row r="600">
      <c r="B600" s="26"/>
      <c r="C600" s="26"/>
      <c r="E600" s="26"/>
      <c r="I600" s="26"/>
      <c r="O600" s="26"/>
    </row>
    <row r="601">
      <c r="B601" s="26"/>
      <c r="C601" s="26"/>
      <c r="E601" s="26"/>
      <c r="I601" s="26"/>
      <c r="O601" s="26"/>
    </row>
    <row r="602">
      <c r="B602" s="26"/>
      <c r="C602" s="26"/>
      <c r="E602" s="26"/>
      <c r="I602" s="26"/>
      <c r="O602" s="26"/>
    </row>
    <row r="603">
      <c r="B603" s="26"/>
      <c r="C603" s="26"/>
      <c r="E603" s="26"/>
      <c r="I603" s="26"/>
      <c r="O603" s="26"/>
    </row>
    <row r="604">
      <c r="B604" s="26"/>
      <c r="C604" s="26"/>
      <c r="E604" s="26"/>
      <c r="I604" s="26"/>
      <c r="O604" s="26"/>
    </row>
    <row r="605">
      <c r="B605" s="26"/>
      <c r="C605" s="26"/>
      <c r="E605" s="26"/>
      <c r="I605" s="26"/>
      <c r="O605" s="26"/>
    </row>
    <row r="606">
      <c r="B606" s="26"/>
      <c r="C606" s="26"/>
      <c r="E606" s="26"/>
      <c r="I606" s="26"/>
      <c r="O606" s="26"/>
    </row>
    <row r="607">
      <c r="B607" s="26"/>
      <c r="C607" s="26"/>
      <c r="E607" s="26"/>
      <c r="I607" s="26"/>
      <c r="O607" s="26"/>
    </row>
    <row r="608">
      <c r="B608" s="26"/>
      <c r="C608" s="26"/>
      <c r="E608" s="26"/>
      <c r="I608" s="26"/>
      <c r="O608" s="26"/>
    </row>
    <row r="609">
      <c r="B609" s="26"/>
      <c r="C609" s="26"/>
      <c r="E609" s="26"/>
      <c r="I609" s="26"/>
      <c r="O609" s="26"/>
    </row>
    <row r="610">
      <c r="B610" s="26"/>
      <c r="C610" s="26"/>
      <c r="E610" s="26"/>
      <c r="I610" s="26"/>
      <c r="O610" s="26"/>
    </row>
    <row r="611">
      <c r="B611" s="26"/>
      <c r="C611" s="26"/>
      <c r="E611" s="26"/>
      <c r="I611" s="26"/>
      <c r="O611" s="26"/>
    </row>
    <row r="612">
      <c r="B612" s="26"/>
      <c r="C612" s="26"/>
      <c r="E612" s="26"/>
      <c r="I612" s="26"/>
      <c r="O612" s="26"/>
    </row>
    <row r="613">
      <c r="B613" s="26"/>
      <c r="C613" s="26"/>
      <c r="E613" s="26"/>
      <c r="I613" s="26"/>
      <c r="O613" s="26"/>
    </row>
    <row r="614">
      <c r="B614" s="26"/>
      <c r="C614" s="26"/>
      <c r="E614" s="26"/>
      <c r="I614" s="26"/>
      <c r="O614" s="26"/>
    </row>
    <row r="615">
      <c r="B615" s="26"/>
      <c r="C615" s="26"/>
      <c r="E615" s="26"/>
      <c r="I615" s="26"/>
      <c r="O615" s="26"/>
    </row>
    <row r="616">
      <c r="B616" s="26"/>
      <c r="C616" s="26"/>
      <c r="E616" s="26"/>
      <c r="I616" s="26"/>
      <c r="O616" s="26"/>
    </row>
    <row r="617">
      <c r="B617" s="26"/>
      <c r="C617" s="26"/>
      <c r="E617" s="26"/>
      <c r="I617" s="26"/>
      <c r="O617" s="26"/>
    </row>
    <row r="618">
      <c r="B618" s="26"/>
      <c r="C618" s="26"/>
      <c r="E618" s="26"/>
      <c r="I618" s="26"/>
      <c r="O618" s="26"/>
    </row>
    <row r="619">
      <c r="B619" s="26"/>
      <c r="C619" s="26"/>
      <c r="E619" s="26"/>
      <c r="I619" s="26"/>
      <c r="O619" s="26"/>
    </row>
    <row r="620">
      <c r="B620" s="26"/>
      <c r="C620" s="26"/>
      <c r="E620" s="26"/>
      <c r="I620" s="26"/>
      <c r="O620" s="26"/>
    </row>
    <row r="621">
      <c r="B621" s="26"/>
      <c r="C621" s="26"/>
      <c r="E621" s="26"/>
      <c r="I621" s="26"/>
      <c r="O621" s="26"/>
    </row>
    <row r="622">
      <c r="B622" s="26"/>
      <c r="C622" s="26"/>
      <c r="E622" s="26"/>
      <c r="I622" s="26"/>
      <c r="O622" s="26"/>
    </row>
    <row r="623">
      <c r="B623" s="26"/>
      <c r="C623" s="26"/>
      <c r="E623" s="26"/>
      <c r="I623" s="26"/>
      <c r="O623" s="26"/>
    </row>
    <row r="624">
      <c r="B624" s="26"/>
      <c r="C624" s="26"/>
      <c r="E624" s="26"/>
      <c r="I624" s="26"/>
      <c r="O624" s="26"/>
    </row>
    <row r="625">
      <c r="B625" s="26"/>
      <c r="C625" s="26"/>
      <c r="E625" s="26"/>
      <c r="I625" s="26"/>
      <c r="O625" s="26"/>
    </row>
    <row r="626">
      <c r="B626" s="26"/>
      <c r="C626" s="26"/>
      <c r="E626" s="26"/>
      <c r="I626" s="26"/>
      <c r="O626" s="26"/>
    </row>
    <row r="627">
      <c r="B627" s="26"/>
      <c r="C627" s="26"/>
      <c r="E627" s="26"/>
      <c r="I627" s="26"/>
      <c r="O627" s="26"/>
    </row>
    <row r="628">
      <c r="B628" s="26"/>
      <c r="C628" s="26"/>
      <c r="E628" s="26"/>
      <c r="I628" s="26"/>
      <c r="O628" s="26"/>
    </row>
    <row r="629">
      <c r="B629" s="26"/>
      <c r="C629" s="26"/>
      <c r="E629" s="26"/>
      <c r="I629" s="26"/>
      <c r="O629" s="26"/>
    </row>
    <row r="630">
      <c r="B630" s="26"/>
      <c r="C630" s="26"/>
      <c r="E630" s="26"/>
      <c r="I630" s="26"/>
      <c r="O630" s="26"/>
    </row>
    <row r="631">
      <c r="B631" s="26"/>
      <c r="C631" s="26"/>
      <c r="E631" s="26"/>
      <c r="I631" s="26"/>
      <c r="O631" s="26"/>
    </row>
    <row r="632">
      <c r="B632" s="26"/>
      <c r="C632" s="26"/>
      <c r="E632" s="26"/>
      <c r="I632" s="26"/>
      <c r="O632" s="26"/>
    </row>
    <row r="633">
      <c r="B633" s="26"/>
      <c r="C633" s="26"/>
      <c r="E633" s="26"/>
      <c r="I633" s="26"/>
      <c r="O633" s="26"/>
    </row>
    <row r="634">
      <c r="B634" s="26"/>
      <c r="C634" s="26"/>
      <c r="E634" s="26"/>
      <c r="I634" s="26"/>
      <c r="O634" s="26"/>
    </row>
    <row r="635">
      <c r="B635" s="26"/>
      <c r="C635" s="26"/>
      <c r="E635" s="26"/>
      <c r="I635" s="26"/>
      <c r="O635" s="26"/>
    </row>
    <row r="636">
      <c r="B636" s="26"/>
      <c r="C636" s="26"/>
      <c r="E636" s="26"/>
      <c r="I636" s="26"/>
      <c r="O636" s="26"/>
    </row>
    <row r="637">
      <c r="B637" s="26"/>
      <c r="C637" s="26"/>
      <c r="E637" s="26"/>
      <c r="I637" s="26"/>
      <c r="O637" s="26"/>
    </row>
    <row r="638">
      <c r="B638" s="26"/>
      <c r="C638" s="26"/>
      <c r="E638" s="26"/>
      <c r="I638" s="26"/>
      <c r="O638" s="26"/>
    </row>
    <row r="639">
      <c r="B639" s="26"/>
      <c r="C639" s="26"/>
      <c r="E639" s="26"/>
      <c r="I639" s="26"/>
      <c r="O639" s="26"/>
    </row>
    <row r="640">
      <c r="B640" s="26"/>
      <c r="C640" s="26"/>
      <c r="E640" s="26"/>
      <c r="I640" s="26"/>
      <c r="O640" s="26"/>
    </row>
    <row r="641">
      <c r="B641" s="26"/>
      <c r="C641" s="26"/>
      <c r="E641" s="26"/>
      <c r="I641" s="26"/>
      <c r="O641" s="26"/>
    </row>
    <row r="642">
      <c r="B642" s="26"/>
      <c r="C642" s="26"/>
      <c r="E642" s="26"/>
      <c r="I642" s="26"/>
      <c r="O642" s="26"/>
    </row>
    <row r="643">
      <c r="B643" s="26"/>
      <c r="C643" s="26"/>
      <c r="E643" s="26"/>
      <c r="I643" s="26"/>
      <c r="O643" s="26"/>
    </row>
    <row r="644">
      <c r="B644" s="26"/>
      <c r="C644" s="26"/>
      <c r="E644" s="26"/>
      <c r="I644" s="26"/>
      <c r="O644" s="26"/>
    </row>
    <row r="645">
      <c r="B645" s="26"/>
      <c r="C645" s="26"/>
      <c r="E645" s="26"/>
      <c r="I645" s="26"/>
      <c r="O645" s="26"/>
    </row>
    <row r="646">
      <c r="B646" s="26"/>
      <c r="C646" s="26"/>
      <c r="E646" s="26"/>
      <c r="I646" s="26"/>
      <c r="O646" s="26"/>
    </row>
    <row r="647">
      <c r="B647" s="26"/>
      <c r="C647" s="26"/>
      <c r="E647" s="26"/>
      <c r="I647" s="26"/>
      <c r="O647" s="26"/>
    </row>
    <row r="648">
      <c r="B648" s="26"/>
      <c r="C648" s="26"/>
      <c r="E648" s="26"/>
      <c r="I648" s="26"/>
      <c r="O648" s="26"/>
    </row>
    <row r="649">
      <c r="B649" s="26"/>
      <c r="C649" s="26"/>
      <c r="E649" s="26"/>
      <c r="I649" s="26"/>
      <c r="O649" s="26"/>
    </row>
    <row r="650">
      <c r="B650" s="26"/>
      <c r="C650" s="26"/>
      <c r="E650" s="26"/>
      <c r="I650" s="26"/>
      <c r="O650" s="26"/>
    </row>
    <row r="651">
      <c r="B651" s="26"/>
      <c r="C651" s="26"/>
      <c r="E651" s="26"/>
      <c r="I651" s="26"/>
      <c r="O651" s="26"/>
    </row>
    <row r="652">
      <c r="B652" s="26"/>
      <c r="C652" s="26"/>
      <c r="E652" s="26"/>
      <c r="I652" s="26"/>
      <c r="O652" s="26"/>
    </row>
    <row r="653">
      <c r="B653" s="26"/>
      <c r="C653" s="26"/>
      <c r="E653" s="26"/>
      <c r="I653" s="26"/>
      <c r="O653" s="26"/>
    </row>
    <row r="654">
      <c r="B654" s="26"/>
      <c r="C654" s="26"/>
      <c r="E654" s="26"/>
      <c r="I654" s="26"/>
      <c r="O654" s="26"/>
    </row>
    <row r="655">
      <c r="B655" s="26"/>
      <c r="C655" s="26"/>
      <c r="E655" s="26"/>
      <c r="I655" s="26"/>
      <c r="O655" s="26"/>
    </row>
    <row r="656">
      <c r="B656" s="26"/>
      <c r="C656" s="26"/>
      <c r="E656" s="26"/>
      <c r="I656" s="26"/>
      <c r="O656" s="26"/>
    </row>
    <row r="657">
      <c r="B657" s="26"/>
      <c r="C657" s="26"/>
      <c r="E657" s="26"/>
      <c r="I657" s="26"/>
      <c r="O657" s="26"/>
    </row>
    <row r="658">
      <c r="B658" s="26"/>
      <c r="C658" s="26"/>
      <c r="E658" s="26"/>
      <c r="I658" s="26"/>
      <c r="O658" s="26"/>
    </row>
    <row r="659">
      <c r="B659" s="26"/>
      <c r="C659" s="26"/>
      <c r="E659" s="26"/>
      <c r="I659" s="26"/>
      <c r="O659" s="26"/>
    </row>
    <row r="660">
      <c r="B660" s="26"/>
      <c r="C660" s="26"/>
      <c r="E660" s="26"/>
      <c r="I660" s="26"/>
      <c r="O660" s="26"/>
    </row>
    <row r="661">
      <c r="B661" s="26"/>
      <c r="C661" s="26"/>
      <c r="E661" s="26"/>
      <c r="I661" s="26"/>
      <c r="O661" s="26"/>
    </row>
    <row r="662">
      <c r="B662" s="26"/>
      <c r="C662" s="26"/>
      <c r="E662" s="26"/>
      <c r="I662" s="26"/>
      <c r="O662" s="26"/>
    </row>
    <row r="663">
      <c r="B663" s="26"/>
      <c r="C663" s="26"/>
      <c r="E663" s="26"/>
      <c r="I663" s="26"/>
      <c r="O663" s="26"/>
    </row>
    <row r="664">
      <c r="B664" s="26"/>
      <c r="C664" s="26"/>
      <c r="E664" s="26"/>
      <c r="I664" s="26"/>
      <c r="O664" s="26"/>
    </row>
    <row r="665">
      <c r="B665" s="26"/>
      <c r="C665" s="26"/>
      <c r="E665" s="26"/>
      <c r="I665" s="26"/>
      <c r="O665" s="26"/>
    </row>
    <row r="666">
      <c r="B666" s="26"/>
      <c r="C666" s="26"/>
      <c r="E666" s="26"/>
      <c r="I666" s="26"/>
      <c r="O666" s="26"/>
    </row>
    <row r="667">
      <c r="B667" s="26"/>
      <c r="C667" s="26"/>
      <c r="E667" s="26"/>
      <c r="I667" s="26"/>
      <c r="O667" s="26"/>
    </row>
    <row r="668">
      <c r="B668" s="26"/>
      <c r="C668" s="26"/>
      <c r="E668" s="26"/>
      <c r="I668" s="26"/>
      <c r="O668" s="26"/>
    </row>
    <row r="669">
      <c r="B669" s="26"/>
      <c r="C669" s="26"/>
      <c r="E669" s="26"/>
      <c r="I669" s="26"/>
      <c r="O669" s="26"/>
    </row>
    <row r="670">
      <c r="B670" s="26"/>
      <c r="C670" s="26"/>
      <c r="E670" s="26"/>
      <c r="I670" s="26"/>
      <c r="O670" s="26"/>
    </row>
    <row r="671">
      <c r="B671" s="26"/>
      <c r="C671" s="26"/>
      <c r="E671" s="26"/>
      <c r="I671" s="26"/>
      <c r="O671" s="26"/>
    </row>
    <row r="672">
      <c r="B672" s="26"/>
      <c r="C672" s="26"/>
      <c r="E672" s="26"/>
      <c r="I672" s="26"/>
      <c r="O672" s="26"/>
    </row>
    <row r="673">
      <c r="B673" s="26"/>
      <c r="C673" s="26"/>
      <c r="E673" s="26"/>
      <c r="I673" s="26"/>
      <c r="O673" s="26"/>
    </row>
    <row r="674">
      <c r="B674" s="26"/>
      <c r="C674" s="26"/>
      <c r="E674" s="26"/>
      <c r="I674" s="26"/>
      <c r="O674" s="26"/>
    </row>
    <row r="675">
      <c r="B675" s="26"/>
      <c r="C675" s="26"/>
      <c r="E675" s="26"/>
      <c r="I675" s="26"/>
      <c r="O675" s="26"/>
    </row>
    <row r="676">
      <c r="B676" s="26"/>
      <c r="C676" s="26"/>
      <c r="E676" s="26"/>
      <c r="I676" s="26"/>
      <c r="O676" s="26"/>
    </row>
    <row r="677">
      <c r="B677" s="26"/>
      <c r="C677" s="26"/>
      <c r="E677" s="26"/>
      <c r="I677" s="26"/>
      <c r="O677" s="26"/>
    </row>
    <row r="678">
      <c r="B678" s="26"/>
      <c r="C678" s="26"/>
      <c r="E678" s="26"/>
      <c r="I678" s="26"/>
      <c r="O678" s="26"/>
    </row>
    <row r="679">
      <c r="B679" s="26"/>
      <c r="C679" s="26"/>
      <c r="E679" s="26"/>
      <c r="I679" s="26"/>
      <c r="O679" s="26"/>
    </row>
    <row r="680">
      <c r="B680" s="26"/>
      <c r="C680" s="26"/>
      <c r="E680" s="26"/>
      <c r="I680" s="26"/>
      <c r="O680" s="26"/>
    </row>
    <row r="681">
      <c r="B681" s="26"/>
      <c r="C681" s="26"/>
      <c r="E681" s="26"/>
      <c r="I681" s="26"/>
      <c r="O681" s="26"/>
    </row>
    <row r="682">
      <c r="B682" s="26"/>
      <c r="C682" s="26"/>
      <c r="E682" s="26"/>
      <c r="I682" s="26"/>
      <c r="O682" s="26"/>
    </row>
    <row r="683">
      <c r="B683" s="26"/>
      <c r="C683" s="26"/>
      <c r="E683" s="26"/>
      <c r="I683" s="26"/>
      <c r="O683" s="26"/>
    </row>
    <row r="684">
      <c r="B684" s="26"/>
      <c r="C684" s="26"/>
      <c r="E684" s="26"/>
      <c r="I684" s="26"/>
      <c r="O684" s="26"/>
    </row>
    <row r="685">
      <c r="B685" s="26"/>
      <c r="C685" s="26"/>
      <c r="E685" s="26"/>
      <c r="I685" s="26"/>
      <c r="O685" s="26"/>
    </row>
    <row r="686">
      <c r="B686" s="26"/>
      <c r="C686" s="26"/>
      <c r="E686" s="26"/>
      <c r="I686" s="26"/>
      <c r="O686" s="26"/>
    </row>
    <row r="687">
      <c r="B687" s="26"/>
      <c r="C687" s="26"/>
      <c r="E687" s="26"/>
      <c r="I687" s="26"/>
      <c r="O687" s="26"/>
    </row>
    <row r="688">
      <c r="B688" s="26"/>
      <c r="C688" s="26"/>
      <c r="E688" s="26"/>
      <c r="I688" s="26"/>
      <c r="O688" s="26"/>
    </row>
    <row r="689">
      <c r="B689" s="26"/>
      <c r="C689" s="26"/>
      <c r="E689" s="26"/>
      <c r="I689" s="26"/>
      <c r="O689" s="26"/>
    </row>
    <row r="690">
      <c r="B690" s="26"/>
      <c r="C690" s="26"/>
      <c r="E690" s="26"/>
      <c r="I690" s="26"/>
      <c r="O690" s="26"/>
    </row>
    <row r="691">
      <c r="B691" s="26"/>
      <c r="C691" s="26"/>
      <c r="E691" s="26"/>
      <c r="I691" s="26"/>
      <c r="O691" s="26"/>
    </row>
    <row r="692">
      <c r="B692" s="26"/>
      <c r="C692" s="26"/>
      <c r="E692" s="26"/>
      <c r="I692" s="26"/>
      <c r="O692" s="26"/>
    </row>
    <row r="693">
      <c r="B693" s="26"/>
      <c r="C693" s="26"/>
      <c r="E693" s="26"/>
      <c r="I693" s="26"/>
      <c r="O693" s="26"/>
    </row>
    <row r="694">
      <c r="B694" s="26"/>
      <c r="C694" s="26"/>
      <c r="E694" s="26"/>
      <c r="I694" s="26"/>
      <c r="O694" s="26"/>
    </row>
    <row r="695">
      <c r="B695" s="26"/>
      <c r="C695" s="26"/>
      <c r="E695" s="26"/>
      <c r="I695" s="26"/>
      <c r="O695" s="26"/>
    </row>
    <row r="696">
      <c r="B696" s="26"/>
      <c r="C696" s="26"/>
      <c r="E696" s="26"/>
      <c r="I696" s="26"/>
      <c r="O696" s="26"/>
    </row>
    <row r="697">
      <c r="B697" s="26"/>
      <c r="C697" s="26"/>
      <c r="E697" s="26"/>
      <c r="I697" s="26"/>
      <c r="O697" s="26"/>
    </row>
    <row r="698">
      <c r="B698" s="26"/>
      <c r="C698" s="26"/>
      <c r="E698" s="26"/>
      <c r="I698" s="26"/>
      <c r="O698" s="26"/>
    </row>
    <row r="699">
      <c r="B699" s="26"/>
      <c r="C699" s="26"/>
      <c r="E699" s="26"/>
      <c r="I699" s="26"/>
      <c r="O699" s="26"/>
    </row>
    <row r="700">
      <c r="B700" s="26"/>
      <c r="C700" s="26"/>
      <c r="E700" s="26"/>
      <c r="I700" s="26"/>
      <c r="O700" s="26"/>
    </row>
    <row r="701">
      <c r="B701" s="26"/>
      <c r="C701" s="26"/>
      <c r="E701" s="26"/>
      <c r="I701" s="26"/>
      <c r="O701" s="26"/>
    </row>
    <row r="702">
      <c r="B702" s="26"/>
      <c r="C702" s="26"/>
      <c r="E702" s="26"/>
      <c r="I702" s="26"/>
      <c r="O702" s="26"/>
    </row>
    <row r="703">
      <c r="B703" s="26"/>
      <c r="C703" s="26"/>
      <c r="E703" s="26"/>
      <c r="I703" s="26"/>
      <c r="O703" s="26"/>
    </row>
    <row r="704">
      <c r="B704" s="26"/>
      <c r="C704" s="26"/>
      <c r="E704" s="26"/>
      <c r="I704" s="26"/>
      <c r="O704" s="26"/>
    </row>
    <row r="705">
      <c r="B705" s="26"/>
      <c r="C705" s="26"/>
      <c r="E705" s="26"/>
      <c r="I705" s="26"/>
      <c r="O705" s="26"/>
    </row>
    <row r="706">
      <c r="B706" s="26"/>
      <c r="C706" s="26"/>
      <c r="E706" s="26"/>
      <c r="I706" s="26"/>
      <c r="O706" s="26"/>
    </row>
    <row r="707">
      <c r="B707" s="26"/>
      <c r="C707" s="26"/>
      <c r="E707" s="26"/>
      <c r="I707" s="26"/>
      <c r="O707" s="26"/>
    </row>
    <row r="708">
      <c r="B708" s="26"/>
      <c r="C708" s="26"/>
      <c r="E708" s="26"/>
      <c r="I708" s="26"/>
      <c r="O708" s="26"/>
    </row>
    <row r="709">
      <c r="B709" s="26"/>
      <c r="C709" s="26"/>
      <c r="E709" s="26"/>
      <c r="I709" s="26"/>
      <c r="O709" s="26"/>
    </row>
    <row r="710">
      <c r="B710" s="26"/>
      <c r="C710" s="26"/>
      <c r="E710" s="26"/>
      <c r="I710" s="26"/>
      <c r="O710" s="26"/>
    </row>
    <row r="711">
      <c r="B711" s="26"/>
      <c r="C711" s="26"/>
      <c r="E711" s="26"/>
      <c r="I711" s="26"/>
      <c r="O711" s="26"/>
    </row>
    <row r="712">
      <c r="B712" s="26"/>
      <c r="C712" s="26"/>
      <c r="E712" s="26"/>
      <c r="I712" s="26"/>
      <c r="O712" s="26"/>
    </row>
    <row r="713">
      <c r="B713" s="26"/>
      <c r="C713" s="26"/>
      <c r="E713" s="26"/>
      <c r="I713" s="26"/>
      <c r="O713" s="26"/>
    </row>
    <row r="714">
      <c r="B714" s="26"/>
      <c r="C714" s="26"/>
      <c r="E714" s="26"/>
      <c r="I714" s="26"/>
      <c r="O714" s="26"/>
    </row>
    <row r="715">
      <c r="B715" s="26"/>
      <c r="C715" s="26"/>
      <c r="E715" s="26"/>
      <c r="I715" s="26"/>
      <c r="O715" s="26"/>
    </row>
    <row r="716">
      <c r="B716" s="26"/>
      <c r="C716" s="26"/>
      <c r="E716" s="26"/>
      <c r="I716" s="26"/>
      <c r="O716" s="26"/>
    </row>
    <row r="717">
      <c r="B717" s="26"/>
      <c r="C717" s="26"/>
      <c r="E717" s="26"/>
      <c r="I717" s="26"/>
      <c r="O717" s="26"/>
    </row>
    <row r="718">
      <c r="B718" s="26"/>
      <c r="C718" s="26"/>
      <c r="E718" s="26"/>
      <c r="I718" s="26"/>
      <c r="O718" s="26"/>
    </row>
    <row r="719">
      <c r="B719" s="26"/>
      <c r="C719" s="26"/>
      <c r="E719" s="26"/>
      <c r="I719" s="26"/>
      <c r="O719" s="26"/>
    </row>
    <row r="720">
      <c r="B720" s="26"/>
      <c r="C720" s="26"/>
      <c r="E720" s="26"/>
      <c r="I720" s="26"/>
      <c r="O720" s="26"/>
    </row>
    <row r="721">
      <c r="B721" s="26"/>
      <c r="C721" s="26"/>
      <c r="E721" s="26"/>
      <c r="I721" s="26"/>
      <c r="O721" s="26"/>
    </row>
    <row r="722">
      <c r="B722" s="26"/>
      <c r="C722" s="26"/>
      <c r="E722" s="26"/>
      <c r="I722" s="26"/>
      <c r="O722" s="26"/>
    </row>
    <row r="723">
      <c r="B723" s="26"/>
      <c r="C723" s="26"/>
      <c r="E723" s="26"/>
      <c r="I723" s="26"/>
      <c r="O723" s="26"/>
    </row>
    <row r="724">
      <c r="B724" s="26"/>
      <c r="C724" s="26"/>
      <c r="E724" s="26"/>
      <c r="I724" s="26"/>
      <c r="O724" s="26"/>
    </row>
    <row r="725">
      <c r="B725" s="26"/>
      <c r="C725" s="26"/>
      <c r="E725" s="26"/>
      <c r="I725" s="26"/>
      <c r="O725" s="26"/>
    </row>
    <row r="726">
      <c r="B726" s="26"/>
      <c r="C726" s="26"/>
      <c r="E726" s="26"/>
      <c r="I726" s="26"/>
      <c r="O726" s="26"/>
    </row>
    <row r="727">
      <c r="B727" s="26"/>
      <c r="C727" s="26"/>
      <c r="E727" s="26"/>
      <c r="I727" s="26"/>
      <c r="O727" s="26"/>
    </row>
    <row r="728">
      <c r="B728" s="26"/>
      <c r="C728" s="26"/>
      <c r="E728" s="26"/>
      <c r="I728" s="26"/>
      <c r="O728" s="26"/>
    </row>
    <row r="729">
      <c r="B729" s="26"/>
      <c r="C729" s="26"/>
      <c r="E729" s="26"/>
      <c r="I729" s="26"/>
      <c r="O729" s="26"/>
    </row>
    <row r="730">
      <c r="B730" s="26"/>
      <c r="C730" s="26"/>
      <c r="E730" s="26"/>
      <c r="I730" s="26"/>
      <c r="O730" s="26"/>
    </row>
    <row r="731">
      <c r="B731" s="26"/>
      <c r="C731" s="26"/>
      <c r="E731" s="26"/>
      <c r="I731" s="26"/>
      <c r="O731" s="26"/>
    </row>
    <row r="732">
      <c r="B732" s="26"/>
      <c r="C732" s="26"/>
      <c r="E732" s="26"/>
      <c r="I732" s="26"/>
      <c r="O732" s="26"/>
    </row>
    <row r="733">
      <c r="B733" s="26"/>
      <c r="C733" s="26"/>
      <c r="E733" s="26"/>
      <c r="I733" s="26"/>
      <c r="O733" s="26"/>
    </row>
    <row r="734">
      <c r="B734" s="26"/>
      <c r="C734" s="26"/>
      <c r="E734" s="26"/>
      <c r="I734" s="26"/>
      <c r="O734" s="26"/>
    </row>
    <row r="735">
      <c r="B735" s="26"/>
      <c r="C735" s="26"/>
      <c r="E735" s="26"/>
      <c r="I735" s="26"/>
      <c r="O735" s="26"/>
    </row>
    <row r="736">
      <c r="B736" s="26"/>
      <c r="C736" s="26"/>
      <c r="E736" s="26"/>
      <c r="I736" s="26"/>
      <c r="O736" s="26"/>
    </row>
    <row r="737">
      <c r="B737" s="26"/>
      <c r="C737" s="26"/>
      <c r="E737" s="26"/>
      <c r="I737" s="26"/>
      <c r="O737" s="26"/>
    </row>
    <row r="738">
      <c r="B738" s="26"/>
      <c r="C738" s="26"/>
      <c r="E738" s="26"/>
      <c r="I738" s="26"/>
      <c r="O738" s="26"/>
    </row>
    <row r="739">
      <c r="B739" s="26"/>
      <c r="C739" s="26"/>
      <c r="E739" s="26"/>
      <c r="I739" s="26"/>
      <c r="O739" s="26"/>
    </row>
    <row r="740">
      <c r="B740" s="26"/>
      <c r="C740" s="26"/>
      <c r="E740" s="26"/>
      <c r="I740" s="26"/>
      <c r="O740" s="26"/>
    </row>
    <row r="741">
      <c r="B741" s="26"/>
      <c r="C741" s="26"/>
      <c r="E741" s="26"/>
      <c r="I741" s="26"/>
      <c r="O741" s="26"/>
    </row>
    <row r="742">
      <c r="B742" s="26"/>
      <c r="C742" s="26"/>
      <c r="E742" s="26"/>
      <c r="I742" s="26"/>
      <c r="O742" s="26"/>
    </row>
    <row r="743">
      <c r="B743" s="26"/>
      <c r="C743" s="26"/>
      <c r="E743" s="26"/>
      <c r="I743" s="26"/>
      <c r="O743" s="26"/>
    </row>
    <row r="744">
      <c r="B744" s="26"/>
      <c r="C744" s="26"/>
      <c r="E744" s="26"/>
      <c r="I744" s="26"/>
      <c r="O744" s="26"/>
    </row>
    <row r="745">
      <c r="B745" s="26"/>
      <c r="C745" s="26"/>
      <c r="E745" s="26"/>
      <c r="I745" s="26"/>
      <c r="O745" s="26"/>
    </row>
    <row r="746">
      <c r="B746" s="26"/>
      <c r="C746" s="26"/>
      <c r="E746" s="26"/>
      <c r="I746" s="26"/>
      <c r="O746" s="26"/>
    </row>
    <row r="747">
      <c r="B747" s="26"/>
      <c r="C747" s="26"/>
      <c r="E747" s="26"/>
      <c r="I747" s="26"/>
      <c r="O747" s="26"/>
    </row>
    <row r="748">
      <c r="B748" s="26"/>
      <c r="C748" s="26"/>
      <c r="E748" s="26"/>
      <c r="I748" s="26"/>
      <c r="O748" s="26"/>
    </row>
    <row r="749">
      <c r="B749" s="26"/>
      <c r="C749" s="26"/>
      <c r="E749" s="26"/>
      <c r="I749" s="26"/>
      <c r="O749" s="26"/>
    </row>
    <row r="750">
      <c r="B750" s="26"/>
      <c r="C750" s="26"/>
      <c r="E750" s="26"/>
      <c r="I750" s="26"/>
      <c r="O750" s="26"/>
    </row>
    <row r="751">
      <c r="B751" s="26"/>
      <c r="C751" s="26"/>
      <c r="E751" s="26"/>
      <c r="I751" s="26"/>
      <c r="O751" s="26"/>
    </row>
    <row r="752">
      <c r="B752" s="26"/>
      <c r="C752" s="26"/>
      <c r="E752" s="26"/>
      <c r="I752" s="26"/>
      <c r="O752" s="26"/>
    </row>
    <row r="753">
      <c r="B753" s="26"/>
      <c r="C753" s="26"/>
      <c r="E753" s="26"/>
      <c r="I753" s="26"/>
      <c r="O753" s="26"/>
    </row>
    <row r="754">
      <c r="B754" s="26"/>
      <c r="C754" s="26"/>
      <c r="E754" s="26"/>
      <c r="I754" s="26"/>
      <c r="O754" s="26"/>
    </row>
    <row r="755">
      <c r="B755" s="26"/>
      <c r="C755" s="26"/>
      <c r="E755" s="26"/>
      <c r="I755" s="26"/>
      <c r="O755" s="26"/>
    </row>
    <row r="756">
      <c r="B756" s="26"/>
      <c r="C756" s="26"/>
      <c r="E756" s="26"/>
      <c r="I756" s="26"/>
      <c r="O756" s="26"/>
    </row>
    <row r="757">
      <c r="B757" s="26"/>
      <c r="C757" s="26"/>
      <c r="E757" s="26"/>
      <c r="I757" s="26"/>
      <c r="O757" s="26"/>
    </row>
    <row r="758">
      <c r="B758" s="26"/>
      <c r="C758" s="26"/>
      <c r="E758" s="26"/>
      <c r="I758" s="26"/>
      <c r="O758" s="26"/>
    </row>
    <row r="759">
      <c r="B759" s="26"/>
      <c r="C759" s="26"/>
      <c r="E759" s="26"/>
      <c r="I759" s="26"/>
      <c r="O759" s="26"/>
    </row>
    <row r="760">
      <c r="B760" s="26"/>
      <c r="C760" s="26"/>
      <c r="E760" s="26"/>
      <c r="I760" s="26"/>
      <c r="O760" s="26"/>
    </row>
    <row r="761">
      <c r="B761" s="26"/>
      <c r="C761" s="26"/>
      <c r="E761" s="26"/>
      <c r="I761" s="26"/>
      <c r="O761" s="26"/>
    </row>
    <row r="762">
      <c r="B762" s="26"/>
      <c r="C762" s="26"/>
      <c r="E762" s="26"/>
      <c r="I762" s="26"/>
      <c r="O762" s="26"/>
    </row>
    <row r="763">
      <c r="B763" s="26"/>
      <c r="C763" s="26"/>
      <c r="E763" s="26"/>
      <c r="I763" s="26"/>
      <c r="O763" s="26"/>
    </row>
    <row r="764">
      <c r="B764" s="26"/>
      <c r="C764" s="26"/>
      <c r="E764" s="26"/>
      <c r="I764" s="26"/>
      <c r="O764" s="26"/>
    </row>
    <row r="765">
      <c r="B765" s="26"/>
      <c r="C765" s="26"/>
      <c r="E765" s="26"/>
      <c r="I765" s="26"/>
      <c r="O765" s="26"/>
    </row>
    <row r="766">
      <c r="B766" s="26"/>
      <c r="C766" s="26"/>
      <c r="E766" s="26"/>
      <c r="I766" s="26"/>
      <c r="O766" s="26"/>
    </row>
    <row r="767">
      <c r="B767" s="26"/>
      <c r="C767" s="26"/>
      <c r="E767" s="26"/>
      <c r="I767" s="26"/>
      <c r="O767" s="26"/>
    </row>
    <row r="768">
      <c r="B768" s="26"/>
      <c r="C768" s="26"/>
      <c r="E768" s="26"/>
      <c r="I768" s="26"/>
      <c r="O768" s="26"/>
    </row>
    <row r="769">
      <c r="B769" s="26"/>
      <c r="C769" s="26"/>
      <c r="E769" s="26"/>
      <c r="I769" s="26"/>
      <c r="O769" s="26"/>
    </row>
    <row r="770">
      <c r="B770" s="26"/>
      <c r="C770" s="26"/>
      <c r="E770" s="26"/>
      <c r="I770" s="26"/>
      <c r="O770" s="26"/>
    </row>
    <row r="771">
      <c r="B771" s="26"/>
      <c r="C771" s="26"/>
      <c r="E771" s="26"/>
      <c r="I771" s="26"/>
      <c r="O771" s="26"/>
    </row>
    <row r="772">
      <c r="B772" s="26"/>
      <c r="C772" s="26"/>
      <c r="E772" s="26"/>
      <c r="I772" s="26"/>
      <c r="O772" s="26"/>
    </row>
    <row r="773">
      <c r="B773" s="26"/>
      <c r="C773" s="26"/>
      <c r="E773" s="26"/>
      <c r="I773" s="26"/>
      <c r="O773" s="26"/>
    </row>
    <row r="774">
      <c r="B774" s="26"/>
      <c r="C774" s="26"/>
      <c r="E774" s="26"/>
      <c r="I774" s="26"/>
      <c r="O774" s="26"/>
    </row>
    <row r="775">
      <c r="B775" s="26"/>
      <c r="C775" s="26"/>
      <c r="E775" s="26"/>
      <c r="I775" s="26"/>
      <c r="O775" s="26"/>
    </row>
    <row r="776">
      <c r="B776" s="26"/>
      <c r="C776" s="26"/>
      <c r="E776" s="26"/>
      <c r="I776" s="26"/>
      <c r="O776" s="26"/>
    </row>
    <row r="777">
      <c r="B777" s="26"/>
      <c r="C777" s="26"/>
      <c r="E777" s="26"/>
      <c r="I777" s="26"/>
      <c r="O777" s="26"/>
    </row>
    <row r="778">
      <c r="B778" s="26"/>
      <c r="C778" s="26"/>
      <c r="E778" s="26"/>
      <c r="I778" s="26"/>
      <c r="O778" s="26"/>
    </row>
    <row r="779">
      <c r="B779" s="26"/>
      <c r="C779" s="26"/>
      <c r="E779" s="26"/>
      <c r="I779" s="26"/>
      <c r="O779" s="26"/>
    </row>
    <row r="780">
      <c r="B780" s="26"/>
      <c r="C780" s="26"/>
      <c r="E780" s="26"/>
      <c r="I780" s="26"/>
      <c r="O780" s="26"/>
    </row>
    <row r="781">
      <c r="B781" s="26"/>
      <c r="C781" s="26"/>
      <c r="E781" s="26"/>
      <c r="I781" s="26"/>
      <c r="O781" s="26"/>
    </row>
    <row r="782">
      <c r="B782" s="26"/>
      <c r="C782" s="26"/>
      <c r="E782" s="26"/>
      <c r="I782" s="26"/>
      <c r="O782" s="26"/>
    </row>
    <row r="783">
      <c r="B783" s="26"/>
      <c r="C783" s="26"/>
      <c r="E783" s="26"/>
      <c r="I783" s="26"/>
      <c r="O783" s="26"/>
    </row>
    <row r="784">
      <c r="B784" s="26"/>
      <c r="C784" s="26"/>
      <c r="E784" s="26"/>
      <c r="I784" s="26"/>
      <c r="O784" s="26"/>
    </row>
    <row r="785">
      <c r="B785" s="26"/>
      <c r="C785" s="26"/>
      <c r="E785" s="26"/>
      <c r="I785" s="26"/>
      <c r="O785" s="26"/>
    </row>
    <row r="786">
      <c r="B786" s="26"/>
      <c r="C786" s="26"/>
      <c r="E786" s="26"/>
      <c r="I786" s="26"/>
      <c r="O786" s="26"/>
    </row>
    <row r="787">
      <c r="B787" s="26"/>
      <c r="C787" s="26"/>
      <c r="E787" s="26"/>
      <c r="I787" s="26"/>
      <c r="O787" s="26"/>
    </row>
    <row r="788">
      <c r="B788" s="26"/>
      <c r="C788" s="26"/>
      <c r="E788" s="26"/>
      <c r="I788" s="26"/>
      <c r="O788" s="26"/>
    </row>
    <row r="789">
      <c r="B789" s="26"/>
      <c r="C789" s="26"/>
      <c r="E789" s="26"/>
      <c r="I789" s="26"/>
      <c r="O789" s="26"/>
    </row>
    <row r="790">
      <c r="B790" s="26"/>
      <c r="C790" s="26"/>
      <c r="E790" s="26"/>
      <c r="I790" s="26"/>
      <c r="O790" s="26"/>
    </row>
    <row r="791">
      <c r="B791" s="26"/>
      <c r="C791" s="26"/>
      <c r="E791" s="26"/>
      <c r="I791" s="26"/>
      <c r="O791" s="26"/>
    </row>
    <row r="792">
      <c r="B792" s="26"/>
      <c r="C792" s="26"/>
      <c r="E792" s="26"/>
      <c r="I792" s="26"/>
      <c r="O792" s="26"/>
    </row>
    <row r="793">
      <c r="B793" s="26"/>
      <c r="C793" s="26"/>
      <c r="E793" s="26"/>
      <c r="I793" s="26"/>
      <c r="O793" s="26"/>
    </row>
    <row r="794">
      <c r="B794" s="26"/>
      <c r="C794" s="26"/>
      <c r="E794" s="26"/>
      <c r="I794" s="26"/>
      <c r="O794" s="26"/>
    </row>
    <row r="795">
      <c r="B795" s="26"/>
      <c r="C795" s="26"/>
      <c r="E795" s="26"/>
      <c r="I795" s="26"/>
      <c r="O795" s="26"/>
    </row>
    <row r="796">
      <c r="B796" s="26"/>
      <c r="C796" s="26"/>
      <c r="E796" s="26"/>
      <c r="I796" s="26"/>
      <c r="O796" s="26"/>
    </row>
    <row r="797">
      <c r="B797" s="26"/>
      <c r="C797" s="26"/>
      <c r="E797" s="26"/>
      <c r="I797" s="26"/>
      <c r="O797" s="26"/>
    </row>
    <row r="798">
      <c r="B798" s="26"/>
      <c r="C798" s="26"/>
      <c r="E798" s="26"/>
      <c r="I798" s="26"/>
      <c r="O798" s="26"/>
    </row>
    <row r="799">
      <c r="B799" s="26"/>
      <c r="C799" s="26"/>
      <c r="E799" s="26"/>
      <c r="I799" s="26"/>
      <c r="O799" s="26"/>
    </row>
    <row r="800">
      <c r="B800" s="26"/>
      <c r="C800" s="26"/>
      <c r="E800" s="26"/>
      <c r="I800" s="26"/>
      <c r="O800" s="26"/>
    </row>
    <row r="801">
      <c r="B801" s="26"/>
      <c r="C801" s="26"/>
      <c r="E801" s="26"/>
      <c r="I801" s="26"/>
      <c r="O801" s="26"/>
    </row>
    <row r="802">
      <c r="B802" s="26"/>
      <c r="C802" s="26"/>
      <c r="E802" s="26"/>
      <c r="I802" s="26"/>
      <c r="O802" s="26"/>
    </row>
    <row r="803">
      <c r="B803" s="26"/>
      <c r="C803" s="26"/>
      <c r="E803" s="26"/>
      <c r="I803" s="26"/>
      <c r="O803" s="26"/>
    </row>
    <row r="804">
      <c r="B804" s="26"/>
      <c r="C804" s="26"/>
      <c r="E804" s="26"/>
      <c r="I804" s="26"/>
      <c r="O804" s="26"/>
    </row>
    <row r="805">
      <c r="B805" s="26"/>
      <c r="C805" s="26"/>
      <c r="E805" s="26"/>
      <c r="I805" s="26"/>
      <c r="O805" s="26"/>
    </row>
    <row r="806">
      <c r="B806" s="26"/>
      <c r="C806" s="26"/>
      <c r="E806" s="26"/>
      <c r="I806" s="26"/>
      <c r="O806" s="26"/>
    </row>
    <row r="807">
      <c r="B807" s="26"/>
      <c r="C807" s="26"/>
      <c r="E807" s="26"/>
      <c r="I807" s="26"/>
      <c r="O807" s="26"/>
    </row>
    <row r="808">
      <c r="B808" s="26"/>
      <c r="C808" s="26"/>
      <c r="E808" s="26"/>
      <c r="I808" s="26"/>
      <c r="O808" s="26"/>
    </row>
    <row r="809">
      <c r="B809" s="26"/>
      <c r="C809" s="26"/>
      <c r="E809" s="26"/>
      <c r="I809" s="26"/>
      <c r="O809" s="26"/>
    </row>
    <row r="810">
      <c r="B810" s="26"/>
      <c r="C810" s="26"/>
      <c r="E810" s="26"/>
      <c r="I810" s="26"/>
      <c r="O810" s="26"/>
    </row>
    <row r="811">
      <c r="B811" s="26"/>
      <c r="C811" s="26"/>
      <c r="E811" s="26"/>
      <c r="I811" s="26"/>
      <c r="O811" s="26"/>
    </row>
    <row r="812">
      <c r="B812" s="26"/>
      <c r="C812" s="26"/>
      <c r="E812" s="26"/>
      <c r="I812" s="26"/>
      <c r="O812" s="26"/>
    </row>
    <row r="813">
      <c r="B813" s="26"/>
      <c r="C813" s="26"/>
      <c r="E813" s="26"/>
      <c r="I813" s="26"/>
      <c r="O813" s="26"/>
    </row>
    <row r="814">
      <c r="B814" s="26"/>
      <c r="C814" s="26"/>
      <c r="E814" s="26"/>
      <c r="I814" s="26"/>
      <c r="O814" s="26"/>
    </row>
    <row r="815">
      <c r="B815" s="26"/>
      <c r="C815" s="26"/>
      <c r="E815" s="26"/>
      <c r="I815" s="26"/>
      <c r="O815" s="26"/>
    </row>
    <row r="816">
      <c r="B816" s="26"/>
      <c r="C816" s="26"/>
      <c r="E816" s="26"/>
      <c r="I816" s="26"/>
      <c r="O816" s="26"/>
    </row>
    <row r="817">
      <c r="B817" s="26"/>
      <c r="C817" s="26"/>
      <c r="E817" s="26"/>
      <c r="I817" s="26"/>
      <c r="O817" s="26"/>
    </row>
    <row r="818">
      <c r="B818" s="26"/>
      <c r="C818" s="26"/>
      <c r="E818" s="26"/>
      <c r="I818" s="26"/>
      <c r="O818" s="26"/>
    </row>
    <row r="819">
      <c r="B819" s="26"/>
      <c r="C819" s="26"/>
      <c r="E819" s="26"/>
      <c r="I819" s="26"/>
      <c r="O819" s="26"/>
    </row>
    <row r="820">
      <c r="B820" s="26"/>
      <c r="C820" s="26"/>
      <c r="E820" s="26"/>
      <c r="I820" s="26"/>
      <c r="O820" s="26"/>
    </row>
    <row r="821">
      <c r="B821" s="26"/>
      <c r="C821" s="26"/>
      <c r="E821" s="26"/>
      <c r="I821" s="26"/>
      <c r="O821" s="26"/>
    </row>
    <row r="822">
      <c r="B822" s="26"/>
      <c r="C822" s="26"/>
      <c r="E822" s="26"/>
      <c r="I822" s="26"/>
      <c r="O822" s="26"/>
    </row>
    <row r="823">
      <c r="B823" s="26"/>
      <c r="C823" s="26"/>
      <c r="E823" s="26"/>
      <c r="I823" s="26"/>
      <c r="O823" s="26"/>
    </row>
    <row r="824">
      <c r="B824" s="26"/>
      <c r="C824" s="26"/>
      <c r="E824" s="26"/>
      <c r="I824" s="26"/>
      <c r="O824" s="26"/>
    </row>
    <row r="825">
      <c r="B825" s="26"/>
      <c r="C825" s="26"/>
      <c r="E825" s="26"/>
      <c r="I825" s="26"/>
      <c r="O825" s="26"/>
    </row>
    <row r="826">
      <c r="B826" s="26"/>
      <c r="C826" s="26"/>
      <c r="E826" s="26"/>
      <c r="I826" s="26"/>
      <c r="O826" s="26"/>
    </row>
    <row r="827">
      <c r="B827" s="26"/>
      <c r="C827" s="26"/>
      <c r="E827" s="26"/>
      <c r="I827" s="26"/>
      <c r="O827" s="26"/>
    </row>
    <row r="828">
      <c r="B828" s="26"/>
      <c r="C828" s="26"/>
      <c r="E828" s="26"/>
      <c r="I828" s="26"/>
      <c r="O828" s="26"/>
    </row>
    <row r="829">
      <c r="B829" s="26"/>
      <c r="C829" s="26"/>
      <c r="E829" s="26"/>
      <c r="I829" s="26"/>
      <c r="O829" s="26"/>
    </row>
    <row r="830">
      <c r="B830" s="26"/>
      <c r="C830" s="26"/>
      <c r="E830" s="26"/>
      <c r="I830" s="26"/>
      <c r="O830" s="26"/>
    </row>
    <row r="831">
      <c r="B831" s="26"/>
      <c r="C831" s="26"/>
      <c r="E831" s="26"/>
      <c r="I831" s="26"/>
      <c r="O831" s="26"/>
    </row>
    <row r="832">
      <c r="B832" s="26"/>
      <c r="C832" s="26"/>
      <c r="E832" s="26"/>
      <c r="I832" s="26"/>
      <c r="O832" s="26"/>
    </row>
    <row r="833">
      <c r="B833" s="26"/>
      <c r="C833" s="26"/>
      <c r="E833" s="26"/>
      <c r="I833" s="26"/>
      <c r="O833" s="26"/>
    </row>
    <row r="834">
      <c r="B834" s="26"/>
      <c r="C834" s="26"/>
      <c r="E834" s="26"/>
      <c r="I834" s="26"/>
      <c r="O834" s="26"/>
    </row>
    <row r="835">
      <c r="B835" s="26"/>
      <c r="C835" s="26"/>
      <c r="E835" s="26"/>
      <c r="I835" s="26"/>
      <c r="O835" s="26"/>
    </row>
    <row r="836">
      <c r="B836" s="26"/>
      <c r="C836" s="26"/>
      <c r="E836" s="26"/>
      <c r="I836" s="26"/>
      <c r="O836" s="26"/>
    </row>
    <row r="837">
      <c r="B837" s="26"/>
      <c r="C837" s="26"/>
      <c r="E837" s="26"/>
      <c r="I837" s="26"/>
      <c r="O837" s="26"/>
    </row>
    <row r="838">
      <c r="B838" s="26"/>
      <c r="C838" s="26"/>
      <c r="E838" s="26"/>
      <c r="I838" s="26"/>
      <c r="O838" s="26"/>
    </row>
    <row r="839">
      <c r="B839" s="26"/>
      <c r="C839" s="26"/>
      <c r="E839" s="26"/>
      <c r="I839" s="26"/>
      <c r="O839" s="26"/>
    </row>
    <row r="840">
      <c r="B840" s="26"/>
      <c r="C840" s="26"/>
      <c r="E840" s="26"/>
      <c r="I840" s="26"/>
      <c r="O840" s="26"/>
    </row>
    <row r="841">
      <c r="B841" s="26"/>
      <c r="C841" s="26"/>
      <c r="E841" s="26"/>
      <c r="I841" s="26"/>
      <c r="O841" s="26"/>
    </row>
    <row r="842">
      <c r="B842" s="26"/>
      <c r="C842" s="26"/>
      <c r="E842" s="26"/>
      <c r="I842" s="26"/>
      <c r="O842" s="26"/>
    </row>
    <row r="843">
      <c r="B843" s="26"/>
      <c r="C843" s="26"/>
      <c r="E843" s="26"/>
      <c r="I843" s="26"/>
      <c r="O843" s="26"/>
    </row>
    <row r="844">
      <c r="B844" s="26"/>
      <c r="C844" s="26"/>
      <c r="E844" s="26"/>
      <c r="I844" s="26"/>
      <c r="O844" s="26"/>
    </row>
    <row r="845">
      <c r="B845" s="26"/>
      <c r="C845" s="26"/>
      <c r="E845" s="26"/>
      <c r="I845" s="26"/>
      <c r="O845" s="26"/>
    </row>
    <row r="846">
      <c r="B846" s="26"/>
      <c r="C846" s="26"/>
      <c r="E846" s="26"/>
      <c r="I846" s="26"/>
      <c r="O846" s="26"/>
    </row>
    <row r="847">
      <c r="B847" s="26"/>
      <c r="C847" s="26"/>
      <c r="E847" s="26"/>
      <c r="I847" s="26"/>
      <c r="O847" s="26"/>
    </row>
    <row r="848">
      <c r="B848" s="26"/>
      <c r="C848" s="26"/>
      <c r="E848" s="26"/>
      <c r="I848" s="26"/>
      <c r="O848" s="26"/>
    </row>
    <row r="849">
      <c r="B849" s="26"/>
      <c r="C849" s="26"/>
      <c r="E849" s="26"/>
      <c r="I849" s="26"/>
      <c r="O849" s="26"/>
    </row>
    <row r="850">
      <c r="B850" s="26"/>
      <c r="C850" s="26"/>
      <c r="E850" s="26"/>
      <c r="I850" s="26"/>
      <c r="O850" s="26"/>
    </row>
    <row r="851">
      <c r="B851" s="26"/>
      <c r="C851" s="26"/>
      <c r="E851" s="26"/>
      <c r="I851" s="26"/>
      <c r="O851" s="26"/>
    </row>
    <row r="852">
      <c r="B852" s="26"/>
      <c r="C852" s="26"/>
      <c r="E852" s="26"/>
      <c r="I852" s="26"/>
      <c r="O852" s="26"/>
    </row>
    <row r="853">
      <c r="B853" s="26"/>
      <c r="C853" s="26"/>
      <c r="E853" s="26"/>
      <c r="I853" s="26"/>
      <c r="O853" s="26"/>
    </row>
    <row r="854">
      <c r="B854" s="26"/>
      <c r="C854" s="26"/>
      <c r="E854" s="26"/>
      <c r="I854" s="26"/>
      <c r="O854" s="26"/>
    </row>
    <row r="855">
      <c r="B855" s="26"/>
      <c r="C855" s="26"/>
      <c r="E855" s="26"/>
      <c r="I855" s="26"/>
      <c r="O855" s="26"/>
    </row>
    <row r="856">
      <c r="B856" s="26"/>
      <c r="C856" s="26"/>
      <c r="E856" s="26"/>
      <c r="I856" s="26"/>
      <c r="O856" s="26"/>
    </row>
    <row r="857">
      <c r="B857" s="26"/>
      <c r="C857" s="26"/>
      <c r="E857" s="26"/>
      <c r="I857" s="26"/>
      <c r="O857" s="26"/>
    </row>
    <row r="858">
      <c r="B858" s="26"/>
      <c r="C858" s="26"/>
      <c r="E858" s="26"/>
      <c r="I858" s="26"/>
      <c r="O858" s="26"/>
    </row>
    <row r="859">
      <c r="B859" s="26"/>
      <c r="C859" s="26"/>
      <c r="E859" s="26"/>
      <c r="I859" s="26"/>
      <c r="O859" s="26"/>
    </row>
    <row r="860">
      <c r="B860" s="26"/>
      <c r="C860" s="26"/>
      <c r="E860" s="26"/>
      <c r="I860" s="26"/>
      <c r="O860" s="26"/>
    </row>
    <row r="861">
      <c r="B861" s="26"/>
      <c r="C861" s="26"/>
      <c r="E861" s="26"/>
      <c r="I861" s="26"/>
      <c r="O861" s="26"/>
    </row>
    <row r="862">
      <c r="B862" s="26"/>
      <c r="C862" s="26"/>
      <c r="E862" s="26"/>
      <c r="I862" s="26"/>
      <c r="O862" s="26"/>
    </row>
    <row r="863">
      <c r="B863" s="26"/>
      <c r="C863" s="26"/>
      <c r="E863" s="26"/>
      <c r="I863" s="26"/>
      <c r="O863" s="26"/>
    </row>
    <row r="864">
      <c r="B864" s="26"/>
      <c r="C864" s="26"/>
      <c r="E864" s="26"/>
      <c r="I864" s="26"/>
      <c r="O864" s="26"/>
    </row>
    <row r="865">
      <c r="B865" s="26"/>
      <c r="C865" s="26"/>
      <c r="E865" s="26"/>
      <c r="I865" s="26"/>
      <c r="O865" s="26"/>
    </row>
    <row r="866">
      <c r="B866" s="26"/>
      <c r="C866" s="26"/>
      <c r="E866" s="26"/>
      <c r="I866" s="26"/>
      <c r="O866" s="26"/>
    </row>
    <row r="867">
      <c r="B867" s="26"/>
      <c r="C867" s="26"/>
      <c r="E867" s="26"/>
      <c r="I867" s="26"/>
      <c r="O867" s="26"/>
    </row>
    <row r="868">
      <c r="B868" s="26"/>
      <c r="C868" s="26"/>
      <c r="E868" s="26"/>
      <c r="I868" s="26"/>
      <c r="O868" s="26"/>
    </row>
    <row r="869">
      <c r="B869" s="26"/>
      <c r="C869" s="26"/>
      <c r="E869" s="26"/>
      <c r="I869" s="26"/>
      <c r="O869" s="26"/>
    </row>
    <row r="870">
      <c r="B870" s="26"/>
      <c r="C870" s="26"/>
      <c r="E870" s="26"/>
      <c r="I870" s="26"/>
      <c r="O870" s="26"/>
    </row>
    <row r="871">
      <c r="B871" s="26"/>
      <c r="C871" s="26"/>
      <c r="E871" s="26"/>
      <c r="I871" s="26"/>
      <c r="O871" s="26"/>
    </row>
    <row r="872">
      <c r="B872" s="26"/>
      <c r="C872" s="26"/>
      <c r="E872" s="26"/>
      <c r="I872" s="26"/>
      <c r="O872" s="26"/>
    </row>
    <row r="873">
      <c r="B873" s="26"/>
      <c r="C873" s="26"/>
      <c r="E873" s="26"/>
      <c r="I873" s="26"/>
      <c r="O873" s="26"/>
    </row>
    <row r="874">
      <c r="B874" s="26"/>
      <c r="C874" s="26"/>
      <c r="E874" s="26"/>
      <c r="I874" s="26"/>
      <c r="O874" s="26"/>
    </row>
    <row r="875">
      <c r="B875" s="26"/>
      <c r="C875" s="26"/>
      <c r="E875" s="26"/>
      <c r="I875" s="26"/>
      <c r="O875" s="26"/>
    </row>
    <row r="876">
      <c r="B876" s="26"/>
      <c r="C876" s="26"/>
      <c r="E876" s="26"/>
      <c r="I876" s="26"/>
      <c r="O876" s="26"/>
    </row>
    <row r="877">
      <c r="B877" s="26"/>
      <c r="C877" s="26"/>
      <c r="E877" s="26"/>
      <c r="I877" s="26"/>
      <c r="O877" s="26"/>
    </row>
    <row r="878">
      <c r="B878" s="26"/>
      <c r="C878" s="26"/>
      <c r="E878" s="26"/>
      <c r="I878" s="26"/>
      <c r="O878" s="26"/>
    </row>
    <row r="879">
      <c r="B879" s="26"/>
      <c r="C879" s="26"/>
      <c r="E879" s="26"/>
      <c r="I879" s="26"/>
      <c r="O879" s="26"/>
    </row>
    <row r="880">
      <c r="B880" s="26"/>
      <c r="C880" s="26"/>
      <c r="E880" s="26"/>
      <c r="I880" s="26"/>
      <c r="O880" s="26"/>
    </row>
    <row r="881">
      <c r="B881" s="26"/>
      <c r="C881" s="26"/>
      <c r="E881" s="26"/>
      <c r="I881" s="26"/>
      <c r="O881" s="26"/>
    </row>
    <row r="882">
      <c r="B882" s="26"/>
      <c r="C882" s="26"/>
      <c r="E882" s="26"/>
      <c r="I882" s="26"/>
      <c r="O882" s="26"/>
    </row>
    <row r="883">
      <c r="B883" s="26"/>
      <c r="C883" s="26"/>
      <c r="E883" s="26"/>
      <c r="I883" s="26"/>
      <c r="O883" s="26"/>
    </row>
    <row r="884">
      <c r="B884" s="26"/>
      <c r="C884" s="26"/>
      <c r="E884" s="26"/>
      <c r="I884" s="26"/>
      <c r="O884" s="26"/>
    </row>
    <row r="885">
      <c r="B885" s="26"/>
      <c r="C885" s="26"/>
      <c r="E885" s="26"/>
      <c r="I885" s="26"/>
      <c r="O885" s="26"/>
    </row>
    <row r="886">
      <c r="B886" s="26"/>
      <c r="C886" s="26"/>
      <c r="E886" s="26"/>
      <c r="I886" s="26"/>
      <c r="O886" s="26"/>
    </row>
    <row r="887">
      <c r="B887" s="26"/>
      <c r="C887" s="26"/>
      <c r="E887" s="26"/>
      <c r="I887" s="26"/>
      <c r="O887" s="26"/>
    </row>
    <row r="888">
      <c r="B888" s="26"/>
      <c r="C888" s="26"/>
      <c r="E888" s="26"/>
      <c r="I888" s="26"/>
      <c r="O888" s="26"/>
    </row>
    <row r="889">
      <c r="B889" s="26"/>
      <c r="C889" s="26"/>
      <c r="E889" s="26"/>
      <c r="I889" s="26"/>
      <c r="O889" s="26"/>
    </row>
    <row r="890">
      <c r="B890" s="26"/>
      <c r="C890" s="26"/>
      <c r="E890" s="26"/>
      <c r="I890" s="26"/>
      <c r="O890" s="26"/>
    </row>
    <row r="891">
      <c r="B891" s="26"/>
      <c r="C891" s="26"/>
      <c r="E891" s="26"/>
      <c r="I891" s="26"/>
      <c r="O891" s="26"/>
    </row>
    <row r="892">
      <c r="B892" s="26"/>
      <c r="C892" s="26"/>
      <c r="E892" s="26"/>
      <c r="I892" s="26"/>
      <c r="O892" s="26"/>
    </row>
    <row r="893">
      <c r="B893" s="26"/>
      <c r="C893" s="26"/>
      <c r="E893" s="26"/>
      <c r="I893" s="26"/>
      <c r="O893" s="26"/>
    </row>
    <row r="894">
      <c r="B894" s="26"/>
      <c r="C894" s="26"/>
      <c r="E894" s="26"/>
      <c r="I894" s="26"/>
      <c r="O894" s="26"/>
    </row>
    <row r="895">
      <c r="B895" s="26"/>
      <c r="C895" s="26"/>
      <c r="E895" s="26"/>
      <c r="I895" s="26"/>
      <c r="O895" s="26"/>
    </row>
    <row r="896">
      <c r="B896" s="26"/>
      <c r="C896" s="26"/>
      <c r="E896" s="26"/>
      <c r="I896" s="26"/>
      <c r="O896" s="26"/>
    </row>
    <row r="897">
      <c r="B897" s="26"/>
      <c r="C897" s="26"/>
      <c r="E897" s="26"/>
      <c r="I897" s="26"/>
      <c r="O897" s="26"/>
    </row>
    <row r="898">
      <c r="B898" s="26"/>
      <c r="C898" s="26"/>
      <c r="E898" s="26"/>
      <c r="I898" s="26"/>
      <c r="O898" s="26"/>
    </row>
    <row r="899">
      <c r="B899" s="26"/>
      <c r="C899" s="26"/>
      <c r="E899" s="26"/>
      <c r="I899" s="26"/>
      <c r="O899" s="26"/>
    </row>
    <row r="900">
      <c r="B900" s="26"/>
      <c r="C900" s="26"/>
      <c r="E900" s="26"/>
      <c r="I900" s="26"/>
      <c r="O900" s="26"/>
    </row>
    <row r="901">
      <c r="B901" s="26"/>
      <c r="C901" s="26"/>
      <c r="E901" s="26"/>
      <c r="I901" s="26"/>
      <c r="O901" s="26"/>
    </row>
    <row r="902">
      <c r="B902" s="26"/>
      <c r="C902" s="26"/>
      <c r="E902" s="26"/>
      <c r="I902" s="26"/>
      <c r="O902" s="26"/>
    </row>
    <row r="903">
      <c r="B903" s="26"/>
      <c r="C903" s="26"/>
      <c r="E903" s="26"/>
      <c r="I903" s="26"/>
      <c r="O903" s="26"/>
    </row>
    <row r="904">
      <c r="B904" s="26"/>
      <c r="C904" s="26"/>
      <c r="E904" s="26"/>
      <c r="I904" s="26"/>
      <c r="O904" s="26"/>
    </row>
    <row r="905">
      <c r="B905" s="26"/>
      <c r="C905" s="26"/>
      <c r="E905" s="26"/>
      <c r="I905" s="26"/>
      <c r="O905" s="26"/>
    </row>
    <row r="906">
      <c r="B906" s="26"/>
      <c r="C906" s="26"/>
      <c r="E906" s="26"/>
      <c r="I906" s="26"/>
      <c r="O906" s="26"/>
    </row>
    <row r="907">
      <c r="B907" s="26"/>
      <c r="C907" s="26"/>
      <c r="E907" s="26"/>
      <c r="I907" s="26"/>
      <c r="O907" s="26"/>
    </row>
    <row r="908">
      <c r="B908" s="26"/>
      <c r="C908" s="26"/>
      <c r="E908" s="26"/>
      <c r="I908" s="26"/>
      <c r="O908" s="26"/>
    </row>
    <row r="909">
      <c r="B909" s="26"/>
      <c r="C909" s="26"/>
      <c r="E909" s="26"/>
      <c r="I909" s="26"/>
      <c r="O909" s="26"/>
    </row>
    <row r="910">
      <c r="B910" s="26"/>
      <c r="C910" s="26"/>
      <c r="E910" s="26"/>
      <c r="I910" s="26"/>
      <c r="O910" s="26"/>
    </row>
    <row r="911">
      <c r="B911" s="26"/>
      <c r="C911" s="26"/>
      <c r="E911" s="26"/>
      <c r="I911" s="26"/>
      <c r="O911" s="26"/>
    </row>
    <row r="912">
      <c r="B912" s="26"/>
      <c r="C912" s="26"/>
      <c r="E912" s="26"/>
      <c r="I912" s="26"/>
      <c r="O912" s="26"/>
    </row>
    <row r="913">
      <c r="B913" s="26"/>
      <c r="C913" s="26"/>
      <c r="E913" s="26"/>
      <c r="I913" s="26"/>
      <c r="O913" s="26"/>
    </row>
    <row r="914">
      <c r="B914" s="26"/>
      <c r="C914" s="26"/>
      <c r="E914" s="26"/>
      <c r="I914" s="26"/>
      <c r="O914" s="26"/>
    </row>
    <row r="915">
      <c r="B915" s="26"/>
      <c r="C915" s="26"/>
      <c r="E915" s="26"/>
      <c r="I915" s="26"/>
      <c r="O915" s="26"/>
    </row>
    <row r="916">
      <c r="B916" s="26"/>
      <c r="C916" s="26"/>
      <c r="E916" s="26"/>
      <c r="I916" s="26"/>
      <c r="O916" s="26"/>
    </row>
    <row r="917">
      <c r="B917" s="26"/>
      <c r="C917" s="26"/>
      <c r="E917" s="26"/>
      <c r="I917" s="26"/>
      <c r="O917" s="26"/>
    </row>
    <row r="918">
      <c r="B918" s="26"/>
      <c r="C918" s="26"/>
      <c r="E918" s="26"/>
      <c r="I918" s="26"/>
      <c r="O918" s="26"/>
    </row>
    <row r="919">
      <c r="B919" s="26"/>
      <c r="C919" s="26"/>
      <c r="E919" s="26"/>
      <c r="I919" s="26"/>
      <c r="O919" s="26"/>
    </row>
    <row r="920">
      <c r="B920" s="26"/>
      <c r="C920" s="26"/>
      <c r="E920" s="26"/>
      <c r="I920" s="26"/>
      <c r="O920" s="26"/>
    </row>
    <row r="921">
      <c r="B921" s="26"/>
      <c r="C921" s="26"/>
      <c r="E921" s="26"/>
      <c r="I921" s="26"/>
      <c r="O921" s="26"/>
    </row>
    <row r="922">
      <c r="B922" s="26"/>
      <c r="C922" s="26"/>
      <c r="E922" s="26"/>
      <c r="I922" s="26"/>
      <c r="O922" s="26"/>
    </row>
    <row r="923">
      <c r="B923" s="26"/>
      <c r="C923" s="26"/>
      <c r="E923" s="26"/>
      <c r="I923" s="26"/>
      <c r="O923" s="26"/>
    </row>
    <row r="924">
      <c r="B924" s="26"/>
      <c r="C924" s="26"/>
      <c r="E924" s="26"/>
      <c r="I924" s="26"/>
      <c r="O924" s="26"/>
    </row>
    <row r="925">
      <c r="B925" s="26"/>
      <c r="C925" s="26"/>
      <c r="E925" s="26"/>
      <c r="I925" s="26"/>
      <c r="O925" s="26"/>
    </row>
    <row r="926">
      <c r="B926" s="26"/>
      <c r="C926" s="26"/>
      <c r="E926" s="26"/>
      <c r="I926" s="26"/>
      <c r="O926" s="26"/>
    </row>
    <row r="927">
      <c r="B927" s="26"/>
      <c r="C927" s="26"/>
      <c r="E927" s="26"/>
      <c r="I927" s="26"/>
      <c r="O927" s="26"/>
    </row>
    <row r="928">
      <c r="B928" s="26"/>
      <c r="C928" s="26"/>
      <c r="E928" s="26"/>
      <c r="I928" s="26"/>
      <c r="O928" s="26"/>
    </row>
    <row r="929">
      <c r="B929" s="26"/>
      <c r="C929" s="26"/>
      <c r="E929" s="26"/>
      <c r="I929" s="26"/>
      <c r="O929" s="26"/>
    </row>
    <row r="930">
      <c r="B930" s="26"/>
      <c r="C930" s="26"/>
      <c r="E930" s="26"/>
      <c r="I930" s="26"/>
      <c r="O930" s="26"/>
    </row>
    <row r="931">
      <c r="B931" s="26"/>
      <c r="C931" s="26"/>
      <c r="E931" s="26"/>
      <c r="I931" s="26"/>
      <c r="O931" s="26"/>
    </row>
    <row r="932">
      <c r="B932" s="26"/>
      <c r="C932" s="26"/>
      <c r="E932" s="26"/>
      <c r="I932" s="26"/>
      <c r="O932" s="26"/>
    </row>
    <row r="933">
      <c r="B933" s="26"/>
      <c r="C933" s="26"/>
      <c r="E933" s="26"/>
      <c r="I933" s="26"/>
      <c r="O933" s="26"/>
    </row>
    <row r="934">
      <c r="B934" s="26"/>
      <c r="C934" s="26"/>
      <c r="E934" s="26"/>
      <c r="I934" s="26"/>
      <c r="O934" s="26"/>
    </row>
    <row r="935">
      <c r="B935" s="26"/>
      <c r="C935" s="26"/>
      <c r="E935" s="26"/>
      <c r="I935" s="26"/>
      <c r="O935" s="26"/>
    </row>
    <row r="936">
      <c r="B936" s="26"/>
      <c r="C936" s="26"/>
      <c r="E936" s="26"/>
      <c r="I936" s="26"/>
      <c r="O936" s="26"/>
    </row>
    <row r="937">
      <c r="B937" s="26"/>
      <c r="C937" s="26"/>
      <c r="E937" s="26"/>
      <c r="I937" s="26"/>
      <c r="O937" s="26"/>
    </row>
    <row r="938">
      <c r="B938" s="26"/>
      <c r="C938" s="26"/>
      <c r="E938" s="26"/>
      <c r="I938" s="26"/>
      <c r="O938" s="26"/>
    </row>
    <row r="939">
      <c r="B939" s="26"/>
      <c r="C939" s="26"/>
      <c r="E939" s="26"/>
      <c r="I939" s="26"/>
      <c r="O939" s="26"/>
    </row>
    <row r="940">
      <c r="B940" s="26"/>
      <c r="C940" s="26"/>
      <c r="E940" s="26"/>
      <c r="I940" s="26"/>
      <c r="O940" s="26"/>
    </row>
    <row r="941">
      <c r="B941" s="26"/>
      <c r="C941" s="26"/>
      <c r="E941" s="26"/>
      <c r="I941" s="26"/>
      <c r="O941" s="26"/>
    </row>
    <row r="942">
      <c r="B942" s="26"/>
      <c r="C942" s="26"/>
      <c r="E942" s="26"/>
      <c r="I942" s="26"/>
      <c r="O942" s="26"/>
    </row>
    <row r="943">
      <c r="B943" s="26"/>
      <c r="C943" s="26"/>
      <c r="E943" s="26"/>
      <c r="I943" s="26"/>
      <c r="O943" s="26"/>
    </row>
    <row r="944">
      <c r="B944" s="26"/>
      <c r="C944" s="26"/>
      <c r="E944" s="26"/>
      <c r="I944" s="26"/>
      <c r="O944" s="26"/>
    </row>
    <row r="945">
      <c r="B945" s="26"/>
      <c r="C945" s="26"/>
      <c r="E945" s="26"/>
      <c r="I945" s="26"/>
      <c r="O945" s="26"/>
    </row>
    <row r="946">
      <c r="B946" s="26"/>
      <c r="C946" s="26"/>
      <c r="E946" s="26"/>
      <c r="I946" s="26"/>
      <c r="O946" s="26"/>
    </row>
    <row r="947">
      <c r="B947" s="26"/>
      <c r="C947" s="26"/>
      <c r="E947" s="26"/>
      <c r="I947" s="26"/>
      <c r="O947" s="26"/>
    </row>
    <row r="948">
      <c r="B948" s="26"/>
      <c r="C948" s="26"/>
      <c r="E948" s="26"/>
      <c r="I948" s="26"/>
      <c r="O948" s="26"/>
    </row>
    <row r="949">
      <c r="B949" s="26"/>
      <c r="C949" s="26"/>
      <c r="E949" s="26"/>
      <c r="I949" s="26"/>
      <c r="O949" s="26"/>
    </row>
    <row r="950">
      <c r="B950" s="26"/>
      <c r="C950" s="26"/>
      <c r="E950" s="26"/>
      <c r="I950" s="26"/>
      <c r="O950" s="26"/>
    </row>
    <row r="951">
      <c r="B951" s="26"/>
      <c r="C951" s="26"/>
      <c r="E951" s="26"/>
      <c r="I951" s="26"/>
      <c r="O951" s="26"/>
    </row>
    <row r="952">
      <c r="B952" s="26"/>
      <c r="C952" s="26"/>
      <c r="E952" s="26"/>
      <c r="I952" s="26"/>
      <c r="O952" s="26"/>
    </row>
    <row r="953">
      <c r="B953" s="26"/>
      <c r="C953" s="26"/>
      <c r="E953" s="26"/>
      <c r="I953" s="26"/>
      <c r="O953" s="26"/>
    </row>
    <row r="954">
      <c r="B954" s="26"/>
      <c r="C954" s="26"/>
      <c r="E954" s="26"/>
      <c r="I954" s="26"/>
      <c r="O954" s="26"/>
    </row>
    <row r="955">
      <c r="B955" s="26"/>
      <c r="C955" s="26"/>
      <c r="E955" s="26"/>
      <c r="I955" s="26"/>
      <c r="O955" s="26"/>
    </row>
    <row r="956">
      <c r="B956" s="26"/>
      <c r="C956" s="26"/>
      <c r="E956" s="26"/>
      <c r="I956" s="26"/>
      <c r="O956" s="26"/>
    </row>
    <row r="957">
      <c r="B957" s="26"/>
      <c r="C957" s="26"/>
      <c r="E957" s="26"/>
      <c r="I957" s="26"/>
      <c r="O957" s="26"/>
    </row>
    <row r="958">
      <c r="B958" s="26"/>
      <c r="C958" s="26"/>
      <c r="E958" s="26"/>
      <c r="I958" s="26"/>
      <c r="O958" s="26"/>
    </row>
    <row r="959">
      <c r="B959" s="26"/>
      <c r="C959" s="26"/>
      <c r="E959" s="26"/>
      <c r="I959" s="26"/>
      <c r="O959" s="26"/>
    </row>
    <row r="960">
      <c r="B960" s="26"/>
      <c r="C960" s="26"/>
      <c r="E960" s="26"/>
      <c r="I960" s="26"/>
      <c r="O960" s="26"/>
    </row>
    <row r="961">
      <c r="B961" s="26"/>
      <c r="C961" s="26"/>
      <c r="E961" s="26"/>
      <c r="I961" s="26"/>
      <c r="O961" s="26"/>
    </row>
    <row r="962">
      <c r="B962" s="26"/>
      <c r="C962" s="26"/>
      <c r="E962" s="26"/>
      <c r="I962" s="26"/>
      <c r="O962" s="26"/>
    </row>
    <row r="963">
      <c r="B963" s="26"/>
      <c r="C963" s="26"/>
      <c r="E963" s="26"/>
      <c r="I963" s="26"/>
      <c r="O963" s="26"/>
    </row>
    <row r="964">
      <c r="B964" s="26"/>
      <c r="C964" s="26"/>
      <c r="E964" s="26"/>
      <c r="I964" s="26"/>
      <c r="O964" s="26"/>
    </row>
    <row r="965">
      <c r="B965" s="26"/>
      <c r="C965" s="26"/>
      <c r="E965" s="26"/>
      <c r="I965" s="26"/>
      <c r="O965" s="26"/>
    </row>
    <row r="966">
      <c r="B966" s="26"/>
      <c r="C966" s="26"/>
      <c r="E966" s="26"/>
      <c r="I966" s="26"/>
      <c r="O966" s="26"/>
    </row>
    <row r="967">
      <c r="B967" s="26"/>
      <c r="C967" s="26"/>
      <c r="E967" s="26"/>
      <c r="I967" s="26"/>
      <c r="O967" s="26"/>
    </row>
    <row r="968">
      <c r="B968" s="26"/>
      <c r="C968" s="26"/>
      <c r="E968" s="26"/>
      <c r="I968" s="26"/>
      <c r="O968" s="26"/>
    </row>
    <row r="969">
      <c r="B969" s="26"/>
      <c r="C969" s="26"/>
      <c r="E969" s="26"/>
      <c r="I969" s="26"/>
      <c r="O969" s="26"/>
    </row>
    <row r="970">
      <c r="B970" s="26"/>
      <c r="C970" s="26"/>
      <c r="E970" s="26"/>
      <c r="I970" s="26"/>
      <c r="O970" s="26"/>
    </row>
    <row r="971">
      <c r="B971" s="26"/>
      <c r="C971" s="26"/>
      <c r="E971" s="26"/>
      <c r="I971" s="26"/>
      <c r="O971" s="26"/>
    </row>
    <row r="972">
      <c r="B972" s="26"/>
      <c r="C972" s="26"/>
      <c r="E972" s="26"/>
      <c r="I972" s="26"/>
      <c r="O972" s="26"/>
    </row>
    <row r="973">
      <c r="B973" s="26"/>
      <c r="C973" s="26"/>
      <c r="E973" s="26"/>
      <c r="I973" s="26"/>
      <c r="O973" s="26"/>
    </row>
    <row r="974">
      <c r="B974" s="26"/>
      <c r="C974" s="26"/>
      <c r="E974" s="26"/>
      <c r="I974" s="26"/>
      <c r="O974" s="26"/>
    </row>
    <row r="975">
      <c r="B975" s="26"/>
      <c r="C975" s="26"/>
      <c r="E975" s="26"/>
      <c r="I975" s="26"/>
      <c r="O975" s="26"/>
    </row>
    <row r="976">
      <c r="B976" s="26"/>
      <c r="C976" s="26"/>
      <c r="E976" s="26"/>
      <c r="I976" s="26"/>
      <c r="O976" s="26"/>
    </row>
    <row r="977">
      <c r="B977" s="26"/>
      <c r="C977" s="26"/>
      <c r="E977" s="26"/>
      <c r="I977" s="26"/>
      <c r="O977" s="26"/>
    </row>
    <row r="978">
      <c r="B978" s="26"/>
      <c r="C978" s="26"/>
      <c r="E978" s="26"/>
      <c r="I978" s="26"/>
      <c r="O978" s="26"/>
    </row>
    <row r="979">
      <c r="B979" s="26"/>
      <c r="C979" s="26"/>
      <c r="E979" s="26"/>
      <c r="I979" s="26"/>
      <c r="O979" s="26"/>
    </row>
    <row r="980">
      <c r="B980" s="26"/>
      <c r="C980" s="26"/>
      <c r="E980" s="26"/>
      <c r="I980" s="26"/>
      <c r="O980" s="26"/>
    </row>
    <row r="981">
      <c r="B981" s="26"/>
      <c r="C981" s="26"/>
      <c r="E981" s="26"/>
      <c r="I981" s="26"/>
      <c r="O981" s="26"/>
    </row>
    <row r="982">
      <c r="B982" s="26"/>
      <c r="C982" s="26"/>
      <c r="E982" s="26"/>
      <c r="I982" s="26"/>
      <c r="O982" s="26"/>
    </row>
    <row r="983">
      <c r="B983" s="26"/>
      <c r="C983" s="26"/>
      <c r="E983" s="26"/>
      <c r="I983" s="26"/>
      <c r="O983" s="26"/>
    </row>
    <row r="984">
      <c r="B984" s="26"/>
      <c r="C984" s="26"/>
      <c r="E984" s="26"/>
      <c r="I984" s="26"/>
      <c r="O984" s="26"/>
    </row>
    <row r="985">
      <c r="B985" s="26"/>
      <c r="C985" s="26"/>
      <c r="E985" s="26"/>
      <c r="I985" s="26"/>
      <c r="O985" s="26"/>
    </row>
    <row r="986">
      <c r="B986" s="26"/>
      <c r="C986" s="26"/>
      <c r="E986" s="26"/>
      <c r="I986" s="26"/>
      <c r="O986" s="26"/>
    </row>
    <row r="987">
      <c r="B987" s="26"/>
      <c r="C987" s="26"/>
      <c r="E987" s="26"/>
      <c r="I987" s="26"/>
      <c r="O987" s="26"/>
    </row>
    <row r="988">
      <c r="B988" s="26"/>
      <c r="C988" s="26"/>
      <c r="E988" s="26"/>
      <c r="I988" s="26"/>
      <c r="O988" s="26"/>
    </row>
    <row r="989">
      <c r="B989" s="26"/>
      <c r="C989" s="26"/>
      <c r="E989" s="26"/>
      <c r="I989" s="26"/>
      <c r="O989" s="26"/>
    </row>
    <row r="990">
      <c r="B990" s="26"/>
      <c r="C990" s="26"/>
      <c r="E990" s="26"/>
      <c r="I990" s="26"/>
      <c r="O990" s="26"/>
    </row>
    <row r="991">
      <c r="B991" s="26"/>
      <c r="C991" s="26"/>
      <c r="E991" s="26"/>
      <c r="I991" s="26"/>
      <c r="O991" s="26"/>
    </row>
    <row r="992">
      <c r="B992" s="26"/>
      <c r="C992" s="26"/>
      <c r="E992" s="26"/>
      <c r="I992" s="26"/>
      <c r="O992" s="26"/>
    </row>
    <row r="993">
      <c r="B993" s="26"/>
      <c r="C993" s="26"/>
      <c r="E993" s="26"/>
      <c r="I993" s="26"/>
      <c r="O993" s="26"/>
    </row>
    <row r="994">
      <c r="B994" s="26"/>
      <c r="C994" s="26"/>
      <c r="E994" s="26"/>
      <c r="I994" s="26"/>
      <c r="O994" s="26"/>
    </row>
    <row r="995">
      <c r="B995" s="26"/>
      <c r="C995" s="26"/>
      <c r="E995" s="26"/>
      <c r="I995" s="26"/>
      <c r="O995" s="26"/>
    </row>
    <row r="996">
      <c r="B996" s="26"/>
      <c r="C996" s="26"/>
      <c r="E996" s="26"/>
      <c r="I996" s="26"/>
      <c r="O996" s="26"/>
    </row>
    <row r="997">
      <c r="B997" s="26"/>
      <c r="C997" s="26"/>
      <c r="E997" s="26"/>
      <c r="I997" s="26"/>
      <c r="O997" s="26"/>
    </row>
    <row r="998">
      <c r="B998" s="26"/>
      <c r="C998" s="26"/>
      <c r="E998" s="26"/>
      <c r="I998" s="26"/>
      <c r="O998" s="26"/>
    </row>
    <row r="999">
      <c r="B999" s="26"/>
      <c r="C999" s="26"/>
      <c r="E999" s="26"/>
      <c r="I999" s="26"/>
      <c r="O999" s="26"/>
    </row>
    <row r="1000">
      <c r="B1000" s="26"/>
      <c r="C1000" s="26"/>
      <c r="E1000" s="26"/>
      <c r="I1000" s="26"/>
      <c r="O1000" s="26"/>
    </row>
    <row r="1001">
      <c r="B1001" s="26"/>
      <c r="C1001" s="26"/>
      <c r="E1001" s="26"/>
      <c r="I1001" s="26"/>
      <c r="O1001" s="26"/>
    </row>
    <row r="1002">
      <c r="B1002" s="26"/>
      <c r="C1002" s="26"/>
      <c r="E1002" s="26"/>
      <c r="I1002" s="26"/>
      <c r="O1002" s="26"/>
    </row>
    <row r="1003">
      <c r="B1003" s="26"/>
      <c r="C1003" s="26"/>
      <c r="E1003" s="26"/>
      <c r="I1003" s="26"/>
      <c r="O1003" s="26"/>
    </row>
    <row r="1004">
      <c r="B1004" s="26"/>
      <c r="C1004" s="26"/>
      <c r="E1004" s="26"/>
      <c r="I1004" s="26"/>
      <c r="O1004" s="26"/>
    </row>
    <row r="1005">
      <c r="B1005" s="26"/>
      <c r="C1005" s="26"/>
      <c r="E1005" s="26"/>
      <c r="I1005" s="26"/>
      <c r="O1005" s="26"/>
    </row>
    <row r="1006">
      <c r="B1006" s="26"/>
      <c r="C1006" s="26"/>
      <c r="E1006" s="26"/>
      <c r="I1006" s="26"/>
      <c r="O1006" s="26"/>
    </row>
    <row r="1007">
      <c r="B1007" s="26"/>
      <c r="C1007" s="26"/>
      <c r="E1007" s="26"/>
      <c r="I1007" s="26"/>
      <c r="O1007" s="26"/>
    </row>
    <row r="1008">
      <c r="B1008" s="26"/>
      <c r="C1008" s="26"/>
      <c r="E1008" s="26"/>
      <c r="I1008" s="26"/>
      <c r="O1008" s="26"/>
    </row>
    <row r="1009">
      <c r="B1009" s="26"/>
      <c r="C1009" s="26"/>
      <c r="E1009" s="26"/>
      <c r="I1009" s="26"/>
      <c r="O1009" s="26"/>
    </row>
    <row r="1010">
      <c r="B1010" s="26"/>
      <c r="C1010" s="26"/>
      <c r="E1010" s="26"/>
      <c r="I1010" s="26"/>
      <c r="O1010" s="26"/>
    </row>
    <row r="1011">
      <c r="B1011" s="26"/>
      <c r="C1011" s="26"/>
      <c r="E1011" s="26"/>
      <c r="I1011" s="26"/>
      <c r="O1011" s="26"/>
    </row>
    <row r="1012">
      <c r="B1012" s="26"/>
      <c r="C1012" s="26"/>
      <c r="E1012" s="26"/>
      <c r="I1012" s="26"/>
      <c r="O1012" s="26"/>
    </row>
    <row r="1013">
      <c r="B1013" s="26"/>
      <c r="C1013" s="26"/>
      <c r="E1013" s="26"/>
      <c r="I1013" s="26"/>
      <c r="O1013" s="26"/>
    </row>
    <row r="1014">
      <c r="B1014" s="26"/>
      <c r="C1014" s="26"/>
      <c r="E1014" s="26"/>
      <c r="I1014" s="26"/>
      <c r="O1014" s="26"/>
    </row>
    <row r="1015">
      <c r="B1015" s="26"/>
      <c r="C1015" s="26"/>
      <c r="E1015" s="26"/>
      <c r="I1015" s="26"/>
      <c r="O1015" s="26"/>
    </row>
    <row r="1016">
      <c r="B1016" s="26"/>
      <c r="C1016" s="26"/>
      <c r="E1016" s="26"/>
      <c r="I1016" s="26"/>
      <c r="O1016" s="26"/>
    </row>
    <row r="1017">
      <c r="B1017" s="26"/>
      <c r="C1017" s="26"/>
      <c r="E1017" s="26"/>
      <c r="I1017" s="26"/>
      <c r="O1017" s="26"/>
    </row>
    <row r="1018">
      <c r="B1018" s="26"/>
      <c r="C1018" s="26"/>
      <c r="E1018" s="26"/>
      <c r="I1018" s="26"/>
      <c r="O1018" s="26"/>
    </row>
    <row r="1019">
      <c r="B1019" s="26"/>
      <c r="C1019" s="26"/>
      <c r="E1019" s="26"/>
      <c r="I1019" s="26"/>
      <c r="O1019" s="26"/>
    </row>
    <row r="1020">
      <c r="B1020" s="26"/>
      <c r="C1020" s="26"/>
      <c r="E1020" s="26"/>
      <c r="I1020" s="26"/>
      <c r="O1020" s="26"/>
    </row>
    <row r="1021">
      <c r="B1021" s="26"/>
      <c r="C1021" s="26"/>
      <c r="E1021" s="26"/>
      <c r="I1021" s="26"/>
      <c r="O1021" s="26"/>
    </row>
    <row r="1022">
      <c r="B1022" s="26"/>
      <c r="C1022" s="26"/>
      <c r="E1022" s="26"/>
      <c r="I1022" s="26"/>
      <c r="O1022" s="26"/>
    </row>
    <row r="1023">
      <c r="B1023" s="26"/>
      <c r="C1023" s="26"/>
      <c r="E1023" s="26"/>
      <c r="I1023" s="26"/>
      <c r="O1023" s="26"/>
    </row>
    <row r="1024">
      <c r="B1024" s="26"/>
      <c r="C1024" s="26"/>
      <c r="E1024" s="26"/>
      <c r="I1024" s="26"/>
      <c r="O1024" s="26"/>
    </row>
    <row r="1025">
      <c r="B1025" s="26"/>
      <c r="C1025" s="26"/>
      <c r="E1025" s="26"/>
      <c r="I1025" s="26"/>
      <c r="O1025" s="26"/>
    </row>
    <row r="1026">
      <c r="B1026" s="26"/>
      <c r="C1026" s="26"/>
      <c r="E1026" s="26"/>
      <c r="I1026" s="26"/>
      <c r="O1026" s="26"/>
    </row>
    <row r="1027">
      <c r="B1027" s="26"/>
      <c r="C1027" s="26"/>
      <c r="E1027" s="26"/>
      <c r="I1027" s="26"/>
      <c r="O1027" s="26"/>
    </row>
    <row r="1028">
      <c r="B1028" s="26"/>
      <c r="C1028" s="26"/>
      <c r="E1028" s="26"/>
      <c r="I1028" s="26"/>
      <c r="O1028" s="26"/>
    </row>
    <row r="1029">
      <c r="B1029" s="26"/>
      <c r="C1029" s="26"/>
      <c r="E1029" s="26"/>
      <c r="I1029" s="26"/>
      <c r="O1029" s="26"/>
    </row>
    <row r="1030">
      <c r="B1030" s="26"/>
      <c r="C1030" s="26"/>
      <c r="E1030" s="26"/>
      <c r="I1030" s="26"/>
      <c r="O1030" s="26"/>
    </row>
    <row r="1031">
      <c r="B1031" s="26"/>
      <c r="C1031" s="26"/>
      <c r="E1031" s="26"/>
      <c r="I1031" s="26"/>
      <c r="O1031" s="26"/>
    </row>
    <row r="1032">
      <c r="B1032" s="26"/>
      <c r="C1032" s="26"/>
      <c r="E1032" s="26"/>
      <c r="I1032" s="26"/>
      <c r="O1032" s="26"/>
    </row>
    <row r="1033">
      <c r="B1033" s="26"/>
      <c r="C1033" s="26"/>
      <c r="E1033" s="26"/>
      <c r="I1033" s="26"/>
      <c r="O1033" s="26"/>
    </row>
    <row r="1034">
      <c r="B1034" s="26"/>
      <c r="C1034" s="26"/>
      <c r="E1034" s="26"/>
      <c r="I1034" s="26"/>
      <c r="O1034" s="26"/>
    </row>
    <row r="1035">
      <c r="B1035" s="26"/>
      <c r="C1035" s="26"/>
      <c r="E1035" s="26"/>
      <c r="I1035" s="26"/>
      <c r="O1035" s="26"/>
    </row>
    <row r="1036">
      <c r="B1036" s="26"/>
      <c r="C1036" s="26"/>
      <c r="E1036" s="26"/>
      <c r="I1036" s="26"/>
      <c r="O1036" s="26"/>
    </row>
    <row r="1037">
      <c r="B1037" s="26"/>
      <c r="C1037" s="26"/>
      <c r="E1037" s="26"/>
      <c r="I1037" s="26"/>
      <c r="O1037" s="26"/>
    </row>
    <row r="1038">
      <c r="B1038" s="26"/>
      <c r="C1038" s="26"/>
      <c r="E1038" s="26"/>
      <c r="I1038" s="26"/>
      <c r="O1038" s="26"/>
    </row>
    <row r="1039">
      <c r="B1039" s="26"/>
      <c r="C1039" s="26"/>
      <c r="E1039" s="26"/>
      <c r="I1039" s="26"/>
      <c r="O1039" s="26"/>
    </row>
    <row r="1040">
      <c r="B1040" s="26"/>
      <c r="C1040" s="26"/>
      <c r="E1040" s="26"/>
      <c r="I1040" s="26"/>
      <c r="O1040" s="26"/>
    </row>
    <row r="1041">
      <c r="B1041" s="26"/>
      <c r="C1041" s="26"/>
      <c r="E1041" s="26"/>
      <c r="I1041" s="26"/>
      <c r="O1041" s="26"/>
    </row>
    <row r="1042">
      <c r="B1042" s="26"/>
      <c r="C1042" s="26"/>
      <c r="E1042" s="26"/>
      <c r="I1042" s="26"/>
      <c r="O1042" s="26"/>
    </row>
    <row r="1043">
      <c r="B1043" s="26"/>
      <c r="C1043" s="26"/>
      <c r="E1043" s="26"/>
      <c r="I1043" s="26"/>
      <c r="O1043" s="26"/>
    </row>
    <row r="1044">
      <c r="B1044" s="26"/>
      <c r="C1044" s="26"/>
      <c r="E1044" s="26"/>
      <c r="I1044" s="26"/>
      <c r="O1044" s="26"/>
    </row>
    <row r="1045">
      <c r="B1045" s="26"/>
      <c r="C1045" s="26"/>
      <c r="E1045" s="26"/>
      <c r="I1045" s="26"/>
      <c r="O1045" s="26"/>
    </row>
    <row r="1046">
      <c r="B1046" s="26"/>
      <c r="C1046" s="26"/>
      <c r="E1046" s="26"/>
      <c r="I1046" s="26"/>
      <c r="O1046" s="26"/>
    </row>
    <row r="1047">
      <c r="B1047" s="26"/>
      <c r="C1047" s="26"/>
      <c r="E1047" s="26"/>
      <c r="I1047" s="26"/>
      <c r="O1047" s="26"/>
    </row>
    <row r="1048">
      <c r="B1048" s="26"/>
      <c r="C1048" s="26"/>
      <c r="E1048" s="26"/>
      <c r="I1048" s="26"/>
      <c r="O1048" s="26"/>
    </row>
    <row r="1049">
      <c r="B1049" s="26"/>
      <c r="C1049" s="26"/>
      <c r="E1049" s="26"/>
      <c r="I1049" s="26"/>
      <c r="O1049" s="26"/>
    </row>
    <row r="1050">
      <c r="B1050" s="26"/>
      <c r="C1050" s="26"/>
      <c r="E1050" s="26"/>
      <c r="I1050" s="26"/>
      <c r="O1050" s="26"/>
    </row>
    <row r="1051">
      <c r="B1051" s="26"/>
      <c r="C1051" s="26"/>
      <c r="E1051" s="26"/>
      <c r="I1051" s="26"/>
      <c r="O1051" s="26"/>
    </row>
    <row r="1052">
      <c r="B1052" s="26"/>
      <c r="C1052" s="26"/>
      <c r="E1052" s="26"/>
      <c r="I1052" s="26"/>
      <c r="O1052" s="26"/>
    </row>
    <row r="1053">
      <c r="B1053" s="26"/>
      <c r="C1053" s="26"/>
      <c r="E1053" s="26"/>
      <c r="I1053" s="26"/>
      <c r="O1053" s="26"/>
    </row>
    <row r="1054">
      <c r="B1054" s="26"/>
      <c r="C1054" s="26"/>
      <c r="E1054" s="26"/>
      <c r="I1054" s="26"/>
      <c r="O1054" s="26"/>
    </row>
    <row r="1055">
      <c r="B1055" s="26"/>
      <c r="C1055" s="26"/>
      <c r="E1055" s="26"/>
      <c r="I1055" s="26"/>
      <c r="O1055" s="26"/>
    </row>
    <row r="1056">
      <c r="B1056" s="26"/>
      <c r="C1056" s="26"/>
      <c r="E1056" s="26"/>
      <c r="I1056" s="26"/>
      <c r="O1056" s="26"/>
    </row>
    <row r="1057">
      <c r="B1057" s="26"/>
      <c r="C1057" s="26"/>
      <c r="E1057" s="26"/>
      <c r="I1057" s="26"/>
      <c r="O1057" s="26"/>
    </row>
    <row r="1058">
      <c r="B1058" s="26"/>
      <c r="C1058" s="26"/>
      <c r="E1058" s="26"/>
      <c r="I1058" s="26"/>
      <c r="O1058" s="26"/>
    </row>
    <row r="1059">
      <c r="B1059" s="26"/>
      <c r="C1059" s="26"/>
      <c r="E1059" s="26"/>
      <c r="I1059" s="26"/>
      <c r="O1059" s="26"/>
    </row>
    <row r="1060">
      <c r="B1060" s="26"/>
      <c r="C1060" s="26"/>
      <c r="E1060" s="26"/>
      <c r="I1060" s="26"/>
      <c r="O1060" s="26"/>
    </row>
    <row r="1061">
      <c r="B1061" s="26"/>
      <c r="C1061" s="26"/>
      <c r="E1061" s="26"/>
      <c r="I1061" s="26"/>
      <c r="O1061" s="26"/>
    </row>
    <row r="1062">
      <c r="B1062" s="26"/>
      <c r="C1062" s="26"/>
      <c r="E1062" s="26"/>
      <c r="I1062" s="26"/>
      <c r="O1062" s="26"/>
    </row>
    <row r="1063">
      <c r="B1063" s="26"/>
      <c r="C1063" s="26"/>
      <c r="E1063" s="26"/>
      <c r="I1063" s="26"/>
      <c r="O1063" s="26"/>
    </row>
    <row r="1064">
      <c r="B1064" s="26"/>
      <c r="C1064" s="26"/>
      <c r="E1064" s="26"/>
      <c r="I1064" s="26"/>
      <c r="O1064" s="26"/>
    </row>
    <row r="1065">
      <c r="B1065" s="26"/>
      <c r="C1065" s="26"/>
      <c r="E1065" s="26"/>
      <c r="I1065" s="26"/>
      <c r="O1065" s="26"/>
    </row>
    <row r="1066">
      <c r="B1066" s="26"/>
      <c r="C1066" s="26"/>
      <c r="E1066" s="26"/>
      <c r="I1066" s="26"/>
      <c r="O1066" s="26"/>
    </row>
    <row r="1067">
      <c r="B1067" s="26"/>
      <c r="C1067" s="26"/>
      <c r="E1067" s="26"/>
      <c r="I1067" s="26"/>
      <c r="O1067" s="26"/>
    </row>
    <row r="1068">
      <c r="B1068" s="26"/>
      <c r="C1068" s="26"/>
      <c r="E1068" s="26"/>
      <c r="I1068" s="26"/>
      <c r="O1068" s="26"/>
    </row>
    <row r="1069">
      <c r="B1069" s="26"/>
      <c r="C1069" s="26"/>
      <c r="E1069" s="26"/>
      <c r="I1069" s="26"/>
      <c r="O1069" s="26"/>
    </row>
    <row r="1070">
      <c r="B1070" s="26"/>
      <c r="C1070" s="26"/>
      <c r="E1070" s="26"/>
      <c r="I1070" s="26"/>
      <c r="O1070" s="26"/>
    </row>
    <row r="1071">
      <c r="B1071" s="26"/>
      <c r="C1071" s="26"/>
      <c r="E1071" s="26"/>
      <c r="I1071" s="26"/>
      <c r="O1071" s="26"/>
    </row>
    <row r="1072">
      <c r="B1072" s="26"/>
      <c r="C1072" s="26"/>
      <c r="E1072" s="26"/>
      <c r="I1072" s="26"/>
      <c r="O1072" s="26"/>
    </row>
    <row r="1073">
      <c r="B1073" s="26"/>
      <c r="C1073" s="26"/>
      <c r="E1073" s="26"/>
      <c r="I1073" s="26"/>
      <c r="O1073" s="26"/>
    </row>
    <row r="1074">
      <c r="B1074" s="26"/>
      <c r="C1074" s="26"/>
      <c r="E1074" s="26"/>
      <c r="I1074" s="26"/>
      <c r="O1074" s="26"/>
    </row>
    <row r="1075">
      <c r="B1075" s="26"/>
      <c r="C1075" s="26"/>
      <c r="E1075" s="26"/>
      <c r="I1075" s="26"/>
      <c r="O1075" s="26"/>
    </row>
    <row r="1076">
      <c r="B1076" s="26"/>
      <c r="C1076" s="26"/>
      <c r="E1076" s="26"/>
      <c r="I1076" s="26"/>
      <c r="O1076" s="26"/>
    </row>
    <row r="1077">
      <c r="B1077" s="26"/>
      <c r="C1077" s="26"/>
      <c r="E1077" s="26"/>
      <c r="I1077" s="26"/>
      <c r="O1077" s="26"/>
    </row>
    <row r="1078">
      <c r="B1078" s="26"/>
      <c r="C1078" s="26"/>
      <c r="E1078" s="26"/>
      <c r="I1078" s="26"/>
      <c r="O1078" s="26"/>
    </row>
    <row r="1079">
      <c r="B1079" s="26"/>
      <c r="C1079" s="26"/>
      <c r="E1079" s="26"/>
      <c r="I1079" s="26"/>
      <c r="O1079" s="26"/>
    </row>
    <row r="1080">
      <c r="B1080" s="26"/>
      <c r="C1080" s="26"/>
      <c r="E1080" s="26"/>
      <c r="I1080" s="26"/>
      <c r="O1080" s="26"/>
    </row>
    <row r="1081">
      <c r="B1081" s="26"/>
      <c r="C1081" s="26"/>
      <c r="E1081" s="26"/>
      <c r="I1081" s="26"/>
      <c r="O1081" s="26"/>
    </row>
    <row r="1082">
      <c r="B1082" s="26"/>
      <c r="C1082" s="26"/>
      <c r="E1082" s="26"/>
      <c r="I1082" s="26"/>
      <c r="O1082" s="26"/>
    </row>
    <row r="1083">
      <c r="B1083" s="26"/>
      <c r="C1083" s="26"/>
      <c r="E1083" s="26"/>
      <c r="I1083" s="26"/>
      <c r="O1083" s="26"/>
    </row>
    <row r="1084">
      <c r="B1084" s="26"/>
      <c r="C1084" s="26"/>
      <c r="E1084" s="26"/>
      <c r="I1084" s="26"/>
      <c r="O1084" s="26"/>
    </row>
    <row r="1085">
      <c r="B1085" s="26"/>
      <c r="C1085" s="26"/>
      <c r="E1085" s="26"/>
      <c r="I1085" s="26"/>
      <c r="O1085" s="26"/>
    </row>
    <row r="1086">
      <c r="B1086" s="26"/>
      <c r="C1086" s="26"/>
      <c r="E1086" s="26"/>
      <c r="I1086" s="26"/>
      <c r="O1086" s="26"/>
    </row>
    <row r="1087">
      <c r="B1087" s="26"/>
      <c r="C1087" s="26"/>
      <c r="E1087" s="26"/>
      <c r="I1087" s="26"/>
      <c r="O1087" s="26"/>
    </row>
    <row r="1088">
      <c r="B1088" s="26"/>
      <c r="C1088" s="26"/>
      <c r="E1088" s="26"/>
      <c r="I1088" s="26"/>
      <c r="O1088" s="26"/>
    </row>
    <row r="1089">
      <c r="B1089" s="26"/>
      <c r="C1089" s="26"/>
      <c r="E1089" s="26"/>
      <c r="I1089" s="26"/>
      <c r="O1089" s="26"/>
    </row>
    <row r="1090">
      <c r="B1090" s="26"/>
      <c r="C1090" s="26"/>
      <c r="E1090" s="26"/>
      <c r="I1090" s="26"/>
      <c r="O1090" s="26"/>
    </row>
    <row r="1091">
      <c r="B1091" s="26"/>
      <c r="C1091" s="26"/>
      <c r="E1091" s="26"/>
      <c r="I1091" s="26"/>
      <c r="O1091" s="26"/>
    </row>
    <row r="1092">
      <c r="B1092" s="26"/>
      <c r="C1092" s="26"/>
      <c r="E1092" s="26"/>
      <c r="I1092" s="26"/>
      <c r="O1092" s="26"/>
    </row>
    <row r="1093">
      <c r="B1093" s="26"/>
      <c r="C1093" s="26"/>
      <c r="E1093" s="26"/>
      <c r="I1093" s="26"/>
      <c r="O1093" s="26"/>
    </row>
    <row r="1094">
      <c r="B1094" s="26"/>
      <c r="C1094" s="26"/>
      <c r="E1094" s="26"/>
      <c r="I1094" s="26"/>
      <c r="O1094" s="26"/>
    </row>
    <row r="1095">
      <c r="B1095" s="26"/>
      <c r="C1095" s="26"/>
      <c r="E1095" s="26"/>
      <c r="I1095" s="26"/>
      <c r="O1095" s="26"/>
    </row>
    <row r="1096">
      <c r="B1096" s="26"/>
      <c r="C1096" s="26"/>
      <c r="E1096" s="26"/>
      <c r="I1096" s="26"/>
      <c r="O1096" s="26"/>
    </row>
    <row r="1097">
      <c r="B1097" s="26"/>
      <c r="C1097" s="26"/>
      <c r="E1097" s="26"/>
      <c r="I1097" s="26"/>
      <c r="O1097" s="26"/>
    </row>
    <row r="1098">
      <c r="B1098" s="26"/>
      <c r="C1098" s="26"/>
      <c r="E1098" s="26"/>
      <c r="I1098" s="26"/>
      <c r="O1098" s="26"/>
    </row>
    <row r="1099">
      <c r="B1099" s="26"/>
      <c r="C1099" s="26"/>
      <c r="E1099" s="26"/>
      <c r="I1099" s="26"/>
      <c r="O1099" s="26"/>
    </row>
    <row r="1100">
      <c r="B1100" s="26"/>
      <c r="C1100" s="26"/>
      <c r="E1100" s="26"/>
      <c r="I1100" s="26"/>
      <c r="O1100" s="26"/>
    </row>
    <row r="1101">
      <c r="B1101" s="26"/>
      <c r="C1101" s="26"/>
      <c r="E1101" s="26"/>
      <c r="I1101" s="26"/>
      <c r="O1101" s="26"/>
    </row>
    <row r="1102">
      <c r="B1102" s="26"/>
      <c r="C1102" s="26"/>
      <c r="E1102" s="26"/>
      <c r="I1102" s="26"/>
      <c r="O1102" s="26"/>
    </row>
    <row r="1103">
      <c r="B1103" s="26"/>
      <c r="C1103" s="26"/>
      <c r="E1103" s="26"/>
      <c r="I1103" s="26"/>
      <c r="O1103" s="26"/>
    </row>
    <row r="1104">
      <c r="B1104" s="26"/>
      <c r="C1104" s="26"/>
      <c r="E1104" s="26"/>
      <c r="I1104" s="26"/>
      <c r="O1104" s="26"/>
    </row>
    <row r="1105">
      <c r="B1105" s="26"/>
      <c r="C1105" s="26"/>
      <c r="E1105" s="26"/>
      <c r="I1105" s="26"/>
      <c r="O1105" s="26"/>
    </row>
    <row r="1106">
      <c r="B1106" s="26"/>
      <c r="C1106" s="26"/>
      <c r="E1106" s="26"/>
      <c r="I1106" s="26"/>
      <c r="O1106" s="26"/>
    </row>
    <row r="1107">
      <c r="B1107" s="26"/>
      <c r="C1107" s="26"/>
      <c r="E1107" s="26"/>
      <c r="I1107" s="26"/>
      <c r="O1107" s="26"/>
    </row>
    <row r="1108">
      <c r="B1108" s="26"/>
      <c r="C1108" s="26"/>
      <c r="E1108" s="26"/>
      <c r="I1108" s="26"/>
      <c r="O1108" s="26"/>
    </row>
    <row r="1109">
      <c r="B1109" s="26"/>
      <c r="C1109" s="26"/>
      <c r="E1109" s="26"/>
      <c r="I1109" s="26"/>
      <c r="O1109" s="26"/>
    </row>
    <row r="1110">
      <c r="B1110" s="26"/>
      <c r="C1110" s="26"/>
      <c r="E1110" s="26"/>
      <c r="I1110" s="26"/>
      <c r="O1110" s="26"/>
    </row>
    <row r="1111">
      <c r="B1111" s="26"/>
      <c r="C1111" s="26"/>
      <c r="E1111" s="26"/>
      <c r="I1111" s="26"/>
      <c r="O1111" s="26"/>
    </row>
    <row r="1112">
      <c r="B1112" s="26"/>
      <c r="C1112" s="26"/>
      <c r="E1112" s="26"/>
      <c r="I1112" s="26"/>
      <c r="O1112" s="26"/>
    </row>
    <row r="1113">
      <c r="B1113" s="26"/>
      <c r="C1113" s="26"/>
      <c r="E1113" s="26"/>
      <c r="I1113" s="26"/>
      <c r="O1113" s="26"/>
    </row>
    <row r="1114">
      <c r="B1114" s="26"/>
      <c r="C1114" s="26"/>
      <c r="E1114" s="26"/>
      <c r="I1114" s="26"/>
      <c r="O1114" s="26"/>
    </row>
    <row r="1115">
      <c r="B1115" s="26"/>
      <c r="C1115" s="26"/>
      <c r="E1115" s="26"/>
      <c r="I1115" s="26"/>
      <c r="O1115" s="26"/>
    </row>
    <row r="1116">
      <c r="B1116" s="26"/>
      <c r="C1116" s="26"/>
      <c r="E1116" s="26"/>
      <c r="I1116" s="26"/>
      <c r="O1116" s="26"/>
    </row>
    <row r="1117">
      <c r="B1117" s="26"/>
      <c r="C1117" s="26"/>
      <c r="E1117" s="26"/>
      <c r="I1117" s="26"/>
      <c r="O1117" s="26"/>
    </row>
    <row r="1118">
      <c r="B1118" s="26"/>
      <c r="C1118" s="26"/>
      <c r="E1118" s="26"/>
      <c r="I1118" s="26"/>
      <c r="O1118" s="26"/>
    </row>
    <row r="1119">
      <c r="B1119" s="26"/>
      <c r="C1119" s="26"/>
      <c r="E1119" s="26"/>
      <c r="I1119" s="26"/>
      <c r="O1119" s="26"/>
    </row>
    <row r="1120">
      <c r="B1120" s="26"/>
      <c r="C1120" s="26"/>
      <c r="E1120" s="26"/>
      <c r="I1120" s="26"/>
      <c r="O1120" s="26"/>
    </row>
    <row r="1121">
      <c r="B1121" s="26"/>
      <c r="C1121" s="26"/>
      <c r="E1121" s="26"/>
      <c r="I1121" s="26"/>
      <c r="O1121" s="26"/>
    </row>
    <row r="1122">
      <c r="B1122" s="26"/>
      <c r="C1122" s="26"/>
      <c r="E1122" s="26"/>
      <c r="I1122" s="26"/>
      <c r="O1122" s="26"/>
    </row>
    <row r="1123">
      <c r="B1123" s="26"/>
      <c r="C1123" s="26"/>
      <c r="E1123" s="26"/>
      <c r="I1123" s="26"/>
      <c r="O1123" s="26"/>
    </row>
    <row r="1124">
      <c r="B1124" s="26"/>
      <c r="C1124" s="26"/>
      <c r="E1124" s="26"/>
      <c r="I1124" s="26"/>
      <c r="O1124" s="26"/>
    </row>
    <row r="1125">
      <c r="B1125" s="26"/>
      <c r="C1125" s="26"/>
      <c r="E1125" s="26"/>
      <c r="I1125" s="26"/>
      <c r="O1125" s="26"/>
    </row>
    <row r="1126">
      <c r="B1126" s="26"/>
      <c r="C1126" s="26"/>
      <c r="E1126" s="26"/>
      <c r="I1126" s="26"/>
      <c r="O1126" s="26"/>
    </row>
    <row r="1127">
      <c r="B1127" s="26"/>
      <c r="C1127" s="26"/>
      <c r="E1127" s="26"/>
      <c r="I1127" s="26"/>
      <c r="O1127" s="26"/>
    </row>
    <row r="1128">
      <c r="B1128" s="26"/>
      <c r="C1128" s="26"/>
      <c r="E1128" s="26"/>
      <c r="I1128" s="26"/>
      <c r="O1128" s="26"/>
    </row>
    <row r="1129">
      <c r="B1129" s="26"/>
      <c r="C1129" s="26"/>
      <c r="E1129" s="26"/>
      <c r="I1129" s="26"/>
      <c r="O1129" s="26"/>
    </row>
    <row r="1130">
      <c r="B1130" s="26"/>
      <c r="C1130" s="26"/>
      <c r="E1130" s="26"/>
      <c r="I1130" s="26"/>
      <c r="O1130" s="26"/>
    </row>
    <row r="1131">
      <c r="B1131" s="26"/>
      <c r="C1131" s="26"/>
      <c r="E1131" s="26"/>
      <c r="I1131" s="26"/>
      <c r="O1131" s="26"/>
    </row>
    <row r="1132">
      <c r="B1132" s="26"/>
      <c r="C1132" s="26"/>
      <c r="E1132" s="26"/>
      <c r="I1132" s="26"/>
      <c r="O1132" s="26"/>
    </row>
    <row r="1133">
      <c r="B1133" s="26"/>
      <c r="C1133" s="26"/>
      <c r="E1133" s="26"/>
      <c r="I1133" s="26"/>
      <c r="O1133" s="26"/>
    </row>
    <row r="1134">
      <c r="B1134" s="26"/>
      <c r="C1134" s="26"/>
      <c r="E1134" s="26"/>
      <c r="I1134" s="26"/>
      <c r="O1134" s="26"/>
    </row>
    <row r="1135">
      <c r="B1135" s="26"/>
      <c r="C1135" s="26"/>
      <c r="E1135" s="26"/>
      <c r="I1135" s="26"/>
      <c r="O1135" s="26"/>
    </row>
    <row r="1136">
      <c r="B1136" s="26"/>
      <c r="C1136" s="26"/>
      <c r="E1136" s="26"/>
      <c r="I1136" s="26"/>
      <c r="O1136" s="26"/>
    </row>
    <row r="1137">
      <c r="B1137" s="26"/>
      <c r="C1137" s="26"/>
      <c r="E1137" s="26"/>
      <c r="I1137" s="26"/>
      <c r="O1137" s="26"/>
    </row>
    <row r="1138">
      <c r="B1138" s="26"/>
      <c r="C1138" s="26"/>
      <c r="E1138" s="26"/>
      <c r="I1138" s="26"/>
      <c r="O1138" s="26"/>
    </row>
    <row r="1139">
      <c r="B1139" s="26"/>
      <c r="C1139" s="26"/>
      <c r="E1139" s="26"/>
      <c r="I1139" s="26"/>
      <c r="O1139" s="26"/>
    </row>
    <row r="1140">
      <c r="B1140" s="26"/>
      <c r="C1140" s="26"/>
      <c r="E1140" s="26"/>
      <c r="I1140" s="26"/>
      <c r="O1140" s="26"/>
    </row>
    <row r="1141">
      <c r="B1141" s="26"/>
      <c r="C1141" s="26"/>
      <c r="E1141" s="26"/>
      <c r="I1141" s="26"/>
      <c r="O1141" s="26"/>
    </row>
    <row r="1142">
      <c r="B1142" s="26"/>
      <c r="C1142" s="26"/>
      <c r="E1142" s="26"/>
      <c r="I1142" s="26"/>
      <c r="O1142" s="26"/>
    </row>
    <row r="1143">
      <c r="B1143" s="26"/>
      <c r="C1143" s="26"/>
      <c r="E1143" s="26"/>
      <c r="I1143" s="26"/>
      <c r="O1143" s="26"/>
    </row>
    <row r="1144">
      <c r="B1144" s="26"/>
      <c r="C1144" s="26"/>
      <c r="E1144" s="26"/>
      <c r="I1144" s="26"/>
      <c r="O1144" s="26"/>
    </row>
    <row r="1145">
      <c r="B1145" s="26"/>
      <c r="C1145" s="26"/>
      <c r="E1145" s="26"/>
      <c r="I1145" s="26"/>
      <c r="O1145" s="26"/>
    </row>
    <row r="1146">
      <c r="B1146" s="26"/>
      <c r="C1146" s="26"/>
      <c r="E1146" s="26"/>
      <c r="I1146" s="26"/>
      <c r="O1146" s="26"/>
    </row>
    <row r="1147">
      <c r="B1147" s="26"/>
      <c r="C1147" s="26"/>
      <c r="E1147" s="26"/>
      <c r="I1147" s="26"/>
      <c r="O1147" s="26"/>
    </row>
    <row r="1148">
      <c r="B1148" s="26"/>
      <c r="C1148" s="26"/>
      <c r="E1148" s="26"/>
      <c r="I1148" s="26"/>
      <c r="O1148" s="26"/>
    </row>
    <row r="1149">
      <c r="B1149" s="26"/>
      <c r="C1149" s="26"/>
      <c r="E1149" s="26"/>
      <c r="I1149" s="26"/>
      <c r="O1149" s="26"/>
    </row>
    <row r="1150">
      <c r="B1150" s="26"/>
      <c r="C1150" s="26"/>
      <c r="E1150" s="26"/>
      <c r="I1150" s="26"/>
      <c r="O1150" s="26"/>
    </row>
    <row r="1151">
      <c r="B1151" s="26"/>
      <c r="C1151" s="26"/>
      <c r="E1151" s="26"/>
      <c r="I1151" s="26"/>
      <c r="O1151" s="26"/>
    </row>
    <row r="1152">
      <c r="B1152" s="26"/>
      <c r="C1152" s="26"/>
      <c r="E1152" s="26"/>
      <c r="I1152" s="26"/>
      <c r="O1152" s="26"/>
    </row>
    <row r="1153">
      <c r="B1153" s="26"/>
      <c r="C1153" s="26"/>
      <c r="E1153" s="26"/>
      <c r="I1153" s="26"/>
      <c r="O1153" s="26"/>
    </row>
    <row r="1154">
      <c r="B1154" s="26"/>
      <c r="C1154" s="26"/>
      <c r="E1154" s="26"/>
      <c r="I1154" s="26"/>
      <c r="O1154" s="26"/>
    </row>
    <row r="1155">
      <c r="B1155" s="26"/>
      <c r="C1155" s="26"/>
      <c r="E1155" s="26"/>
      <c r="I1155" s="26"/>
      <c r="O1155" s="26"/>
    </row>
    <row r="1156">
      <c r="B1156" s="26"/>
      <c r="C1156" s="26"/>
      <c r="E1156" s="26"/>
      <c r="I1156" s="26"/>
      <c r="O1156" s="26"/>
    </row>
    <row r="1157">
      <c r="B1157" s="26"/>
      <c r="C1157" s="26"/>
      <c r="E1157" s="26"/>
      <c r="I1157" s="26"/>
      <c r="O1157" s="26"/>
    </row>
    <row r="1158">
      <c r="B1158" s="26"/>
      <c r="C1158" s="26"/>
      <c r="E1158" s="26"/>
      <c r="I1158" s="26"/>
      <c r="O1158" s="26"/>
    </row>
    <row r="1159">
      <c r="B1159" s="26"/>
      <c r="C1159" s="26"/>
      <c r="E1159" s="26"/>
      <c r="I1159" s="26"/>
      <c r="O1159" s="26"/>
    </row>
    <row r="1160">
      <c r="B1160" s="26"/>
      <c r="C1160" s="26"/>
      <c r="E1160" s="26"/>
      <c r="I1160" s="26"/>
      <c r="O1160" s="26"/>
    </row>
    <row r="1161">
      <c r="B1161" s="26"/>
      <c r="C1161" s="26"/>
      <c r="E1161" s="26"/>
      <c r="I1161" s="26"/>
      <c r="O1161" s="26"/>
    </row>
    <row r="1162">
      <c r="B1162" s="26"/>
      <c r="C1162" s="26"/>
      <c r="E1162" s="26"/>
      <c r="I1162" s="26"/>
      <c r="O1162" s="26"/>
    </row>
    <row r="1163">
      <c r="B1163" s="26"/>
      <c r="C1163" s="26"/>
      <c r="E1163" s="26"/>
      <c r="I1163" s="26"/>
      <c r="O1163" s="26"/>
    </row>
    <row r="1164">
      <c r="B1164" s="26"/>
      <c r="C1164" s="26"/>
      <c r="E1164" s="26"/>
      <c r="I1164" s="26"/>
      <c r="O1164" s="26"/>
    </row>
    <row r="1165">
      <c r="B1165" s="26"/>
      <c r="C1165" s="26"/>
      <c r="E1165" s="26"/>
      <c r="I1165" s="26"/>
      <c r="O1165" s="26"/>
    </row>
    <row r="1166">
      <c r="B1166" s="26"/>
      <c r="C1166" s="26"/>
      <c r="E1166" s="26"/>
      <c r="I1166" s="26"/>
      <c r="O1166" s="26"/>
    </row>
    <row r="1167">
      <c r="B1167" s="26"/>
      <c r="C1167" s="26"/>
      <c r="E1167" s="26"/>
      <c r="I1167" s="26"/>
      <c r="O1167" s="26"/>
    </row>
    <row r="1168">
      <c r="B1168" s="26"/>
      <c r="C1168" s="26"/>
      <c r="E1168" s="26"/>
      <c r="I1168" s="26"/>
      <c r="O1168" s="26"/>
    </row>
    <row r="1169">
      <c r="B1169" s="26"/>
      <c r="C1169" s="26"/>
      <c r="E1169" s="26"/>
      <c r="I1169" s="26"/>
      <c r="O1169" s="26"/>
    </row>
    <row r="1170">
      <c r="B1170" s="26"/>
      <c r="C1170" s="26"/>
      <c r="E1170" s="26"/>
      <c r="I1170" s="26"/>
      <c r="O1170" s="26"/>
    </row>
    <row r="1171">
      <c r="B1171" s="26"/>
      <c r="C1171" s="26"/>
      <c r="E1171" s="26"/>
      <c r="I1171" s="26"/>
      <c r="O1171" s="26"/>
    </row>
    <row r="1172">
      <c r="B1172" s="26"/>
      <c r="C1172" s="26"/>
      <c r="E1172" s="26"/>
      <c r="I1172" s="26"/>
      <c r="O1172" s="26"/>
    </row>
    <row r="1173">
      <c r="B1173" s="26"/>
      <c r="C1173" s="26"/>
      <c r="E1173" s="26"/>
      <c r="I1173" s="26"/>
      <c r="O1173" s="26"/>
    </row>
    <row r="1174">
      <c r="B1174" s="26"/>
      <c r="C1174" s="26"/>
      <c r="E1174" s="26"/>
      <c r="I1174" s="26"/>
      <c r="O1174" s="26"/>
    </row>
    <row r="1175">
      <c r="B1175" s="26"/>
      <c r="C1175" s="26"/>
      <c r="E1175" s="26"/>
      <c r="I1175" s="26"/>
      <c r="O1175" s="26"/>
    </row>
    <row r="1176">
      <c r="B1176" s="26"/>
      <c r="C1176" s="26"/>
      <c r="E1176" s="26"/>
      <c r="I1176" s="26"/>
      <c r="O1176" s="26"/>
    </row>
    <row r="1177">
      <c r="B1177" s="26"/>
      <c r="C1177" s="26"/>
      <c r="E1177" s="26"/>
      <c r="I1177" s="26"/>
      <c r="O1177" s="26"/>
    </row>
    <row r="1178">
      <c r="B1178" s="26"/>
      <c r="C1178" s="26"/>
      <c r="E1178" s="26"/>
      <c r="I1178" s="26"/>
      <c r="O1178" s="26"/>
    </row>
    <row r="1179">
      <c r="B1179" s="26"/>
      <c r="C1179" s="26"/>
      <c r="E1179" s="26"/>
      <c r="I1179" s="26"/>
      <c r="O1179" s="26"/>
    </row>
    <row r="1180">
      <c r="B1180" s="26"/>
      <c r="C1180" s="26"/>
      <c r="E1180" s="26"/>
      <c r="I1180" s="26"/>
      <c r="O1180" s="26"/>
    </row>
    <row r="1181">
      <c r="B1181" s="26"/>
      <c r="C1181" s="26"/>
      <c r="E1181" s="26"/>
      <c r="I1181" s="26"/>
      <c r="O1181" s="26"/>
    </row>
    <row r="1182">
      <c r="B1182" s="26"/>
      <c r="C1182" s="26"/>
      <c r="E1182" s="26"/>
      <c r="I1182" s="26"/>
      <c r="O1182" s="26"/>
    </row>
    <row r="1183">
      <c r="B1183" s="26"/>
      <c r="C1183" s="26"/>
      <c r="E1183" s="26"/>
      <c r="I1183" s="26"/>
      <c r="O1183" s="26"/>
    </row>
    <row r="1184">
      <c r="B1184" s="26"/>
      <c r="C1184" s="26"/>
      <c r="E1184" s="26"/>
      <c r="I1184" s="26"/>
      <c r="O1184" s="26"/>
    </row>
    <row r="1185">
      <c r="B1185" s="26"/>
      <c r="C1185" s="26"/>
      <c r="E1185" s="26"/>
      <c r="I1185" s="26"/>
      <c r="O1185" s="26"/>
    </row>
    <row r="1186">
      <c r="B1186" s="26"/>
      <c r="C1186" s="26"/>
      <c r="E1186" s="26"/>
      <c r="I1186" s="26"/>
      <c r="O1186" s="26"/>
    </row>
    <row r="1187">
      <c r="B1187" s="26"/>
      <c r="C1187" s="26"/>
      <c r="E1187" s="26"/>
      <c r="I1187" s="26"/>
      <c r="O1187" s="26"/>
    </row>
    <row r="1188">
      <c r="B1188" s="26"/>
      <c r="C1188" s="26"/>
      <c r="E1188" s="26"/>
      <c r="I1188" s="26"/>
      <c r="O1188" s="26"/>
    </row>
    <row r="1189">
      <c r="B1189" s="26"/>
      <c r="C1189" s="26"/>
      <c r="E1189" s="26"/>
      <c r="I1189" s="26"/>
      <c r="O1189" s="26"/>
    </row>
    <row r="1190">
      <c r="B1190" s="26"/>
      <c r="C1190" s="26"/>
      <c r="E1190" s="26"/>
      <c r="I1190" s="26"/>
      <c r="O1190" s="26"/>
    </row>
    <row r="1191">
      <c r="B1191" s="26"/>
      <c r="C1191" s="26"/>
      <c r="E1191" s="26"/>
      <c r="I1191" s="26"/>
      <c r="O1191" s="26"/>
    </row>
    <row r="1192">
      <c r="B1192" s="26"/>
      <c r="C1192" s="26"/>
      <c r="E1192" s="26"/>
      <c r="I1192" s="26"/>
      <c r="O1192" s="26"/>
    </row>
    <row r="1193">
      <c r="B1193" s="26"/>
      <c r="C1193" s="26"/>
      <c r="E1193" s="26"/>
      <c r="I1193" s="26"/>
      <c r="O1193" s="26"/>
    </row>
    <row r="1194">
      <c r="B1194" s="26"/>
      <c r="C1194" s="26"/>
      <c r="E1194" s="26"/>
      <c r="I1194" s="26"/>
      <c r="O1194" s="26"/>
    </row>
    <row r="1195">
      <c r="B1195" s="26"/>
      <c r="C1195" s="26"/>
      <c r="E1195" s="26"/>
      <c r="I1195" s="26"/>
      <c r="O1195" s="26"/>
    </row>
    <row r="1196">
      <c r="B1196" s="26"/>
      <c r="C1196" s="26"/>
      <c r="E1196" s="26"/>
      <c r="I1196" s="26"/>
      <c r="O1196" s="26"/>
    </row>
    <row r="1197">
      <c r="B1197" s="26"/>
      <c r="C1197" s="26"/>
      <c r="E1197" s="26"/>
      <c r="I1197" s="26"/>
      <c r="O1197" s="26"/>
    </row>
    <row r="1198">
      <c r="B1198" s="26"/>
      <c r="C1198" s="26"/>
      <c r="E1198" s="26"/>
      <c r="I1198" s="26"/>
      <c r="O1198" s="26"/>
    </row>
    <row r="1199">
      <c r="B1199" s="26"/>
      <c r="C1199" s="26"/>
      <c r="E1199" s="26"/>
      <c r="I1199" s="26"/>
      <c r="O1199" s="26"/>
    </row>
    <row r="1200">
      <c r="B1200" s="26"/>
      <c r="C1200" s="26"/>
      <c r="E1200" s="26"/>
      <c r="I1200" s="26"/>
      <c r="O1200" s="26"/>
    </row>
    <row r="1201">
      <c r="B1201" s="26"/>
      <c r="C1201" s="26"/>
      <c r="E1201" s="26"/>
      <c r="I1201" s="26"/>
      <c r="O1201" s="26"/>
    </row>
    <row r="1202">
      <c r="B1202" s="26"/>
      <c r="C1202" s="26"/>
      <c r="E1202" s="26"/>
      <c r="I1202" s="26"/>
      <c r="O1202" s="26"/>
    </row>
    <row r="1203">
      <c r="B1203" s="26"/>
      <c r="C1203" s="26"/>
      <c r="E1203" s="26"/>
      <c r="I1203" s="26"/>
      <c r="O1203" s="26"/>
    </row>
    <row r="1204">
      <c r="B1204" s="26"/>
      <c r="C1204" s="26"/>
      <c r="E1204" s="26"/>
      <c r="I1204" s="26"/>
      <c r="O1204" s="26"/>
    </row>
    <row r="1205">
      <c r="B1205" s="26"/>
      <c r="C1205" s="26"/>
      <c r="E1205" s="26"/>
      <c r="I1205" s="26"/>
      <c r="O1205" s="26"/>
    </row>
    <row r="1206">
      <c r="B1206" s="26"/>
      <c r="C1206" s="26"/>
      <c r="E1206" s="26"/>
      <c r="I1206" s="26"/>
      <c r="O1206" s="26"/>
    </row>
    <row r="1207">
      <c r="B1207" s="26"/>
      <c r="C1207" s="26"/>
      <c r="E1207" s="26"/>
      <c r="I1207" s="26"/>
      <c r="O1207" s="26"/>
    </row>
    <row r="1208">
      <c r="B1208" s="26"/>
      <c r="C1208" s="26"/>
      <c r="E1208" s="26"/>
      <c r="I1208" s="26"/>
      <c r="O1208" s="26"/>
    </row>
    <row r="1209">
      <c r="B1209" s="26"/>
      <c r="C1209" s="26"/>
      <c r="E1209" s="26"/>
      <c r="I1209" s="26"/>
      <c r="O1209" s="26"/>
    </row>
    <row r="1210">
      <c r="B1210" s="26"/>
      <c r="C1210" s="26"/>
      <c r="E1210" s="26"/>
      <c r="I1210" s="26"/>
      <c r="O1210" s="26"/>
    </row>
    <row r="1211">
      <c r="B1211" s="26"/>
      <c r="C1211" s="26"/>
      <c r="E1211" s="26"/>
      <c r="I1211" s="26"/>
      <c r="O1211" s="26"/>
    </row>
    <row r="1212">
      <c r="B1212" s="26"/>
      <c r="C1212" s="26"/>
      <c r="E1212" s="26"/>
      <c r="I1212" s="26"/>
      <c r="O1212" s="26"/>
    </row>
    <row r="1213">
      <c r="B1213" s="26"/>
      <c r="C1213" s="26"/>
      <c r="E1213" s="26"/>
      <c r="I1213" s="26"/>
      <c r="O1213" s="26"/>
    </row>
    <row r="1214">
      <c r="B1214" s="26"/>
      <c r="C1214" s="26"/>
      <c r="E1214" s="26"/>
      <c r="I1214" s="26"/>
      <c r="O1214" s="26"/>
    </row>
    <row r="1215">
      <c r="B1215" s="26"/>
      <c r="C1215" s="26"/>
      <c r="E1215" s="26"/>
      <c r="I1215" s="26"/>
      <c r="O1215" s="26"/>
    </row>
    <row r="1216">
      <c r="B1216" s="26"/>
      <c r="C1216" s="26"/>
      <c r="E1216" s="26"/>
      <c r="I1216" s="26"/>
      <c r="O1216" s="26"/>
    </row>
    <row r="1217">
      <c r="B1217" s="26"/>
      <c r="C1217" s="26"/>
      <c r="E1217" s="26"/>
      <c r="I1217" s="26"/>
      <c r="O1217" s="26"/>
    </row>
    <row r="1218">
      <c r="B1218" s="26"/>
      <c r="C1218" s="26"/>
      <c r="E1218" s="26"/>
      <c r="I1218" s="26"/>
      <c r="O1218" s="26"/>
    </row>
    <row r="1219">
      <c r="B1219" s="26"/>
      <c r="C1219" s="26"/>
      <c r="E1219" s="26"/>
      <c r="I1219" s="26"/>
      <c r="O1219" s="26"/>
    </row>
    <row r="1220">
      <c r="B1220" s="26"/>
      <c r="C1220" s="26"/>
      <c r="E1220" s="26"/>
      <c r="I1220" s="26"/>
      <c r="O1220" s="26"/>
    </row>
    <row r="1221">
      <c r="B1221" s="26"/>
      <c r="C1221" s="26"/>
      <c r="E1221" s="26"/>
      <c r="I1221" s="26"/>
      <c r="O1221" s="26"/>
    </row>
    <row r="1222">
      <c r="B1222" s="26"/>
      <c r="C1222" s="26"/>
      <c r="E1222" s="26"/>
      <c r="I1222" s="26"/>
      <c r="O1222" s="26"/>
    </row>
    <row r="1223">
      <c r="B1223" s="26"/>
      <c r="C1223" s="26"/>
      <c r="E1223" s="26"/>
      <c r="I1223" s="26"/>
      <c r="O1223" s="26"/>
    </row>
    <row r="1224">
      <c r="B1224" s="26"/>
      <c r="C1224" s="26"/>
      <c r="E1224" s="26"/>
      <c r="I1224" s="26"/>
      <c r="O1224" s="26"/>
    </row>
    <row r="1225">
      <c r="B1225" s="26"/>
      <c r="C1225" s="26"/>
      <c r="E1225" s="26"/>
      <c r="I1225" s="26"/>
      <c r="O1225" s="26"/>
    </row>
    <row r="1226">
      <c r="B1226" s="26"/>
      <c r="C1226" s="26"/>
      <c r="E1226" s="26"/>
      <c r="I1226" s="26"/>
      <c r="O1226" s="26"/>
    </row>
    <row r="1227">
      <c r="B1227" s="26"/>
      <c r="C1227" s="26"/>
      <c r="E1227" s="26"/>
      <c r="I1227" s="26"/>
      <c r="O1227" s="26"/>
    </row>
    <row r="1228">
      <c r="B1228" s="26"/>
      <c r="C1228" s="26"/>
      <c r="E1228" s="26"/>
      <c r="I1228" s="26"/>
      <c r="O1228" s="26"/>
    </row>
    <row r="1229">
      <c r="B1229" s="26"/>
      <c r="C1229" s="26"/>
      <c r="E1229" s="26"/>
      <c r="I1229" s="26"/>
      <c r="O1229" s="26"/>
    </row>
    <row r="1230">
      <c r="B1230" s="26"/>
      <c r="C1230" s="26"/>
      <c r="E1230" s="26"/>
      <c r="I1230" s="26"/>
      <c r="O1230" s="26"/>
    </row>
    <row r="1231">
      <c r="B1231" s="26"/>
      <c r="C1231" s="26"/>
      <c r="E1231" s="26"/>
      <c r="I1231" s="26"/>
      <c r="O1231" s="26"/>
    </row>
    <row r="1232">
      <c r="B1232" s="26"/>
      <c r="C1232" s="26"/>
      <c r="E1232" s="26"/>
      <c r="I1232" s="26"/>
      <c r="O1232" s="26"/>
    </row>
    <row r="1233">
      <c r="B1233" s="26"/>
      <c r="C1233" s="26"/>
      <c r="E1233" s="26"/>
      <c r="I1233" s="26"/>
      <c r="O1233" s="26"/>
    </row>
    <row r="1234">
      <c r="B1234" s="26"/>
      <c r="C1234" s="26"/>
      <c r="E1234" s="26"/>
      <c r="I1234" s="26"/>
      <c r="O1234" s="26"/>
    </row>
    <row r="1235">
      <c r="B1235" s="26"/>
      <c r="C1235" s="26"/>
      <c r="E1235" s="26"/>
      <c r="I1235" s="26"/>
      <c r="O1235" s="26"/>
    </row>
    <row r="1236">
      <c r="B1236" s="26"/>
      <c r="C1236" s="26"/>
      <c r="E1236" s="26"/>
      <c r="I1236" s="26"/>
      <c r="O1236" s="26"/>
    </row>
    <row r="1237">
      <c r="B1237" s="26"/>
      <c r="C1237" s="26"/>
      <c r="E1237" s="26"/>
      <c r="I1237" s="26"/>
      <c r="O1237" s="26"/>
    </row>
    <row r="1238">
      <c r="B1238" s="26"/>
      <c r="C1238" s="26"/>
      <c r="E1238" s="26"/>
      <c r="I1238" s="26"/>
      <c r="O1238" s="26"/>
    </row>
    <row r="1239">
      <c r="B1239" s="26"/>
      <c r="C1239" s="26"/>
      <c r="E1239" s="26"/>
      <c r="I1239" s="26"/>
      <c r="O1239" s="26"/>
    </row>
    <row r="1240">
      <c r="B1240" s="26"/>
      <c r="C1240" s="26"/>
      <c r="E1240" s="26"/>
      <c r="I1240" s="26"/>
      <c r="O1240" s="26"/>
    </row>
    <row r="1241">
      <c r="B1241" s="26"/>
      <c r="C1241" s="26"/>
      <c r="E1241" s="26"/>
      <c r="I1241" s="26"/>
      <c r="O1241" s="26"/>
    </row>
    <row r="1242">
      <c r="B1242" s="26"/>
      <c r="C1242" s="26"/>
      <c r="E1242" s="26"/>
      <c r="I1242" s="26"/>
      <c r="O1242" s="26"/>
    </row>
    <row r="1243">
      <c r="B1243" s="26"/>
      <c r="C1243" s="26"/>
      <c r="E1243" s="26"/>
      <c r="I1243" s="26"/>
      <c r="O1243" s="26"/>
    </row>
    <row r="1244">
      <c r="B1244" s="26"/>
      <c r="C1244" s="26"/>
      <c r="E1244" s="26"/>
      <c r="I1244" s="26"/>
      <c r="O1244" s="26"/>
    </row>
    <row r="1245">
      <c r="B1245" s="26"/>
      <c r="C1245" s="26"/>
      <c r="E1245" s="26"/>
      <c r="I1245" s="26"/>
      <c r="O1245" s="26"/>
    </row>
    <row r="1246">
      <c r="B1246" s="26"/>
      <c r="C1246" s="26"/>
      <c r="E1246" s="26"/>
      <c r="I1246" s="26"/>
      <c r="O1246" s="26"/>
    </row>
    <row r="1247">
      <c r="B1247" s="26"/>
      <c r="C1247" s="26"/>
      <c r="E1247" s="26"/>
      <c r="I1247" s="26"/>
      <c r="O1247" s="26"/>
    </row>
    <row r="1248">
      <c r="B1248" s="26"/>
      <c r="C1248" s="26"/>
      <c r="E1248" s="26"/>
      <c r="I1248" s="26"/>
      <c r="O1248" s="26"/>
    </row>
    <row r="1249">
      <c r="B1249" s="26"/>
      <c r="C1249" s="26"/>
      <c r="E1249" s="26"/>
      <c r="I1249" s="26"/>
      <c r="O1249" s="26"/>
    </row>
    <row r="1250">
      <c r="B1250" s="26"/>
      <c r="C1250" s="26"/>
      <c r="E1250" s="26"/>
      <c r="I1250" s="26"/>
      <c r="O1250" s="26"/>
    </row>
    <row r="1251">
      <c r="B1251" s="26"/>
      <c r="C1251" s="26"/>
      <c r="E1251" s="26"/>
      <c r="I1251" s="26"/>
      <c r="O1251" s="26"/>
    </row>
    <row r="1252">
      <c r="B1252" s="26"/>
      <c r="C1252" s="26"/>
      <c r="E1252" s="26"/>
      <c r="I1252" s="26"/>
      <c r="O1252" s="26"/>
    </row>
    <row r="1253">
      <c r="B1253" s="26"/>
      <c r="C1253" s="26"/>
      <c r="E1253" s="26"/>
      <c r="I1253" s="26"/>
      <c r="O1253" s="26"/>
    </row>
    <row r="1254">
      <c r="B1254" s="26"/>
      <c r="C1254" s="26"/>
      <c r="E1254" s="26"/>
      <c r="I1254" s="26"/>
      <c r="O1254" s="26"/>
    </row>
    <row r="1255">
      <c r="B1255" s="26"/>
      <c r="C1255" s="26"/>
      <c r="E1255" s="26"/>
      <c r="I1255" s="26"/>
      <c r="O1255" s="26"/>
    </row>
    <row r="1256">
      <c r="B1256" s="26"/>
      <c r="C1256" s="26"/>
      <c r="E1256" s="26"/>
      <c r="I1256" s="26"/>
      <c r="O1256" s="26"/>
    </row>
    <row r="1257">
      <c r="B1257" s="26"/>
      <c r="C1257" s="26"/>
      <c r="E1257" s="26"/>
      <c r="I1257" s="26"/>
      <c r="O1257" s="26"/>
    </row>
    <row r="1258">
      <c r="B1258" s="26"/>
      <c r="C1258" s="26"/>
      <c r="E1258" s="26"/>
      <c r="I1258" s="26"/>
      <c r="O1258" s="26"/>
    </row>
    <row r="1259">
      <c r="B1259" s="26"/>
      <c r="C1259" s="26"/>
      <c r="E1259" s="26"/>
      <c r="I1259" s="26"/>
      <c r="O1259" s="26"/>
    </row>
    <row r="1260">
      <c r="B1260" s="26"/>
      <c r="C1260" s="26"/>
      <c r="E1260" s="26"/>
      <c r="I1260" s="26"/>
      <c r="O1260" s="26"/>
    </row>
    <row r="1261">
      <c r="B1261" s="26"/>
      <c r="C1261" s="26"/>
      <c r="E1261" s="26"/>
      <c r="I1261" s="26"/>
      <c r="O1261" s="26"/>
    </row>
    <row r="1262">
      <c r="B1262" s="26"/>
      <c r="C1262" s="26"/>
      <c r="E1262" s="26"/>
      <c r="I1262" s="26"/>
      <c r="O1262" s="26"/>
    </row>
    <row r="1263">
      <c r="B1263" s="26"/>
      <c r="C1263" s="26"/>
      <c r="E1263" s="26"/>
      <c r="I1263" s="26"/>
      <c r="O1263" s="26"/>
    </row>
    <row r="1264">
      <c r="B1264" s="26"/>
      <c r="C1264" s="26"/>
      <c r="E1264" s="26"/>
      <c r="I1264" s="26"/>
      <c r="O1264" s="26"/>
    </row>
    <row r="1265">
      <c r="B1265" s="26"/>
      <c r="C1265" s="26"/>
      <c r="E1265" s="26"/>
      <c r="I1265" s="26"/>
      <c r="O1265" s="26"/>
    </row>
    <row r="1266">
      <c r="B1266" s="26"/>
      <c r="C1266" s="26"/>
      <c r="E1266" s="26"/>
      <c r="I1266" s="26"/>
      <c r="O1266" s="26"/>
    </row>
    <row r="1267">
      <c r="B1267" s="26"/>
      <c r="C1267" s="26"/>
      <c r="E1267" s="26"/>
      <c r="I1267" s="26"/>
      <c r="O1267" s="26"/>
    </row>
    <row r="1268">
      <c r="B1268" s="26"/>
      <c r="C1268" s="26"/>
      <c r="E1268" s="26"/>
      <c r="I1268" s="26"/>
      <c r="O1268" s="26"/>
    </row>
    <row r="1269">
      <c r="B1269" s="26"/>
      <c r="C1269" s="26"/>
      <c r="E1269" s="26"/>
      <c r="I1269" s="26"/>
      <c r="O1269" s="26"/>
    </row>
    <row r="1270">
      <c r="B1270" s="26"/>
      <c r="C1270" s="26"/>
      <c r="E1270" s="26"/>
      <c r="I1270" s="26"/>
      <c r="O1270" s="26"/>
    </row>
    <row r="1271">
      <c r="B1271" s="26"/>
      <c r="C1271" s="26"/>
      <c r="E1271" s="26"/>
      <c r="I1271" s="26"/>
      <c r="O1271" s="26"/>
    </row>
    <row r="1272">
      <c r="B1272" s="26"/>
      <c r="C1272" s="26"/>
      <c r="E1272" s="26"/>
      <c r="I1272" s="26"/>
      <c r="O1272" s="26"/>
    </row>
    <row r="1273">
      <c r="B1273" s="26"/>
      <c r="C1273" s="26"/>
      <c r="E1273" s="26"/>
      <c r="I1273" s="26"/>
      <c r="O1273" s="26"/>
    </row>
    <row r="1274">
      <c r="B1274" s="26"/>
      <c r="C1274" s="26"/>
      <c r="E1274" s="26"/>
      <c r="I1274" s="26"/>
      <c r="O1274" s="26"/>
    </row>
    <row r="1275">
      <c r="B1275" s="26"/>
      <c r="C1275" s="26"/>
      <c r="E1275" s="26"/>
      <c r="I1275" s="26"/>
      <c r="O1275" s="26"/>
    </row>
    <row r="1276">
      <c r="B1276" s="26"/>
      <c r="C1276" s="26"/>
      <c r="E1276" s="26"/>
      <c r="I1276" s="26"/>
      <c r="O1276" s="26"/>
    </row>
    <row r="1277">
      <c r="B1277" s="26"/>
      <c r="C1277" s="26"/>
      <c r="E1277" s="26"/>
      <c r="I1277" s="26"/>
      <c r="O1277" s="26"/>
    </row>
    <row r="1278">
      <c r="B1278" s="26"/>
      <c r="C1278" s="26"/>
      <c r="E1278" s="26"/>
      <c r="I1278" s="26"/>
      <c r="O1278" s="26"/>
    </row>
    <row r="1279">
      <c r="B1279" s="26"/>
      <c r="C1279" s="26"/>
      <c r="E1279" s="26"/>
      <c r="I1279" s="26"/>
      <c r="O1279" s="26"/>
    </row>
    <row r="1280">
      <c r="B1280" s="26"/>
      <c r="C1280" s="26"/>
      <c r="E1280" s="26"/>
      <c r="I1280" s="26"/>
      <c r="O1280" s="26"/>
    </row>
    <row r="1281">
      <c r="B1281" s="26"/>
      <c r="C1281" s="26"/>
      <c r="E1281" s="26"/>
      <c r="I1281" s="26"/>
      <c r="O1281" s="26"/>
    </row>
    <row r="1282">
      <c r="B1282" s="26"/>
      <c r="C1282" s="26"/>
      <c r="E1282" s="26"/>
      <c r="I1282" s="26"/>
      <c r="O1282" s="26"/>
    </row>
    <row r="1283">
      <c r="B1283" s="26"/>
      <c r="C1283" s="26"/>
      <c r="E1283" s="26"/>
      <c r="I1283" s="26"/>
      <c r="O1283" s="26"/>
    </row>
    <row r="1284">
      <c r="B1284" s="26"/>
      <c r="C1284" s="26"/>
      <c r="E1284" s="26"/>
      <c r="I1284" s="26"/>
      <c r="O1284" s="26"/>
    </row>
    <row r="1285">
      <c r="B1285" s="26"/>
      <c r="C1285" s="26"/>
      <c r="E1285" s="26"/>
      <c r="I1285" s="26"/>
      <c r="O1285" s="26"/>
    </row>
    <row r="1286">
      <c r="B1286" s="26"/>
      <c r="C1286" s="26"/>
      <c r="E1286" s="26"/>
      <c r="I1286" s="26"/>
      <c r="O1286" s="26"/>
    </row>
    <row r="1287">
      <c r="B1287" s="26"/>
      <c r="C1287" s="26"/>
      <c r="E1287" s="26"/>
      <c r="I1287" s="26"/>
      <c r="O1287" s="26"/>
    </row>
    <row r="1288">
      <c r="B1288" s="26"/>
      <c r="C1288" s="26"/>
      <c r="E1288" s="26"/>
      <c r="I1288" s="26"/>
      <c r="O1288" s="26"/>
    </row>
    <row r="1289">
      <c r="B1289" s="26"/>
      <c r="C1289" s="26"/>
      <c r="E1289" s="26"/>
      <c r="I1289" s="26"/>
      <c r="O1289" s="26"/>
    </row>
    <row r="1290">
      <c r="B1290" s="26"/>
      <c r="C1290" s="26"/>
      <c r="E1290" s="26"/>
      <c r="I1290" s="26"/>
      <c r="O1290" s="26"/>
    </row>
    <row r="1291">
      <c r="B1291" s="26"/>
      <c r="C1291" s="26"/>
      <c r="E1291" s="26"/>
      <c r="I1291" s="26"/>
      <c r="O1291" s="26"/>
    </row>
    <row r="1292">
      <c r="B1292" s="26"/>
      <c r="C1292" s="26"/>
      <c r="E1292" s="26"/>
      <c r="I1292" s="26"/>
      <c r="O1292" s="26"/>
    </row>
    <row r="1293">
      <c r="B1293" s="26"/>
      <c r="C1293" s="26"/>
      <c r="E1293" s="26"/>
      <c r="I1293" s="26"/>
      <c r="O1293" s="26"/>
    </row>
    <row r="1294">
      <c r="B1294" s="26"/>
      <c r="C1294" s="26"/>
      <c r="E1294" s="26"/>
      <c r="I1294" s="26"/>
      <c r="O1294" s="26"/>
    </row>
    <row r="1295">
      <c r="B1295" s="26"/>
      <c r="C1295" s="26"/>
      <c r="E1295" s="26"/>
      <c r="I1295" s="26"/>
      <c r="O1295" s="26"/>
    </row>
    <row r="1296">
      <c r="B1296" s="26"/>
      <c r="C1296" s="26"/>
      <c r="E1296" s="26"/>
      <c r="I1296" s="26"/>
      <c r="O1296" s="26"/>
    </row>
    <row r="1297">
      <c r="B1297" s="26"/>
      <c r="C1297" s="26"/>
      <c r="E1297" s="26"/>
      <c r="I1297" s="26"/>
      <c r="O1297" s="26"/>
    </row>
    <row r="1298">
      <c r="B1298" s="26"/>
      <c r="C1298" s="26"/>
      <c r="E1298" s="26"/>
      <c r="I1298" s="26"/>
      <c r="O1298" s="26"/>
    </row>
    <row r="1299">
      <c r="B1299" s="26"/>
      <c r="C1299" s="26"/>
      <c r="E1299" s="26"/>
      <c r="I1299" s="26"/>
      <c r="O1299" s="26"/>
    </row>
    <row r="1300">
      <c r="B1300" s="26"/>
      <c r="C1300" s="26"/>
      <c r="E1300" s="26"/>
      <c r="I1300" s="26"/>
      <c r="O1300" s="26"/>
    </row>
    <row r="1301">
      <c r="B1301" s="26"/>
      <c r="C1301" s="26"/>
      <c r="E1301" s="26"/>
      <c r="I1301" s="26"/>
      <c r="O1301" s="26"/>
    </row>
    <row r="1302">
      <c r="B1302" s="26"/>
      <c r="C1302" s="26"/>
      <c r="E1302" s="26"/>
      <c r="I1302" s="26"/>
      <c r="O1302" s="26"/>
    </row>
    <row r="1303">
      <c r="B1303" s="26"/>
      <c r="C1303" s="26"/>
      <c r="E1303" s="26"/>
      <c r="I1303" s="26"/>
      <c r="O1303" s="26"/>
    </row>
    <row r="1304">
      <c r="B1304" s="26"/>
      <c r="C1304" s="26"/>
      <c r="E1304" s="26"/>
      <c r="I1304" s="26"/>
      <c r="O1304" s="26"/>
    </row>
    <row r="1305">
      <c r="B1305" s="26"/>
      <c r="C1305" s="26"/>
      <c r="E1305" s="26"/>
      <c r="I1305" s="26"/>
      <c r="O1305" s="26"/>
    </row>
    <row r="1306">
      <c r="B1306" s="26"/>
      <c r="C1306" s="26"/>
      <c r="E1306" s="26"/>
      <c r="I1306" s="26"/>
      <c r="O1306" s="26"/>
    </row>
    <row r="1307">
      <c r="B1307" s="26"/>
      <c r="C1307" s="26"/>
      <c r="E1307" s="26"/>
      <c r="I1307" s="26"/>
      <c r="O1307" s="26"/>
    </row>
    <row r="1308">
      <c r="B1308" s="26"/>
      <c r="C1308" s="26"/>
      <c r="E1308" s="26"/>
      <c r="I1308" s="26"/>
      <c r="O1308" s="26"/>
    </row>
    <row r="1309">
      <c r="B1309" s="26"/>
      <c r="C1309" s="26"/>
      <c r="E1309" s="26"/>
      <c r="I1309" s="26"/>
      <c r="O1309" s="26"/>
    </row>
    <row r="1310">
      <c r="B1310" s="26"/>
      <c r="C1310" s="26"/>
      <c r="E1310" s="26"/>
      <c r="I1310" s="26"/>
      <c r="O1310" s="26"/>
    </row>
    <row r="1311">
      <c r="B1311" s="26"/>
      <c r="C1311" s="26"/>
      <c r="E1311" s="26"/>
      <c r="I1311" s="26"/>
      <c r="O1311" s="26"/>
    </row>
    <row r="1312">
      <c r="B1312" s="26"/>
      <c r="C1312" s="26"/>
      <c r="E1312" s="26"/>
      <c r="I1312" s="26"/>
      <c r="O1312" s="26"/>
    </row>
    <row r="1313">
      <c r="B1313" s="26"/>
      <c r="C1313" s="26"/>
      <c r="E1313" s="26"/>
      <c r="I1313" s="26"/>
      <c r="O1313" s="26"/>
    </row>
    <row r="1314">
      <c r="B1314" s="26"/>
      <c r="C1314" s="26"/>
      <c r="E1314" s="26"/>
      <c r="I1314" s="26"/>
      <c r="O1314" s="26"/>
    </row>
    <row r="1315">
      <c r="B1315" s="26"/>
      <c r="C1315" s="26"/>
      <c r="E1315" s="26"/>
      <c r="I1315" s="26"/>
      <c r="O1315" s="26"/>
    </row>
    <row r="1316">
      <c r="B1316" s="26"/>
      <c r="C1316" s="26"/>
      <c r="E1316" s="26"/>
      <c r="I1316" s="26"/>
      <c r="O1316" s="26"/>
    </row>
    <row r="1317">
      <c r="B1317" s="26"/>
      <c r="C1317" s="26"/>
      <c r="E1317" s="26"/>
      <c r="I1317" s="26"/>
      <c r="O1317" s="26"/>
    </row>
    <row r="1318">
      <c r="B1318" s="26"/>
      <c r="C1318" s="26"/>
      <c r="E1318" s="26"/>
      <c r="I1318" s="26"/>
      <c r="O1318" s="26"/>
    </row>
    <row r="1319">
      <c r="B1319" s="26"/>
      <c r="C1319" s="26"/>
      <c r="E1319" s="26"/>
      <c r="I1319" s="26"/>
      <c r="O1319" s="26"/>
    </row>
    <row r="1320">
      <c r="B1320" s="26"/>
      <c r="C1320" s="26"/>
      <c r="E1320" s="26"/>
      <c r="I1320" s="26"/>
      <c r="O1320" s="26"/>
    </row>
    <row r="1321">
      <c r="B1321" s="26"/>
      <c r="C1321" s="26"/>
      <c r="E1321" s="26"/>
      <c r="I1321" s="26"/>
      <c r="O1321" s="26"/>
    </row>
    <row r="1322">
      <c r="B1322" s="26"/>
      <c r="C1322" s="26"/>
      <c r="E1322" s="26"/>
      <c r="I1322" s="26"/>
      <c r="O1322" s="26"/>
    </row>
    <row r="1323">
      <c r="B1323" s="26"/>
      <c r="C1323" s="26"/>
      <c r="E1323" s="26"/>
      <c r="I1323" s="26"/>
      <c r="O1323" s="26"/>
    </row>
    <row r="1324">
      <c r="B1324" s="26"/>
      <c r="C1324" s="26"/>
      <c r="E1324" s="26"/>
      <c r="I1324" s="26"/>
      <c r="O1324" s="26"/>
    </row>
    <row r="1325">
      <c r="B1325" s="26"/>
      <c r="C1325" s="26"/>
      <c r="E1325" s="26"/>
      <c r="I1325" s="26"/>
      <c r="O1325" s="26"/>
    </row>
    <row r="1326">
      <c r="B1326" s="26"/>
      <c r="C1326" s="26"/>
      <c r="E1326" s="26"/>
      <c r="I1326" s="26"/>
      <c r="O1326" s="26"/>
    </row>
    <row r="1327">
      <c r="B1327" s="26"/>
      <c r="C1327" s="26"/>
      <c r="E1327" s="26"/>
      <c r="I1327" s="26"/>
      <c r="O1327" s="26"/>
    </row>
    <row r="1328">
      <c r="B1328" s="26"/>
      <c r="C1328" s="26"/>
      <c r="E1328" s="26"/>
      <c r="I1328" s="26"/>
      <c r="O1328" s="26"/>
    </row>
    <row r="1329">
      <c r="B1329" s="26"/>
      <c r="C1329" s="26"/>
      <c r="E1329" s="26"/>
      <c r="I1329" s="26"/>
      <c r="O1329" s="26"/>
    </row>
    <row r="1330">
      <c r="B1330" s="26"/>
      <c r="C1330" s="26"/>
      <c r="E1330" s="26"/>
      <c r="I1330" s="26"/>
      <c r="O1330" s="26"/>
    </row>
    <row r="1331">
      <c r="B1331" s="26"/>
      <c r="C1331" s="26"/>
      <c r="E1331" s="26"/>
      <c r="I1331" s="26"/>
      <c r="O1331" s="26"/>
    </row>
    <row r="1332">
      <c r="B1332" s="26"/>
      <c r="C1332" s="26"/>
      <c r="E1332" s="26"/>
      <c r="I1332" s="26"/>
      <c r="O1332" s="26"/>
    </row>
    <row r="1333">
      <c r="B1333" s="26"/>
      <c r="C1333" s="26"/>
      <c r="E1333" s="26"/>
      <c r="I1333" s="26"/>
      <c r="O1333" s="26"/>
    </row>
    <row r="1334">
      <c r="B1334" s="26"/>
      <c r="C1334" s="26"/>
      <c r="E1334" s="26"/>
      <c r="I1334" s="26"/>
      <c r="O1334" s="26"/>
    </row>
    <row r="1335">
      <c r="B1335" s="26"/>
      <c r="C1335" s="26"/>
      <c r="E1335" s="26"/>
      <c r="I1335" s="26"/>
      <c r="O1335" s="26"/>
    </row>
    <row r="1336">
      <c r="B1336" s="26"/>
      <c r="C1336" s="26"/>
      <c r="E1336" s="26"/>
      <c r="I1336" s="26"/>
      <c r="O1336" s="26"/>
    </row>
    <row r="1337">
      <c r="B1337" s="26"/>
      <c r="C1337" s="26"/>
      <c r="E1337" s="26"/>
      <c r="I1337" s="26"/>
      <c r="O1337" s="26"/>
    </row>
    <row r="1338">
      <c r="B1338" s="26"/>
      <c r="C1338" s="26"/>
      <c r="E1338" s="26"/>
      <c r="I1338" s="26"/>
      <c r="O1338" s="26"/>
    </row>
    <row r="1339">
      <c r="B1339" s="26"/>
      <c r="C1339" s="26"/>
      <c r="E1339" s="26"/>
      <c r="I1339" s="26"/>
      <c r="O1339" s="26"/>
    </row>
    <row r="1340">
      <c r="B1340" s="26"/>
      <c r="C1340" s="26"/>
      <c r="E1340" s="26"/>
      <c r="I1340" s="26"/>
      <c r="O1340" s="26"/>
    </row>
    <row r="1341">
      <c r="B1341" s="26"/>
      <c r="C1341" s="26"/>
      <c r="E1341" s="26"/>
      <c r="I1341" s="26"/>
      <c r="O1341" s="26"/>
    </row>
    <row r="1342">
      <c r="B1342" s="26"/>
      <c r="C1342" s="26"/>
      <c r="E1342" s="26"/>
      <c r="I1342" s="26"/>
      <c r="O1342" s="26"/>
    </row>
    <row r="1343">
      <c r="B1343" s="26"/>
      <c r="C1343" s="26"/>
      <c r="E1343" s="26"/>
      <c r="I1343" s="26"/>
      <c r="O1343" s="26"/>
    </row>
    <row r="1344">
      <c r="B1344" s="26"/>
      <c r="C1344" s="26"/>
      <c r="E1344" s="26"/>
      <c r="I1344" s="26"/>
      <c r="O1344" s="26"/>
    </row>
    <row r="1345">
      <c r="B1345" s="26"/>
      <c r="C1345" s="26"/>
      <c r="E1345" s="26"/>
      <c r="I1345" s="26"/>
      <c r="O1345" s="26"/>
    </row>
    <row r="1346">
      <c r="B1346" s="26"/>
      <c r="C1346" s="26"/>
      <c r="E1346" s="26"/>
      <c r="I1346" s="26"/>
      <c r="O1346" s="26"/>
    </row>
    <row r="1347">
      <c r="B1347" s="26"/>
      <c r="C1347" s="26"/>
      <c r="E1347" s="26"/>
      <c r="I1347" s="26"/>
      <c r="O1347" s="26"/>
    </row>
    <row r="1348">
      <c r="B1348" s="26"/>
      <c r="C1348" s="26"/>
      <c r="E1348" s="26"/>
      <c r="I1348" s="26"/>
      <c r="O1348" s="26"/>
    </row>
    <row r="1349">
      <c r="B1349" s="26"/>
      <c r="C1349" s="26"/>
      <c r="E1349" s="26"/>
      <c r="I1349" s="26"/>
      <c r="O1349" s="26"/>
    </row>
    <row r="1350">
      <c r="B1350" s="26"/>
      <c r="C1350" s="26"/>
      <c r="E1350" s="26"/>
      <c r="I1350" s="26"/>
      <c r="O1350" s="26"/>
    </row>
    <row r="1351">
      <c r="B1351" s="26"/>
      <c r="C1351" s="26"/>
      <c r="E1351" s="26"/>
      <c r="I1351" s="26"/>
      <c r="O1351" s="26"/>
    </row>
    <row r="1352">
      <c r="B1352" s="26"/>
      <c r="C1352" s="26"/>
      <c r="E1352" s="26"/>
      <c r="I1352" s="26"/>
      <c r="O1352" s="26"/>
    </row>
    <row r="1353">
      <c r="B1353" s="26"/>
      <c r="C1353" s="26"/>
      <c r="E1353" s="26"/>
      <c r="I1353" s="26"/>
      <c r="O1353" s="26"/>
    </row>
    <row r="1354">
      <c r="B1354" s="26"/>
      <c r="C1354" s="26"/>
      <c r="E1354" s="26"/>
      <c r="I1354" s="26"/>
      <c r="O1354" s="26"/>
    </row>
    <row r="1355">
      <c r="B1355" s="26"/>
      <c r="C1355" s="26"/>
      <c r="E1355" s="26"/>
      <c r="I1355" s="26"/>
      <c r="O1355" s="26"/>
    </row>
    <row r="1356">
      <c r="B1356" s="26"/>
      <c r="C1356" s="26"/>
      <c r="E1356" s="26"/>
      <c r="I1356" s="26"/>
      <c r="O1356" s="26"/>
    </row>
    <row r="1357">
      <c r="B1357" s="26"/>
      <c r="C1357" s="26"/>
      <c r="E1357" s="26"/>
      <c r="I1357" s="26"/>
      <c r="O1357" s="26"/>
    </row>
    <row r="1358">
      <c r="B1358" s="26"/>
      <c r="C1358" s="26"/>
      <c r="E1358" s="26"/>
      <c r="I1358" s="26"/>
      <c r="O1358" s="26"/>
    </row>
    <row r="1359">
      <c r="B1359" s="26"/>
      <c r="C1359" s="26"/>
      <c r="E1359" s="26"/>
      <c r="I1359" s="26"/>
      <c r="O1359" s="26"/>
    </row>
    <row r="1360">
      <c r="B1360" s="26"/>
      <c r="C1360" s="26"/>
      <c r="E1360" s="26"/>
      <c r="I1360" s="26"/>
      <c r="O1360" s="26"/>
    </row>
    <row r="1361">
      <c r="B1361" s="26"/>
      <c r="C1361" s="26"/>
      <c r="E1361" s="26"/>
      <c r="I1361" s="26"/>
      <c r="O1361" s="26"/>
    </row>
    <row r="1362">
      <c r="B1362" s="26"/>
      <c r="C1362" s="26"/>
      <c r="E1362" s="26"/>
      <c r="I1362" s="26"/>
      <c r="O1362" s="26"/>
    </row>
    <row r="1363">
      <c r="B1363" s="26"/>
      <c r="C1363" s="26"/>
      <c r="E1363" s="26"/>
      <c r="I1363" s="26"/>
      <c r="O1363" s="26"/>
    </row>
    <row r="1364">
      <c r="B1364" s="26"/>
      <c r="C1364" s="26"/>
      <c r="E1364" s="26"/>
      <c r="I1364" s="26"/>
      <c r="O1364" s="26"/>
    </row>
    <row r="1365">
      <c r="B1365" s="26"/>
      <c r="C1365" s="26"/>
      <c r="E1365" s="26"/>
      <c r="I1365" s="26"/>
      <c r="O1365" s="26"/>
    </row>
    <row r="1366">
      <c r="B1366" s="26"/>
      <c r="C1366" s="26"/>
      <c r="E1366" s="26"/>
      <c r="I1366" s="26"/>
      <c r="O1366" s="26"/>
    </row>
    <row r="1367">
      <c r="B1367" s="26"/>
      <c r="C1367" s="26"/>
      <c r="E1367" s="26"/>
      <c r="I1367" s="26"/>
      <c r="O1367" s="26"/>
    </row>
    <row r="1368">
      <c r="B1368" s="26"/>
      <c r="C1368" s="26"/>
      <c r="E1368" s="26"/>
      <c r="I1368" s="26"/>
      <c r="O1368" s="26"/>
    </row>
    <row r="1369">
      <c r="B1369" s="26"/>
      <c r="C1369" s="26"/>
      <c r="E1369" s="26"/>
      <c r="I1369" s="26"/>
      <c r="O1369" s="26"/>
    </row>
    <row r="1370">
      <c r="B1370" s="26"/>
      <c r="C1370" s="26"/>
      <c r="E1370" s="26"/>
      <c r="I1370" s="26"/>
      <c r="O1370" s="26"/>
    </row>
    <row r="1371">
      <c r="B1371" s="26"/>
      <c r="C1371" s="26"/>
      <c r="E1371" s="26"/>
      <c r="I1371" s="26"/>
      <c r="O1371" s="26"/>
    </row>
    <row r="1372">
      <c r="B1372" s="26"/>
      <c r="C1372" s="26"/>
      <c r="E1372" s="26"/>
      <c r="I1372" s="26"/>
      <c r="O1372" s="26"/>
    </row>
    <row r="1373">
      <c r="B1373" s="26"/>
      <c r="C1373" s="26"/>
      <c r="E1373" s="26"/>
      <c r="I1373" s="26"/>
      <c r="O1373" s="26"/>
    </row>
    <row r="1374">
      <c r="B1374" s="26"/>
      <c r="C1374" s="26"/>
      <c r="E1374" s="26"/>
      <c r="I1374" s="26"/>
      <c r="O1374" s="26"/>
    </row>
    <row r="1375">
      <c r="B1375" s="26"/>
      <c r="C1375" s="26"/>
      <c r="E1375" s="26"/>
      <c r="I1375" s="26"/>
      <c r="O1375" s="26"/>
    </row>
    <row r="1376">
      <c r="B1376" s="26"/>
      <c r="C1376" s="26"/>
      <c r="E1376" s="26"/>
      <c r="I1376" s="26"/>
      <c r="O1376" s="26"/>
    </row>
    <row r="1377">
      <c r="B1377" s="26"/>
      <c r="C1377" s="26"/>
      <c r="E1377" s="26"/>
      <c r="I1377" s="26"/>
      <c r="O1377" s="26"/>
    </row>
    <row r="1378">
      <c r="B1378" s="26"/>
      <c r="C1378" s="26"/>
      <c r="E1378" s="26"/>
      <c r="I1378" s="26"/>
      <c r="O1378" s="26"/>
    </row>
    <row r="1379">
      <c r="B1379" s="26"/>
      <c r="C1379" s="26"/>
      <c r="E1379" s="26"/>
      <c r="I1379" s="26"/>
      <c r="O1379" s="26"/>
    </row>
    <row r="1380">
      <c r="B1380" s="26"/>
      <c r="C1380" s="26"/>
      <c r="E1380" s="26"/>
      <c r="I1380" s="26"/>
      <c r="O1380" s="26"/>
    </row>
    <row r="1381">
      <c r="B1381" s="26"/>
      <c r="C1381" s="26"/>
      <c r="E1381" s="26"/>
      <c r="I1381" s="26"/>
      <c r="O1381" s="26"/>
    </row>
    <row r="1382">
      <c r="B1382" s="26"/>
      <c r="C1382" s="26"/>
      <c r="E1382" s="26"/>
      <c r="I1382" s="26"/>
      <c r="O1382" s="26"/>
    </row>
    <row r="1383">
      <c r="B1383" s="26"/>
      <c r="C1383" s="26"/>
      <c r="E1383" s="26"/>
      <c r="I1383" s="26"/>
      <c r="O1383" s="26"/>
    </row>
    <row r="1384">
      <c r="B1384" s="26"/>
      <c r="C1384" s="26"/>
      <c r="E1384" s="26"/>
      <c r="I1384" s="26"/>
      <c r="O1384" s="26"/>
    </row>
    <row r="1385">
      <c r="B1385" s="26"/>
      <c r="C1385" s="26"/>
      <c r="E1385" s="26"/>
      <c r="I1385" s="26"/>
      <c r="O1385" s="26"/>
    </row>
    <row r="1386">
      <c r="B1386" s="26"/>
      <c r="C1386" s="26"/>
      <c r="E1386" s="26"/>
      <c r="I1386" s="26"/>
      <c r="O1386" s="26"/>
    </row>
    <row r="1387">
      <c r="B1387" s="26"/>
      <c r="C1387" s="26"/>
      <c r="E1387" s="26"/>
      <c r="I1387" s="26"/>
      <c r="O1387" s="26"/>
    </row>
    <row r="1388">
      <c r="B1388" s="26"/>
      <c r="C1388" s="26"/>
      <c r="E1388" s="26"/>
      <c r="I1388" s="26"/>
      <c r="O1388" s="26"/>
    </row>
    <row r="1389">
      <c r="B1389" s="26"/>
      <c r="C1389" s="26"/>
      <c r="E1389" s="26"/>
      <c r="I1389" s="26"/>
      <c r="O1389" s="26"/>
    </row>
    <row r="1390">
      <c r="B1390" s="26"/>
      <c r="C1390" s="26"/>
      <c r="E1390" s="26"/>
      <c r="I1390" s="26"/>
      <c r="O1390" s="26"/>
    </row>
    <row r="1391">
      <c r="B1391" s="26"/>
      <c r="C1391" s="26"/>
      <c r="E1391" s="26"/>
      <c r="I1391" s="26"/>
      <c r="O1391" s="26"/>
    </row>
    <row r="1392">
      <c r="B1392" s="26"/>
      <c r="C1392" s="26"/>
      <c r="E1392" s="26"/>
      <c r="I1392" s="26"/>
      <c r="O1392" s="26"/>
    </row>
    <row r="1393">
      <c r="B1393" s="26"/>
      <c r="C1393" s="26"/>
      <c r="E1393" s="26"/>
      <c r="I1393" s="26"/>
      <c r="O1393" s="26"/>
    </row>
    <row r="1394">
      <c r="B1394" s="26"/>
      <c r="C1394" s="26"/>
      <c r="E1394" s="26"/>
      <c r="I1394" s="26"/>
      <c r="O1394" s="26"/>
    </row>
    <row r="1395">
      <c r="B1395" s="26"/>
      <c r="C1395" s="26"/>
      <c r="E1395" s="26"/>
      <c r="I1395" s="26"/>
      <c r="O1395" s="26"/>
    </row>
    <row r="1396">
      <c r="B1396" s="26"/>
      <c r="C1396" s="26"/>
      <c r="E1396" s="26"/>
      <c r="I1396" s="26"/>
      <c r="O1396" s="26"/>
    </row>
    <row r="1397">
      <c r="B1397" s="26"/>
      <c r="C1397" s="26"/>
      <c r="E1397" s="26"/>
      <c r="I1397" s="26"/>
      <c r="O1397" s="26"/>
    </row>
    <row r="1398">
      <c r="B1398" s="26"/>
      <c r="C1398" s="26"/>
      <c r="E1398" s="26"/>
      <c r="I1398" s="26"/>
      <c r="O1398" s="26"/>
    </row>
    <row r="1399">
      <c r="B1399" s="26"/>
      <c r="C1399" s="26"/>
      <c r="E1399" s="26"/>
      <c r="I1399" s="26"/>
      <c r="O1399" s="26"/>
    </row>
    <row r="1400">
      <c r="B1400" s="26"/>
      <c r="C1400" s="26"/>
      <c r="E1400" s="26"/>
      <c r="I1400" s="26"/>
      <c r="O1400" s="26"/>
    </row>
    <row r="1401">
      <c r="B1401" s="26"/>
      <c r="C1401" s="26"/>
      <c r="E1401" s="26"/>
      <c r="I1401" s="26"/>
      <c r="O1401" s="26"/>
    </row>
    <row r="1402">
      <c r="B1402" s="26"/>
      <c r="C1402" s="26"/>
      <c r="E1402" s="26"/>
      <c r="I1402" s="26"/>
      <c r="O1402" s="26"/>
    </row>
    <row r="1403">
      <c r="B1403" s="26"/>
      <c r="C1403" s="26"/>
      <c r="E1403" s="26"/>
      <c r="I1403" s="26"/>
      <c r="O1403" s="26"/>
    </row>
    <row r="1404">
      <c r="B1404" s="26"/>
      <c r="C1404" s="26"/>
      <c r="E1404" s="26"/>
      <c r="I1404" s="26"/>
      <c r="O1404" s="26"/>
    </row>
    <row r="1405">
      <c r="B1405" s="26"/>
      <c r="C1405" s="26"/>
      <c r="E1405" s="26"/>
      <c r="I1405" s="26"/>
      <c r="O1405" s="26"/>
    </row>
    <row r="1406">
      <c r="B1406" s="26"/>
      <c r="C1406" s="26"/>
      <c r="E1406" s="26"/>
      <c r="I1406" s="26"/>
      <c r="O1406" s="26"/>
    </row>
    <row r="1407">
      <c r="B1407" s="26"/>
      <c r="C1407" s="26"/>
      <c r="E1407" s="26"/>
      <c r="I1407" s="26"/>
      <c r="O1407" s="26"/>
    </row>
    <row r="1408">
      <c r="B1408" s="26"/>
      <c r="C1408" s="26"/>
      <c r="E1408" s="26"/>
      <c r="I1408" s="26"/>
      <c r="O1408" s="26"/>
    </row>
    <row r="1409">
      <c r="B1409" s="26"/>
      <c r="C1409" s="26"/>
      <c r="E1409" s="26"/>
      <c r="I1409" s="26"/>
      <c r="O1409" s="26"/>
    </row>
    <row r="1410">
      <c r="B1410" s="26"/>
      <c r="C1410" s="26"/>
      <c r="E1410" s="26"/>
      <c r="I1410" s="26"/>
      <c r="O1410" s="26"/>
    </row>
    <row r="1411">
      <c r="B1411" s="26"/>
      <c r="C1411" s="26"/>
      <c r="E1411" s="26"/>
      <c r="I1411" s="26"/>
      <c r="O1411" s="26"/>
    </row>
    <row r="1412">
      <c r="B1412" s="26"/>
      <c r="C1412" s="26"/>
      <c r="E1412" s="26"/>
      <c r="I1412" s="26"/>
      <c r="O1412" s="26"/>
    </row>
    <row r="1413">
      <c r="B1413" s="26"/>
      <c r="C1413" s="26"/>
      <c r="E1413" s="26"/>
      <c r="I1413" s="26"/>
      <c r="O1413" s="26"/>
    </row>
    <row r="1414">
      <c r="B1414" s="26"/>
      <c r="C1414" s="26"/>
      <c r="E1414" s="26"/>
      <c r="I1414" s="26"/>
      <c r="O1414" s="26"/>
    </row>
    <row r="1415">
      <c r="B1415" s="26"/>
      <c r="C1415" s="26"/>
      <c r="E1415" s="26"/>
      <c r="I1415" s="26"/>
      <c r="O1415" s="26"/>
    </row>
    <row r="1416">
      <c r="B1416" s="26"/>
      <c r="C1416" s="26"/>
      <c r="E1416" s="26"/>
      <c r="I1416" s="26"/>
      <c r="O1416" s="26"/>
    </row>
    <row r="1417">
      <c r="B1417" s="26"/>
      <c r="C1417" s="26"/>
      <c r="E1417" s="26"/>
      <c r="I1417" s="26"/>
      <c r="O1417" s="26"/>
    </row>
    <row r="1418">
      <c r="B1418" s="26"/>
      <c r="C1418" s="26"/>
      <c r="E1418" s="26"/>
      <c r="I1418" s="26"/>
      <c r="O1418" s="26"/>
    </row>
    <row r="1419">
      <c r="B1419" s="26"/>
      <c r="C1419" s="26"/>
      <c r="E1419" s="26"/>
      <c r="I1419" s="26"/>
      <c r="O1419" s="26"/>
    </row>
    <row r="1420">
      <c r="B1420" s="26"/>
      <c r="C1420" s="26"/>
      <c r="E1420" s="26"/>
      <c r="I1420" s="26"/>
      <c r="O1420" s="26"/>
    </row>
    <row r="1421">
      <c r="B1421" s="26"/>
      <c r="C1421" s="26"/>
      <c r="E1421" s="26"/>
      <c r="I1421" s="26"/>
      <c r="O1421" s="26"/>
    </row>
    <row r="1422">
      <c r="B1422" s="26"/>
      <c r="C1422" s="26"/>
      <c r="E1422" s="26"/>
      <c r="I1422" s="26"/>
      <c r="O1422" s="26"/>
    </row>
    <row r="1423">
      <c r="B1423" s="26"/>
      <c r="C1423" s="26"/>
      <c r="E1423" s="26"/>
      <c r="I1423" s="26"/>
      <c r="O1423" s="26"/>
    </row>
    <row r="1424">
      <c r="B1424" s="26"/>
      <c r="C1424" s="26"/>
      <c r="E1424" s="26"/>
      <c r="I1424" s="26"/>
      <c r="O1424" s="26"/>
    </row>
    <row r="1425">
      <c r="B1425" s="26"/>
      <c r="C1425" s="26"/>
      <c r="E1425" s="26"/>
      <c r="I1425" s="26"/>
      <c r="O1425" s="26"/>
    </row>
    <row r="1426">
      <c r="B1426" s="26"/>
      <c r="C1426" s="26"/>
      <c r="E1426" s="26"/>
      <c r="I1426" s="26"/>
      <c r="O1426" s="26"/>
    </row>
    <row r="1427">
      <c r="B1427" s="26"/>
      <c r="C1427" s="26"/>
      <c r="E1427" s="26"/>
      <c r="I1427" s="26"/>
      <c r="O1427" s="26"/>
    </row>
    <row r="1428">
      <c r="B1428" s="26"/>
      <c r="C1428" s="26"/>
      <c r="E1428" s="26"/>
      <c r="I1428" s="26"/>
      <c r="O1428" s="26"/>
    </row>
    <row r="1429">
      <c r="B1429" s="26"/>
      <c r="C1429" s="26"/>
      <c r="E1429" s="26"/>
      <c r="I1429" s="26"/>
      <c r="O1429" s="26"/>
    </row>
    <row r="1430">
      <c r="B1430" s="26"/>
      <c r="C1430" s="26"/>
      <c r="E1430" s="26"/>
      <c r="I1430" s="26"/>
      <c r="O1430" s="26"/>
    </row>
    <row r="1431">
      <c r="B1431" s="26"/>
      <c r="C1431" s="26"/>
      <c r="E1431" s="26"/>
      <c r="I1431" s="26"/>
      <c r="O1431" s="26"/>
    </row>
    <row r="1432">
      <c r="B1432" s="26"/>
      <c r="C1432" s="26"/>
      <c r="E1432" s="26"/>
      <c r="I1432" s="26"/>
      <c r="O1432" s="26"/>
    </row>
    <row r="1433">
      <c r="B1433" s="26"/>
      <c r="C1433" s="26"/>
      <c r="E1433" s="26"/>
      <c r="I1433" s="26"/>
      <c r="O1433" s="26"/>
    </row>
    <row r="1434">
      <c r="B1434" s="26"/>
      <c r="C1434" s="26"/>
      <c r="E1434" s="26"/>
      <c r="I1434" s="26"/>
      <c r="O1434" s="26"/>
    </row>
    <row r="1435">
      <c r="B1435" s="26"/>
      <c r="C1435" s="26"/>
      <c r="E1435" s="26"/>
      <c r="I1435" s="26"/>
      <c r="O1435" s="26"/>
    </row>
    <row r="1436">
      <c r="B1436" s="26"/>
      <c r="C1436" s="26"/>
      <c r="E1436" s="26"/>
      <c r="I1436" s="26"/>
      <c r="O1436" s="26"/>
    </row>
    <row r="1437">
      <c r="B1437" s="26"/>
      <c r="C1437" s="26"/>
      <c r="E1437" s="26"/>
      <c r="I1437" s="26"/>
      <c r="O1437" s="26"/>
    </row>
    <row r="1438">
      <c r="B1438" s="26"/>
      <c r="C1438" s="26"/>
      <c r="E1438" s="26"/>
      <c r="I1438" s="26"/>
      <c r="O1438" s="26"/>
    </row>
    <row r="1439">
      <c r="B1439" s="26"/>
      <c r="C1439" s="26"/>
      <c r="E1439" s="26"/>
      <c r="I1439" s="26"/>
      <c r="O1439" s="26"/>
    </row>
    <row r="1440">
      <c r="B1440" s="26"/>
      <c r="C1440" s="26"/>
      <c r="E1440" s="26"/>
      <c r="I1440" s="26"/>
      <c r="O1440" s="26"/>
    </row>
    <row r="1441">
      <c r="B1441" s="26"/>
      <c r="C1441" s="26"/>
      <c r="E1441" s="26"/>
      <c r="I1441" s="26"/>
      <c r="O1441" s="26"/>
    </row>
    <row r="1442">
      <c r="B1442" s="26"/>
      <c r="C1442" s="26"/>
      <c r="E1442" s="26"/>
      <c r="I1442" s="26"/>
      <c r="O1442" s="26"/>
    </row>
    <row r="1443">
      <c r="B1443" s="26"/>
      <c r="C1443" s="26"/>
      <c r="E1443" s="26"/>
      <c r="I1443" s="26"/>
      <c r="O1443" s="26"/>
    </row>
    <row r="1444">
      <c r="B1444" s="26"/>
      <c r="C1444" s="26"/>
      <c r="E1444" s="26"/>
      <c r="I1444" s="26"/>
      <c r="O1444" s="26"/>
    </row>
    <row r="1445">
      <c r="B1445" s="26"/>
      <c r="C1445" s="26"/>
      <c r="E1445" s="26"/>
      <c r="I1445" s="26"/>
      <c r="O1445" s="26"/>
    </row>
    <row r="1446">
      <c r="B1446" s="26"/>
      <c r="C1446" s="26"/>
      <c r="E1446" s="26"/>
      <c r="I1446" s="26"/>
      <c r="O1446" s="26"/>
    </row>
    <row r="1447">
      <c r="B1447" s="26"/>
      <c r="C1447" s="26"/>
      <c r="E1447" s="26"/>
      <c r="I1447" s="26"/>
      <c r="O1447" s="26"/>
    </row>
    <row r="1448">
      <c r="B1448" s="26"/>
      <c r="C1448" s="26"/>
      <c r="E1448" s="26"/>
      <c r="I1448" s="26"/>
      <c r="O1448" s="26"/>
    </row>
    <row r="1449">
      <c r="B1449" s="26"/>
      <c r="C1449" s="26"/>
      <c r="E1449" s="26"/>
      <c r="I1449" s="26"/>
      <c r="O1449" s="26"/>
    </row>
    <row r="1450">
      <c r="B1450" s="26"/>
      <c r="C1450" s="26"/>
      <c r="E1450" s="26"/>
      <c r="I1450" s="26"/>
      <c r="O1450" s="26"/>
    </row>
    <row r="1451">
      <c r="B1451" s="26"/>
      <c r="C1451" s="26"/>
      <c r="E1451" s="26"/>
      <c r="I1451" s="26"/>
      <c r="O1451" s="26"/>
    </row>
    <row r="1452">
      <c r="B1452" s="26"/>
      <c r="C1452" s="26"/>
      <c r="E1452" s="26"/>
      <c r="I1452" s="26"/>
      <c r="O1452" s="26"/>
    </row>
    <row r="1453">
      <c r="B1453" s="26"/>
      <c r="C1453" s="26"/>
      <c r="E1453" s="26"/>
      <c r="I1453" s="26"/>
      <c r="O1453" s="26"/>
    </row>
    <row r="1454">
      <c r="B1454" s="26"/>
      <c r="C1454" s="26"/>
      <c r="E1454" s="26"/>
      <c r="I1454" s="26"/>
      <c r="O1454" s="26"/>
    </row>
    <row r="1455">
      <c r="B1455" s="26"/>
      <c r="C1455" s="26"/>
      <c r="E1455" s="26"/>
      <c r="I1455" s="26"/>
      <c r="O1455" s="26"/>
    </row>
    <row r="1456">
      <c r="B1456" s="26"/>
      <c r="C1456" s="26"/>
      <c r="E1456" s="26"/>
      <c r="I1456" s="26"/>
      <c r="O1456" s="26"/>
    </row>
    <row r="1457">
      <c r="B1457" s="26"/>
      <c r="C1457" s="26"/>
      <c r="E1457" s="26"/>
      <c r="I1457" s="26"/>
      <c r="O1457" s="26"/>
    </row>
    <row r="1458">
      <c r="B1458" s="26"/>
      <c r="C1458" s="26"/>
      <c r="E1458" s="26"/>
      <c r="I1458" s="26"/>
      <c r="O1458" s="26"/>
    </row>
    <row r="1459">
      <c r="B1459" s="26"/>
      <c r="C1459" s="26"/>
      <c r="E1459" s="26"/>
      <c r="I1459" s="26"/>
      <c r="O1459" s="26"/>
    </row>
    <row r="1460">
      <c r="B1460" s="26"/>
      <c r="C1460" s="26"/>
      <c r="E1460" s="26"/>
      <c r="I1460" s="26"/>
      <c r="O1460" s="26"/>
    </row>
    <row r="1461">
      <c r="B1461" s="26"/>
      <c r="C1461" s="26"/>
      <c r="E1461" s="26"/>
      <c r="I1461" s="26"/>
      <c r="O1461" s="26"/>
    </row>
    <row r="1462">
      <c r="B1462" s="26"/>
      <c r="C1462" s="26"/>
      <c r="E1462" s="26"/>
      <c r="I1462" s="26"/>
      <c r="O1462" s="26"/>
    </row>
    <row r="1463">
      <c r="B1463" s="26"/>
      <c r="C1463" s="26"/>
      <c r="E1463" s="26"/>
      <c r="I1463" s="26"/>
      <c r="O1463" s="26"/>
    </row>
    <row r="1464">
      <c r="B1464" s="26"/>
      <c r="C1464" s="26"/>
      <c r="E1464" s="26"/>
      <c r="I1464" s="26"/>
      <c r="O1464" s="26"/>
    </row>
    <row r="1465">
      <c r="B1465" s="26"/>
      <c r="C1465" s="26"/>
      <c r="E1465" s="26"/>
      <c r="I1465" s="26"/>
      <c r="O1465" s="26"/>
    </row>
    <row r="1466">
      <c r="B1466" s="26"/>
      <c r="C1466" s="26"/>
      <c r="E1466" s="26"/>
      <c r="I1466" s="26"/>
      <c r="O1466" s="26"/>
    </row>
    <row r="1467">
      <c r="B1467" s="26"/>
      <c r="C1467" s="26"/>
      <c r="E1467" s="26"/>
      <c r="I1467" s="26"/>
      <c r="O1467" s="26"/>
    </row>
    <row r="1468">
      <c r="B1468" s="26"/>
      <c r="C1468" s="26"/>
      <c r="E1468" s="26"/>
      <c r="I1468" s="26"/>
      <c r="O1468" s="26"/>
    </row>
    <row r="1469">
      <c r="B1469" s="26"/>
      <c r="C1469" s="26"/>
      <c r="E1469" s="26"/>
      <c r="I1469" s="26"/>
      <c r="O1469" s="26"/>
    </row>
    <row r="1470">
      <c r="B1470" s="26"/>
      <c r="C1470" s="26"/>
      <c r="E1470" s="26"/>
      <c r="I1470" s="26"/>
      <c r="O1470" s="26"/>
    </row>
    <row r="1471">
      <c r="B1471" s="26"/>
      <c r="C1471" s="26"/>
      <c r="E1471" s="26"/>
      <c r="I1471" s="26"/>
      <c r="O1471" s="26"/>
    </row>
    <row r="1472">
      <c r="B1472" s="26"/>
      <c r="C1472" s="26"/>
      <c r="E1472" s="26"/>
      <c r="I1472" s="26"/>
      <c r="O1472" s="26"/>
    </row>
    <row r="1473">
      <c r="B1473" s="26"/>
      <c r="C1473" s="26"/>
      <c r="E1473" s="26"/>
      <c r="I1473" s="26"/>
      <c r="O1473" s="26"/>
    </row>
    <row r="1474">
      <c r="B1474" s="26"/>
      <c r="C1474" s="26"/>
      <c r="E1474" s="26"/>
      <c r="I1474" s="26"/>
      <c r="O1474" s="26"/>
    </row>
    <row r="1475">
      <c r="B1475" s="26"/>
      <c r="C1475" s="26"/>
      <c r="E1475" s="26"/>
      <c r="I1475" s="26"/>
      <c r="O1475" s="26"/>
    </row>
    <row r="1476">
      <c r="B1476" s="26"/>
      <c r="C1476" s="26"/>
      <c r="E1476" s="26"/>
      <c r="I1476" s="26"/>
      <c r="O1476" s="26"/>
    </row>
    <row r="1477">
      <c r="B1477" s="26"/>
      <c r="C1477" s="26"/>
      <c r="E1477" s="26"/>
      <c r="I1477" s="26"/>
      <c r="O1477" s="26"/>
    </row>
    <row r="1478">
      <c r="B1478" s="26"/>
      <c r="C1478" s="26"/>
      <c r="E1478" s="26"/>
      <c r="I1478" s="26"/>
      <c r="O1478" s="26"/>
    </row>
    <row r="1479">
      <c r="B1479" s="26"/>
      <c r="C1479" s="26"/>
      <c r="E1479" s="26"/>
      <c r="I1479" s="26"/>
      <c r="O1479" s="26"/>
    </row>
    <row r="1480">
      <c r="B1480" s="26"/>
      <c r="C1480" s="26"/>
      <c r="E1480" s="26"/>
      <c r="I1480" s="26"/>
      <c r="O1480" s="26"/>
    </row>
    <row r="1481">
      <c r="B1481" s="26"/>
      <c r="C1481" s="26"/>
      <c r="E1481" s="26"/>
      <c r="I1481" s="26"/>
      <c r="O1481" s="26"/>
    </row>
    <row r="1482">
      <c r="B1482" s="26"/>
      <c r="C1482" s="26"/>
      <c r="E1482" s="26"/>
      <c r="I1482" s="26"/>
      <c r="O1482" s="26"/>
    </row>
    <row r="1483">
      <c r="B1483" s="26"/>
      <c r="C1483" s="26"/>
      <c r="E1483" s="26"/>
      <c r="I1483" s="26"/>
      <c r="O1483" s="26"/>
    </row>
    <row r="1484">
      <c r="B1484" s="26"/>
      <c r="C1484" s="26"/>
      <c r="E1484" s="26"/>
      <c r="I1484" s="26"/>
      <c r="O1484" s="26"/>
    </row>
    <row r="1485">
      <c r="B1485" s="26"/>
      <c r="C1485" s="26"/>
      <c r="E1485" s="26"/>
      <c r="I1485" s="26"/>
      <c r="O1485" s="26"/>
    </row>
    <row r="1486">
      <c r="B1486" s="26"/>
      <c r="C1486" s="26"/>
      <c r="E1486" s="26"/>
      <c r="I1486" s="26"/>
      <c r="O1486" s="26"/>
    </row>
    <row r="1487">
      <c r="B1487" s="26"/>
      <c r="C1487" s="26"/>
      <c r="E1487" s="26"/>
      <c r="I1487" s="26"/>
      <c r="O1487" s="26"/>
    </row>
    <row r="1488">
      <c r="B1488" s="26"/>
      <c r="C1488" s="26"/>
      <c r="E1488" s="26"/>
      <c r="I1488" s="26"/>
      <c r="O1488" s="26"/>
    </row>
    <row r="1489">
      <c r="B1489" s="26"/>
      <c r="C1489" s="26"/>
      <c r="E1489" s="26"/>
      <c r="I1489" s="26"/>
      <c r="O1489" s="26"/>
    </row>
    <row r="1490">
      <c r="B1490" s="26"/>
      <c r="C1490" s="26"/>
      <c r="E1490" s="26"/>
      <c r="I1490" s="26"/>
      <c r="O1490" s="26"/>
    </row>
    <row r="1491">
      <c r="B1491" s="26"/>
      <c r="C1491" s="26"/>
      <c r="E1491" s="26"/>
      <c r="I1491" s="26"/>
      <c r="O1491" s="26"/>
    </row>
    <row r="1492">
      <c r="B1492" s="26"/>
      <c r="C1492" s="26"/>
      <c r="E1492" s="26"/>
      <c r="I1492" s="26"/>
      <c r="O1492" s="26"/>
    </row>
    <row r="1493">
      <c r="B1493" s="26"/>
      <c r="C1493" s="26"/>
      <c r="E1493" s="26"/>
      <c r="I1493" s="26"/>
      <c r="O1493" s="26"/>
    </row>
    <row r="1494">
      <c r="B1494" s="26"/>
      <c r="C1494" s="26"/>
      <c r="E1494" s="26"/>
      <c r="I1494" s="26"/>
      <c r="O1494" s="26"/>
    </row>
    <row r="1495">
      <c r="B1495" s="26"/>
      <c r="C1495" s="26"/>
      <c r="E1495" s="26"/>
      <c r="I1495" s="26"/>
      <c r="O1495" s="26"/>
    </row>
    <row r="1496">
      <c r="B1496" s="26"/>
      <c r="C1496" s="26"/>
      <c r="E1496" s="26"/>
      <c r="I1496" s="26"/>
      <c r="O1496" s="26"/>
    </row>
    <row r="1497">
      <c r="B1497" s="26"/>
      <c r="C1497" s="26"/>
      <c r="E1497" s="26"/>
      <c r="I1497" s="26"/>
      <c r="O1497" s="26"/>
    </row>
    <row r="1498">
      <c r="B1498" s="26"/>
      <c r="C1498" s="26"/>
      <c r="E1498" s="26"/>
      <c r="I1498" s="26"/>
      <c r="O1498" s="26"/>
    </row>
    <row r="1499">
      <c r="B1499" s="26"/>
      <c r="C1499" s="26"/>
      <c r="E1499" s="26"/>
      <c r="I1499" s="26"/>
      <c r="O1499" s="26"/>
    </row>
    <row r="1500">
      <c r="B1500" s="26"/>
      <c r="C1500" s="26"/>
      <c r="E1500" s="26"/>
      <c r="I1500" s="26"/>
      <c r="O1500" s="26"/>
    </row>
    <row r="1501">
      <c r="B1501" s="26"/>
      <c r="C1501" s="26"/>
      <c r="E1501" s="26"/>
      <c r="I1501" s="26"/>
      <c r="O1501" s="26"/>
    </row>
    <row r="1502">
      <c r="B1502" s="26"/>
      <c r="C1502" s="26"/>
      <c r="E1502" s="26"/>
      <c r="I1502" s="26"/>
      <c r="O1502" s="26"/>
    </row>
    <row r="1503">
      <c r="B1503" s="26"/>
      <c r="C1503" s="26"/>
      <c r="E1503" s="26"/>
      <c r="I1503" s="26"/>
      <c r="O1503" s="26"/>
    </row>
    <row r="1504">
      <c r="B1504" s="26"/>
      <c r="C1504" s="26"/>
      <c r="E1504" s="26"/>
      <c r="I1504" s="26"/>
      <c r="O1504" s="26"/>
    </row>
    <row r="1505">
      <c r="B1505" s="26"/>
      <c r="C1505" s="26"/>
      <c r="E1505" s="26"/>
      <c r="I1505" s="26"/>
      <c r="O1505" s="26"/>
    </row>
    <row r="1506">
      <c r="B1506" s="26"/>
      <c r="C1506" s="26"/>
      <c r="E1506" s="26"/>
      <c r="I1506" s="26"/>
      <c r="O1506" s="26"/>
    </row>
    <row r="1507">
      <c r="B1507" s="26"/>
      <c r="C1507" s="26"/>
      <c r="E1507" s="26"/>
      <c r="I1507" s="26"/>
      <c r="O1507" s="26"/>
    </row>
    <row r="1508">
      <c r="B1508" s="26"/>
      <c r="C1508" s="26"/>
      <c r="E1508" s="26"/>
      <c r="I1508" s="26"/>
      <c r="O1508" s="26"/>
    </row>
    <row r="1509">
      <c r="B1509" s="26"/>
      <c r="C1509" s="26"/>
      <c r="E1509" s="26"/>
      <c r="I1509" s="26"/>
      <c r="O1509" s="26"/>
    </row>
    <row r="1510">
      <c r="B1510" s="26"/>
      <c r="C1510" s="26"/>
      <c r="E1510" s="26"/>
      <c r="I1510" s="26"/>
      <c r="O1510" s="26"/>
    </row>
    <row r="1511">
      <c r="B1511" s="26"/>
      <c r="C1511" s="26"/>
      <c r="E1511" s="26"/>
      <c r="I1511" s="26"/>
      <c r="O1511" s="26"/>
    </row>
    <row r="1512">
      <c r="B1512" s="26"/>
      <c r="C1512" s="26"/>
      <c r="E1512" s="26"/>
      <c r="I1512" s="26"/>
      <c r="O1512" s="26"/>
    </row>
    <row r="1513">
      <c r="B1513" s="26"/>
      <c r="C1513" s="26"/>
      <c r="E1513" s="26"/>
      <c r="I1513" s="26"/>
      <c r="O1513" s="26"/>
    </row>
    <row r="1514">
      <c r="B1514" s="26"/>
      <c r="C1514" s="26"/>
      <c r="E1514" s="26"/>
      <c r="I1514" s="26"/>
      <c r="O1514" s="26"/>
    </row>
    <row r="1515">
      <c r="B1515" s="26"/>
      <c r="C1515" s="26"/>
      <c r="E1515" s="26"/>
      <c r="I1515" s="26"/>
      <c r="O1515" s="26"/>
    </row>
    <row r="1516">
      <c r="B1516" s="26"/>
      <c r="C1516" s="26"/>
      <c r="E1516" s="26"/>
      <c r="I1516" s="26"/>
      <c r="O1516" s="26"/>
    </row>
    <row r="1517">
      <c r="B1517" s="26"/>
      <c r="C1517" s="26"/>
      <c r="E1517" s="26"/>
      <c r="I1517" s="26"/>
      <c r="O1517" s="26"/>
    </row>
    <row r="1518">
      <c r="B1518" s="26"/>
      <c r="C1518" s="26"/>
      <c r="E1518" s="26"/>
      <c r="I1518" s="26"/>
      <c r="O1518" s="26"/>
    </row>
    <row r="1519">
      <c r="B1519" s="26"/>
      <c r="C1519" s="26"/>
      <c r="E1519" s="26"/>
      <c r="I1519" s="26"/>
      <c r="O1519" s="26"/>
    </row>
    <row r="1520">
      <c r="B1520" s="26"/>
      <c r="C1520" s="26"/>
      <c r="E1520" s="26"/>
      <c r="I1520" s="26"/>
      <c r="O1520" s="26"/>
    </row>
    <row r="1521">
      <c r="B1521" s="26"/>
      <c r="C1521" s="26"/>
      <c r="E1521" s="26"/>
      <c r="I1521" s="26"/>
      <c r="O1521" s="26"/>
    </row>
    <row r="1522">
      <c r="B1522" s="26"/>
      <c r="C1522" s="26"/>
      <c r="E1522" s="26"/>
      <c r="I1522" s="26"/>
      <c r="O1522" s="26"/>
    </row>
    <row r="1523">
      <c r="B1523" s="26"/>
      <c r="C1523" s="26"/>
      <c r="E1523" s="26"/>
      <c r="I1523" s="26"/>
      <c r="O1523" s="26"/>
    </row>
    <row r="1524">
      <c r="B1524" s="26"/>
      <c r="C1524" s="26"/>
      <c r="E1524" s="26"/>
      <c r="I1524" s="26"/>
      <c r="O1524" s="26"/>
    </row>
    <row r="1525">
      <c r="B1525" s="26"/>
      <c r="C1525" s="26"/>
      <c r="E1525" s="26"/>
      <c r="I1525" s="26"/>
      <c r="O1525" s="26"/>
    </row>
    <row r="1526">
      <c r="B1526" s="26"/>
      <c r="C1526" s="26"/>
      <c r="E1526" s="26"/>
      <c r="I1526" s="26"/>
      <c r="O1526" s="26"/>
    </row>
    <row r="1527">
      <c r="B1527" s="26"/>
      <c r="C1527" s="26"/>
      <c r="E1527" s="26"/>
      <c r="I1527" s="26"/>
      <c r="O1527" s="26"/>
    </row>
    <row r="1528">
      <c r="B1528" s="26"/>
      <c r="C1528" s="26"/>
      <c r="E1528" s="26"/>
      <c r="I1528" s="26"/>
      <c r="O1528" s="26"/>
    </row>
    <row r="1529">
      <c r="B1529" s="26"/>
      <c r="C1529" s="26"/>
      <c r="E1529" s="26"/>
      <c r="I1529" s="26"/>
      <c r="O1529" s="26"/>
    </row>
    <row r="1530">
      <c r="B1530" s="26"/>
      <c r="C1530" s="26"/>
      <c r="E1530" s="26"/>
      <c r="I1530" s="26"/>
      <c r="O1530" s="26"/>
    </row>
    <row r="1531">
      <c r="B1531" s="26"/>
      <c r="C1531" s="26"/>
      <c r="E1531" s="26"/>
      <c r="I1531" s="26"/>
      <c r="O1531" s="26"/>
    </row>
    <row r="1532">
      <c r="B1532" s="26"/>
      <c r="C1532" s="26"/>
      <c r="E1532" s="26"/>
      <c r="I1532" s="26"/>
      <c r="O1532" s="26"/>
    </row>
    <row r="1533">
      <c r="B1533" s="26"/>
      <c r="C1533" s="26"/>
      <c r="E1533" s="26"/>
      <c r="I1533" s="26"/>
      <c r="O1533" s="26"/>
    </row>
    <row r="1534">
      <c r="B1534" s="26"/>
      <c r="C1534" s="26"/>
      <c r="E1534" s="26"/>
      <c r="I1534" s="26"/>
      <c r="O1534" s="26"/>
    </row>
    <row r="1535">
      <c r="B1535" s="26"/>
      <c r="C1535" s="26"/>
      <c r="E1535" s="26"/>
      <c r="I1535" s="26"/>
      <c r="O1535" s="26"/>
    </row>
    <row r="1536">
      <c r="B1536" s="26"/>
      <c r="C1536" s="26"/>
      <c r="E1536" s="26"/>
      <c r="I1536" s="26"/>
      <c r="O1536" s="26"/>
    </row>
    <row r="1537">
      <c r="B1537" s="26"/>
      <c r="C1537" s="26"/>
      <c r="E1537" s="26"/>
      <c r="I1537" s="26"/>
      <c r="O1537" s="26"/>
    </row>
    <row r="1538">
      <c r="B1538" s="26"/>
      <c r="C1538" s="26"/>
      <c r="E1538" s="26"/>
      <c r="I1538" s="26"/>
      <c r="O1538" s="26"/>
    </row>
    <row r="1539">
      <c r="B1539" s="26"/>
      <c r="C1539" s="26"/>
      <c r="E1539" s="26"/>
      <c r="I1539" s="26"/>
      <c r="O1539" s="26"/>
    </row>
    <row r="1540">
      <c r="B1540" s="26"/>
      <c r="C1540" s="26"/>
      <c r="E1540" s="26"/>
      <c r="I1540" s="26"/>
      <c r="O1540" s="26"/>
    </row>
    <row r="1541">
      <c r="B1541" s="26"/>
      <c r="C1541" s="26"/>
      <c r="E1541" s="26"/>
      <c r="I1541" s="26"/>
      <c r="O1541" s="26"/>
    </row>
    <row r="1542">
      <c r="B1542" s="26"/>
      <c r="C1542" s="26"/>
      <c r="E1542" s="26"/>
      <c r="I1542" s="26"/>
      <c r="O1542" s="26"/>
    </row>
    <row r="1543">
      <c r="B1543" s="26"/>
      <c r="C1543" s="26"/>
      <c r="E1543" s="26"/>
      <c r="I1543" s="26"/>
      <c r="O1543" s="26"/>
    </row>
    <row r="1544">
      <c r="B1544" s="26"/>
      <c r="C1544" s="26"/>
      <c r="E1544" s="26"/>
      <c r="I1544" s="26"/>
      <c r="O1544" s="26"/>
    </row>
    <row r="1545">
      <c r="B1545" s="26"/>
      <c r="C1545" s="26"/>
      <c r="E1545" s="26"/>
      <c r="I1545" s="26"/>
      <c r="O1545" s="26"/>
    </row>
    <row r="1546">
      <c r="B1546" s="26"/>
      <c r="C1546" s="26"/>
      <c r="E1546" s="26"/>
      <c r="I1546" s="26"/>
      <c r="O1546" s="26"/>
    </row>
    <row r="1547">
      <c r="B1547" s="26"/>
      <c r="C1547" s="26"/>
      <c r="E1547" s="26"/>
      <c r="I1547" s="26"/>
      <c r="O1547" s="26"/>
    </row>
    <row r="1548">
      <c r="B1548" s="26"/>
      <c r="C1548" s="26"/>
      <c r="E1548" s="26"/>
      <c r="I1548" s="26"/>
      <c r="O1548" s="26"/>
    </row>
    <row r="1549">
      <c r="B1549" s="26"/>
      <c r="C1549" s="26"/>
      <c r="E1549" s="26"/>
      <c r="I1549" s="26"/>
      <c r="O1549" s="26"/>
    </row>
    <row r="1550">
      <c r="B1550" s="26"/>
      <c r="C1550" s="26"/>
      <c r="E1550" s="26"/>
      <c r="I1550" s="26"/>
      <c r="O1550" s="26"/>
    </row>
    <row r="1551">
      <c r="B1551" s="26"/>
      <c r="C1551" s="26"/>
      <c r="E1551" s="26"/>
      <c r="I1551" s="26"/>
      <c r="O1551" s="26"/>
    </row>
    <row r="1552">
      <c r="B1552" s="26"/>
      <c r="C1552" s="26"/>
      <c r="E1552" s="26"/>
      <c r="I1552" s="26"/>
      <c r="O1552" s="26"/>
    </row>
    <row r="1553">
      <c r="B1553" s="26"/>
      <c r="C1553" s="26"/>
      <c r="E1553" s="26"/>
      <c r="I1553" s="26"/>
      <c r="O1553" s="26"/>
    </row>
    <row r="1554">
      <c r="B1554" s="26"/>
      <c r="C1554" s="26"/>
      <c r="E1554" s="26"/>
      <c r="I1554" s="26"/>
      <c r="O1554" s="26"/>
    </row>
    <row r="1555">
      <c r="B1555" s="26"/>
      <c r="C1555" s="26"/>
      <c r="E1555" s="26"/>
      <c r="I1555" s="26"/>
      <c r="O1555" s="26"/>
    </row>
    <row r="1556">
      <c r="B1556" s="26"/>
      <c r="C1556" s="26"/>
      <c r="E1556" s="26"/>
      <c r="I1556" s="26"/>
      <c r="O1556" s="26"/>
    </row>
    <row r="1557">
      <c r="B1557" s="26"/>
      <c r="C1557" s="26"/>
      <c r="E1557" s="26"/>
      <c r="I1557" s="26"/>
      <c r="O1557" s="26"/>
    </row>
    <row r="1558">
      <c r="B1558" s="26"/>
      <c r="C1558" s="26"/>
      <c r="E1558" s="26"/>
      <c r="I1558" s="26"/>
      <c r="O1558" s="26"/>
    </row>
    <row r="1559">
      <c r="B1559" s="26"/>
      <c r="C1559" s="26"/>
      <c r="E1559" s="26"/>
      <c r="I1559" s="26"/>
      <c r="O1559" s="26"/>
    </row>
    <row r="1560">
      <c r="B1560" s="26"/>
      <c r="C1560" s="26"/>
      <c r="E1560" s="26"/>
      <c r="I1560" s="26"/>
      <c r="O1560" s="26"/>
    </row>
    <row r="1561">
      <c r="B1561" s="26"/>
      <c r="C1561" s="26"/>
      <c r="E1561" s="26"/>
      <c r="I1561" s="26"/>
      <c r="O1561" s="26"/>
    </row>
    <row r="1562">
      <c r="B1562" s="26"/>
      <c r="C1562" s="26"/>
      <c r="E1562" s="26"/>
      <c r="I1562" s="26"/>
      <c r="O1562" s="26"/>
    </row>
    <row r="1563">
      <c r="B1563" s="26"/>
      <c r="C1563" s="26"/>
      <c r="E1563" s="26"/>
      <c r="I1563" s="26"/>
      <c r="O1563" s="26"/>
    </row>
    <row r="1564">
      <c r="B1564" s="26"/>
      <c r="C1564" s="26"/>
      <c r="E1564" s="26"/>
      <c r="I1564" s="26"/>
      <c r="O1564" s="26"/>
    </row>
    <row r="1565">
      <c r="B1565" s="26"/>
      <c r="C1565" s="26"/>
      <c r="E1565" s="26"/>
      <c r="I1565" s="26"/>
      <c r="O1565" s="26"/>
    </row>
    <row r="1566">
      <c r="B1566" s="26"/>
      <c r="C1566" s="26"/>
      <c r="E1566" s="26"/>
      <c r="I1566" s="26"/>
      <c r="O1566" s="26"/>
    </row>
    <row r="1567">
      <c r="B1567" s="26"/>
      <c r="C1567" s="26"/>
      <c r="E1567" s="26"/>
      <c r="I1567" s="26"/>
      <c r="O1567" s="26"/>
    </row>
    <row r="1568">
      <c r="B1568" s="26"/>
      <c r="C1568" s="26"/>
      <c r="E1568" s="26"/>
      <c r="I1568" s="26"/>
      <c r="O1568" s="26"/>
    </row>
    <row r="1569">
      <c r="B1569" s="26"/>
      <c r="C1569" s="26"/>
      <c r="E1569" s="26"/>
      <c r="I1569" s="26"/>
      <c r="O1569" s="26"/>
    </row>
    <row r="1570">
      <c r="B1570" s="26"/>
      <c r="C1570" s="26"/>
      <c r="E1570" s="26"/>
      <c r="I1570" s="26"/>
      <c r="O1570" s="26"/>
    </row>
    <row r="1571">
      <c r="B1571" s="26"/>
      <c r="C1571" s="26"/>
      <c r="E1571" s="26"/>
      <c r="I1571" s="26"/>
      <c r="O1571" s="26"/>
    </row>
    <row r="1572">
      <c r="B1572" s="26"/>
      <c r="C1572" s="26"/>
      <c r="E1572" s="26"/>
      <c r="I1572" s="26"/>
      <c r="O1572" s="26"/>
    </row>
    <row r="1573">
      <c r="B1573" s="26"/>
      <c r="C1573" s="26"/>
      <c r="E1573" s="26"/>
      <c r="I1573" s="26"/>
      <c r="O1573" s="26"/>
    </row>
    <row r="1574">
      <c r="B1574" s="26"/>
      <c r="C1574" s="26"/>
      <c r="E1574" s="26"/>
      <c r="I1574" s="26"/>
      <c r="O1574" s="26"/>
    </row>
    <row r="1575">
      <c r="B1575" s="26"/>
      <c r="C1575" s="26"/>
      <c r="E1575" s="26"/>
      <c r="I1575" s="26"/>
      <c r="O1575" s="26"/>
    </row>
    <row r="1576">
      <c r="B1576" s="26"/>
      <c r="C1576" s="26"/>
      <c r="E1576" s="26"/>
      <c r="I1576" s="26"/>
      <c r="O1576" s="26"/>
    </row>
    <row r="1577">
      <c r="B1577" s="26"/>
      <c r="C1577" s="26"/>
      <c r="E1577" s="26"/>
      <c r="I1577" s="26"/>
      <c r="O1577" s="26"/>
    </row>
    <row r="1578">
      <c r="B1578" s="26"/>
      <c r="C1578" s="26"/>
      <c r="E1578" s="26"/>
      <c r="I1578" s="26"/>
      <c r="O1578" s="26"/>
    </row>
    <row r="1579">
      <c r="B1579" s="26"/>
      <c r="C1579" s="26"/>
      <c r="E1579" s="26"/>
      <c r="I1579" s="26"/>
      <c r="O1579" s="26"/>
    </row>
    <row r="1580">
      <c r="B1580" s="26"/>
      <c r="C1580" s="26"/>
      <c r="E1580" s="26"/>
      <c r="I1580" s="26"/>
      <c r="O1580" s="26"/>
    </row>
    <row r="1581">
      <c r="B1581" s="26"/>
      <c r="C1581" s="26"/>
      <c r="E1581" s="26"/>
      <c r="I1581" s="26"/>
      <c r="O1581" s="26"/>
    </row>
    <row r="1582">
      <c r="B1582" s="26"/>
      <c r="C1582" s="26"/>
      <c r="E1582" s="26"/>
      <c r="I1582" s="26"/>
      <c r="O1582" s="26"/>
    </row>
    <row r="1583">
      <c r="B1583" s="26"/>
      <c r="C1583" s="26"/>
      <c r="E1583" s="26"/>
      <c r="I1583" s="26"/>
      <c r="O1583" s="26"/>
    </row>
    <row r="1584">
      <c r="B1584" s="26"/>
      <c r="C1584" s="26"/>
      <c r="E1584" s="26"/>
      <c r="I1584" s="26"/>
      <c r="O1584" s="26"/>
    </row>
    <row r="1585">
      <c r="B1585" s="26"/>
      <c r="C1585" s="26"/>
      <c r="E1585" s="26"/>
      <c r="I1585" s="26"/>
      <c r="O1585" s="26"/>
    </row>
    <row r="1586">
      <c r="B1586" s="26"/>
      <c r="C1586" s="26"/>
      <c r="E1586" s="26"/>
      <c r="I1586" s="26"/>
      <c r="O1586" s="26"/>
    </row>
    <row r="1587">
      <c r="B1587" s="26"/>
      <c r="C1587" s="26"/>
      <c r="E1587" s="26"/>
      <c r="I1587" s="26"/>
      <c r="O1587" s="26"/>
    </row>
    <row r="1588">
      <c r="B1588" s="26"/>
      <c r="C1588" s="26"/>
      <c r="E1588" s="26"/>
      <c r="I1588" s="26"/>
      <c r="O1588" s="26"/>
    </row>
    <row r="1589">
      <c r="B1589" s="26"/>
      <c r="C1589" s="26"/>
      <c r="E1589" s="26"/>
      <c r="I1589" s="26"/>
      <c r="O1589" s="26"/>
    </row>
    <row r="1590">
      <c r="B1590" s="26"/>
      <c r="C1590" s="26"/>
      <c r="E1590" s="26"/>
      <c r="I1590" s="26"/>
      <c r="O1590" s="26"/>
    </row>
    <row r="1591">
      <c r="B1591" s="26"/>
      <c r="C1591" s="26"/>
      <c r="E1591" s="26"/>
      <c r="I1591" s="26"/>
      <c r="O1591" s="26"/>
    </row>
    <row r="1592">
      <c r="B1592" s="26"/>
      <c r="C1592" s="26"/>
      <c r="E1592" s="26"/>
      <c r="I1592" s="26"/>
      <c r="O1592" s="26"/>
    </row>
    <row r="1593">
      <c r="B1593" s="26"/>
      <c r="C1593" s="26"/>
      <c r="E1593" s="26"/>
      <c r="I1593" s="26"/>
      <c r="O1593" s="26"/>
    </row>
    <row r="1594">
      <c r="B1594" s="26"/>
      <c r="C1594" s="26"/>
      <c r="E1594" s="26"/>
      <c r="I1594" s="26"/>
      <c r="O1594" s="26"/>
    </row>
    <row r="1595">
      <c r="B1595" s="26"/>
      <c r="C1595" s="26"/>
      <c r="E1595" s="26"/>
      <c r="I1595" s="26"/>
      <c r="O1595" s="26"/>
    </row>
    <row r="1596">
      <c r="B1596" s="26"/>
      <c r="C1596" s="26"/>
      <c r="E1596" s="26"/>
      <c r="I1596" s="26"/>
      <c r="O1596" s="26"/>
    </row>
    <row r="1597">
      <c r="B1597" s="26"/>
      <c r="C1597" s="26"/>
      <c r="E1597" s="26"/>
      <c r="I1597" s="26"/>
      <c r="O1597" s="26"/>
    </row>
    <row r="1598">
      <c r="B1598" s="26"/>
      <c r="C1598" s="26"/>
      <c r="E1598" s="26"/>
      <c r="I1598" s="26"/>
      <c r="O1598" s="26"/>
    </row>
    <row r="1599">
      <c r="B1599" s="26"/>
      <c r="C1599" s="26"/>
      <c r="E1599" s="26"/>
      <c r="I1599" s="26"/>
      <c r="O1599" s="26"/>
    </row>
    <row r="1600">
      <c r="B1600" s="26"/>
      <c r="C1600" s="26"/>
      <c r="E1600" s="26"/>
      <c r="I1600" s="26"/>
      <c r="O1600" s="26"/>
    </row>
    <row r="1601">
      <c r="B1601" s="26"/>
      <c r="C1601" s="26"/>
      <c r="E1601" s="26"/>
      <c r="I1601" s="26"/>
      <c r="O1601" s="26"/>
    </row>
    <row r="1602">
      <c r="B1602" s="26"/>
      <c r="C1602" s="26"/>
      <c r="E1602" s="26"/>
      <c r="I1602" s="26"/>
      <c r="O1602" s="26"/>
    </row>
    <row r="1603">
      <c r="B1603" s="26"/>
      <c r="C1603" s="26"/>
      <c r="E1603" s="26"/>
      <c r="I1603" s="26"/>
      <c r="O1603" s="26"/>
    </row>
    <row r="1604">
      <c r="B1604" s="26"/>
      <c r="C1604" s="26"/>
      <c r="E1604" s="26"/>
      <c r="I1604" s="26"/>
      <c r="O1604" s="26"/>
    </row>
    <row r="1605">
      <c r="B1605" s="26"/>
      <c r="C1605" s="26"/>
      <c r="E1605" s="26"/>
      <c r="I1605" s="26"/>
      <c r="O1605" s="26"/>
    </row>
    <row r="1606">
      <c r="B1606" s="26"/>
      <c r="C1606" s="26"/>
      <c r="E1606" s="26"/>
      <c r="I1606" s="26"/>
      <c r="O1606" s="26"/>
    </row>
    <row r="1607">
      <c r="B1607" s="26"/>
      <c r="C1607" s="26"/>
      <c r="E1607" s="26"/>
      <c r="I1607" s="26"/>
      <c r="O1607" s="26"/>
    </row>
    <row r="1608">
      <c r="B1608" s="26"/>
      <c r="C1608" s="26"/>
      <c r="E1608" s="26"/>
      <c r="I1608" s="26"/>
      <c r="O1608" s="26"/>
    </row>
    <row r="1609">
      <c r="B1609" s="26"/>
      <c r="C1609" s="26"/>
      <c r="E1609" s="26"/>
      <c r="I1609" s="26"/>
      <c r="O1609" s="26"/>
    </row>
    <row r="1610">
      <c r="B1610" s="26"/>
      <c r="C1610" s="26"/>
      <c r="E1610" s="26"/>
      <c r="I1610" s="26"/>
      <c r="O1610" s="26"/>
    </row>
    <row r="1611">
      <c r="B1611" s="26"/>
      <c r="C1611" s="26"/>
      <c r="E1611" s="26"/>
      <c r="I1611" s="26"/>
      <c r="O1611" s="26"/>
    </row>
    <row r="1612">
      <c r="B1612" s="26"/>
      <c r="C1612" s="26"/>
      <c r="E1612" s="26"/>
      <c r="I1612" s="26"/>
      <c r="O1612" s="26"/>
    </row>
    <row r="1613">
      <c r="B1613" s="26"/>
      <c r="C1613" s="26"/>
      <c r="E1613" s="26"/>
      <c r="I1613" s="26"/>
      <c r="O1613" s="26"/>
    </row>
    <row r="1614">
      <c r="B1614" s="26"/>
      <c r="C1614" s="26"/>
      <c r="E1614" s="26"/>
      <c r="I1614" s="26"/>
      <c r="O1614" s="26"/>
    </row>
    <row r="1615">
      <c r="B1615" s="26"/>
      <c r="C1615" s="26"/>
      <c r="E1615" s="26"/>
      <c r="I1615" s="26"/>
      <c r="O1615" s="26"/>
    </row>
    <row r="1616">
      <c r="B1616" s="26"/>
      <c r="C1616" s="26"/>
      <c r="E1616" s="26"/>
      <c r="I1616" s="26"/>
      <c r="O1616" s="26"/>
    </row>
    <row r="1617">
      <c r="B1617" s="26"/>
      <c r="C1617" s="26"/>
      <c r="E1617" s="26"/>
      <c r="I1617" s="26"/>
      <c r="O1617" s="26"/>
    </row>
    <row r="1618">
      <c r="B1618" s="26"/>
      <c r="C1618" s="26"/>
      <c r="E1618" s="26"/>
      <c r="I1618" s="26"/>
      <c r="O1618" s="26"/>
    </row>
    <row r="1619">
      <c r="B1619" s="26"/>
      <c r="C1619" s="26"/>
      <c r="E1619" s="26"/>
      <c r="I1619" s="26"/>
      <c r="O1619" s="26"/>
    </row>
    <row r="1620">
      <c r="B1620" s="26"/>
      <c r="C1620" s="26"/>
      <c r="E1620" s="26"/>
      <c r="I1620" s="26"/>
      <c r="O1620" s="26"/>
    </row>
    <row r="1621">
      <c r="B1621" s="26"/>
      <c r="C1621" s="26"/>
      <c r="E1621" s="26"/>
      <c r="I1621" s="26"/>
      <c r="O1621" s="26"/>
    </row>
    <row r="1622">
      <c r="B1622" s="26"/>
      <c r="C1622" s="26"/>
      <c r="E1622" s="26"/>
      <c r="I1622" s="26"/>
      <c r="O1622" s="26"/>
    </row>
    <row r="1623">
      <c r="B1623" s="26"/>
      <c r="C1623" s="26"/>
      <c r="E1623" s="26"/>
      <c r="I1623" s="26"/>
      <c r="O1623" s="26"/>
    </row>
    <row r="1624">
      <c r="B1624" s="26"/>
      <c r="C1624" s="26"/>
      <c r="E1624" s="26"/>
      <c r="I1624" s="26"/>
      <c r="O1624" s="26"/>
    </row>
    <row r="1625">
      <c r="B1625" s="26"/>
      <c r="C1625" s="26"/>
      <c r="E1625" s="26"/>
      <c r="I1625" s="26"/>
      <c r="O1625" s="26"/>
    </row>
    <row r="1626">
      <c r="B1626" s="26"/>
      <c r="C1626" s="26"/>
      <c r="E1626" s="26"/>
      <c r="I1626" s="26"/>
      <c r="O1626" s="26"/>
    </row>
    <row r="1627">
      <c r="B1627" s="26"/>
      <c r="C1627" s="26"/>
      <c r="E1627" s="26"/>
      <c r="I1627" s="26"/>
      <c r="O1627" s="26"/>
    </row>
    <row r="1628">
      <c r="B1628" s="26"/>
      <c r="C1628" s="26"/>
      <c r="E1628" s="26"/>
      <c r="I1628" s="26"/>
      <c r="O1628" s="26"/>
    </row>
    <row r="1629">
      <c r="B1629" s="26"/>
      <c r="C1629" s="26"/>
      <c r="E1629" s="26"/>
      <c r="I1629" s="26"/>
      <c r="O1629" s="26"/>
    </row>
    <row r="1630">
      <c r="B1630" s="26"/>
      <c r="C1630" s="26"/>
      <c r="E1630" s="26"/>
      <c r="I1630" s="26"/>
      <c r="O1630" s="26"/>
    </row>
    <row r="1631">
      <c r="B1631" s="26"/>
      <c r="C1631" s="26"/>
      <c r="E1631" s="26"/>
      <c r="I1631" s="26"/>
      <c r="O1631" s="26"/>
    </row>
    <row r="1632">
      <c r="B1632" s="26"/>
      <c r="C1632" s="26"/>
      <c r="E1632" s="26"/>
      <c r="I1632" s="26"/>
      <c r="O1632" s="26"/>
    </row>
    <row r="1633">
      <c r="B1633" s="26"/>
      <c r="C1633" s="26"/>
      <c r="E1633" s="26"/>
      <c r="I1633" s="26"/>
      <c r="O1633" s="26"/>
    </row>
    <row r="1634">
      <c r="B1634" s="26"/>
      <c r="C1634" s="26"/>
      <c r="E1634" s="26"/>
      <c r="I1634" s="26"/>
      <c r="O1634" s="26"/>
    </row>
    <row r="1635">
      <c r="B1635" s="26"/>
      <c r="C1635" s="26"/>
      <c r="E1635" s="26"/>
      <c r="I1635" s="26"/>
      <c r="O1635" s="26"/>
    </row>
    <row r="1636">
      <c r="B1636" s="26"/>
      <c r="C1636" s="26"/>
      <c r="E1636" s="26"/>
      <c r="I1636" s="26"/>
      <c r="O1636" s="26"/>
    </row>
    <row r="1637">
      <c r="B1637" s="26"/>
      <c r="C1637" s="26"/>
      <c r="E1637" s="26"/>
      <c r="I1637" s="26"/>
      <c r="O1637" s="26"/>
    </row>
    <row r="1638">
      <c r="B1638" s="26"/>
      <c r="C1638" s="26"/>
      <c r="E1638" s="26"/>
      <c r="I1638" s="26"/>
      <c r="O1638" s="26"/>
    </row>
    <row r="1639">
      <c r="B1639" s="26"/>
      <c r="C1639" s="26"/>
      <c r="E1639" s="26"/>
      <c r="I1639" s="26"/>
      <c r="O1639" s="26"/>
    </row>
    <row r="1640">
      <c r="B1640" s="26"/>
      <c r="C1640" s="26"/>
      <c r="E1640" s="26"/>
      <c r="I1640" s="26"/>
      <c r="O1640" s="26"/>
    </row>
    <row r="1641">
      <c r="B1641" s="26"/>
      <c r="C1641" s="26"/>
      <c r="E1641" s="26"/>
      <c r="I1641" s="26"/>
      <c r="O1641" s="26"/>
    </row>
    <row r="1642">
      <c r="B1642" s="26"/>
      <c r="C1642" s="26"/>
      <c r="E1642" s="26"/>
      <c r="I1642" s="26"/>
      <c r="O1642" s="26"/>
    </row>
    <row r="1643">
      <c r="B1643" s="26"/>
      <c r="C1643" s="26"/>
      <c r="E1643" s="26"/>
      <c r="I1643" s="26"/>
      <c r="O1643" s="26"/>
    </row>
    <row r="1644">
      <c r="B1644" s="26"/>
      <c r="C1644" s="26"/>
      <c r="E1644" s="26"/>
      <c r="I1644" s="26"/>
      <c r="O1644" s="26"/>
    </row>
    <row r="1645">
      <c r="B1645" s="26"/>
      <c r="C1645" s="26"/>
      <c r="E1645" s="26"/>
      <c r="I1645" s="26"/>
      <c r="O1645" s="26"/>
    </row>
    <row r="1646">
      <c r="B1646" s="26"/>
      <c r="C1646" s="26"/>
      <c r="E1646" s="26"/>
      <c r="I1646" s="26"/>
      <c r="O1646" s="26"/>
    </row>
    <row r="1647">
      <c r="B1647" s="26"/>
      <c r="C1647" s="26"/>
      <c r="E1647" s="26"/>
      <c r="I1647" s="26"/>
      <c r="O1647" s="26"/>
    </row>
    <row r="1648">
      <c r="B1648" s="26"/>
      <c r="C1648" s="26"/>
      <c r="E1648" s="26"/>
      <c r="I1648" s="26"/>
      <c r="O1648" s="26"/>
    </row>
    <row r="1649">
      <c r="B1649" s="26"/>
      <c r="C1649" s="26"/>
      <c r="E1649" s="26"/>
      <c r="I1649" s="26"/>
      <c r="O1649" s="26"/>
    </row>
    <row r="1650">
      <c r="B1650" s="26"/>
      <c r="C1650" s="26"/>
      <c r="E1650" s="26"/>
      <c r="I1650" s="26"/>
      <c r="O1650" s="26"/>
    </row>
    <row r="1651">
      <c r="B1651" s="26"/>
      <c r="C1651" s="26"/>
      <c r="E1651" s="26"/>
      <c r="I1651" s="26"/>
      <c r="O1651" s="26"/>
    </row>
    <row r="1652">
      <c r="B1652" s="26"/>
      <c r="C1652" s="26"/>
      <c r="E1652" s="26"/>
      <c r="I1652" s="26"/>
      <c r="O1652" s="26"/>
    </row>
    <row r="1653">
      <c r="B1653" s="26"/>
      <c r="C1653" s="26"/>
      <c r="E1653" s="26"/>
      <c r="I1653" s="26"/>
      <c r="O1653" s="26"/>
    </row>
    <row r="1654">
      <c r="B1654" s="26"/>
      <c r="C1654" s="26"/>
      <c r="E1654" s="26"/>
      <c r="I1654" s="26"/>
      <c r="O1654" s="26"/>
    </row>
    <row r="1655">
      <c r="B1655" s="26"/>
      <c r="C1655" s="26"/>
      <c r="E1655" s="26"/>
      <c r="I1655" s="26"/>
      <c r="O1655" s="26"/>
    </row>
    <row r="1656">
      <c r="B1656" s="26"/>
      <c r="C1656" s="26"/>
      <c r="E1656" s="26"/>
      <c r="I1656" s="26"/>
      <c r="O1656" s="26"/>
    </row>
    <row r="1657">
      <c r="B1657" s="26"/>
      <c r="C1657" s="26"/>
      <c r="E1657" s="26"/>
      <c r="I1657" s="26"/>
      <c r="O1657" s="26"/>
    </row>
    <row r="1658">
      <c r="B1658" s="26"/>
      <c r="C1658" s="26"/>
      <c r="E1658" s="26"/>
      <c r="I1658" s="26"/>
      <c r="O1658" s="26"/>
    </row>
    <row r="1659">
      <c r="B1659" s="26"/>
      <c r="C1659" s="26"/>
      <c r="E1659" s="26"/>
      <c r="I1659" s="26"/>
      <c r="O1659" s="26"/>
    </row>
    <row r="1660">
      <c r="B1660" s="26"/>
      <c r="C1660" s="26"/>
      <c r="E1660" s="26"/>
      <c r="I1660" s="26"/>
      <c r="O1660" s="26"/>
    </row>
    <row r="1661">
      <c r="B1661" s="26"/>
      <c r="C1661" s="26"/>
      <c r="E1661" s="26"/>
      <c r="I1661" s="26"/>
      <c r="O1661" s="26"/>
    </row>
    <row r="1662">
      <c r="B1662" s="26"/>
      <c r="C1662" s="26"/>
      <c r="E1662" s="26"/>
      <c r="I1662" s="26"/>
      <c r="O1662" s="26"/>
    </row>
    <row r="1663">
      <c r="B1663" s="26"/>
      <c r="C1663" s="26"/>
      <c r="E1663" s="26"/>
      <c r="I1663" s="26"/>
      <c r="O1663" s="26"/>
    </row>
    <row r="1664">
      <c r="B1664" s="26"/>
      <c r="C1664" s="26"/>
      <c r="E1664" s="26"/>
      <c r="I1664" s="26"/>
      <c r="O1664" s="26"/>
    </row>
    <row r="1665">
      <c r="B1665" s="26"/>
      <c r="C1665" s="26"/>
      <c r="E1665" s="26"/>
      <c r="I1665" s="26"/>
      <c r="O1665" s="26"/>
    </row>
    <row r="1666">
      <c r="B1666" s="26"/>
      <c r="C1666" s="26"/>
      <c r="E1666" s="26"/>
      <c r="I1666" s="26"/>
      <c r="O1666" s="26"/>
    </row>
    <row r="1667">
      <c r="B1667" s="26"/>
      <c r="C1667" s="26"/>
      <c r="E1667" s="26"/>
      <c r="I1667" s="26"/>
      <c r="O1667" s="26"/>
    </row>
    <row r="1668">
      <c r="B1668" s="26"/>
      <c r="C1668" s="26"/>
      <c r="E1668" s="26"/>
      <c r="I1668" s="26"/>
      <c r="O1668" s="26"/>
    </row>
    <row r="1669">
      <c r="B1669" s="26"/>
      <c r="C1669" s="26"/>
      <c r="E1669" s="26"/>
      <c r="I1669" s="26"/>
      <c r="O1669" s="26"/>
    </row>
    <row r="1670">
      <c r="B1670" s="26"/>
      <c r="C1670" s="26"/>
      <c r="E1670" s="26"/>
      <c r="I1670" s="26"/>
      <c r="O1670" s="26"/>
    </row>
    <row r="1671">
      <c r="B1671" s="26"/>
      <c r="C1671" s="26"/>
      <c r="E1671" s="26"/>
      <c r="I1671" s="26"/>
      <c r="O1671" s="26"/>
    </row>
    <row r="1672">
      <c r="B1672" s="26"/>
      <c r="C1672" s="26"/>
      <c r="E1672" s="26"/>
      <c r="I1672" s="26"/>
      <c r="O1672" s="26"/>
    </row>
    <row r="1673">
      <c r="B1673" s="26"/>
      <c r="C1673" s="26"/>
      <c r="E1673" s="26"/>
      <c r="I1673" s="26"/>
      <c r="O1673" s="26"/>
    </row>
    <row r="1674">
      <c r="B1674" s="26"/>
      <c r="C1674" s="26"/>
      <c r="E1674" s="26"/>
      <c r="I1674" s="26"/>
      <c r="O1674" s="26"/>
    </row>
    <row r="1675">
      <c r="B1675" s="26"/>
      <c r="C1675" s="26"/>
      <c r="E1675" s="26"/>
      <c r="I1675" s="26"/>
      <c r="O1675" s="26"/>
    </row>
    <row r="1676">
      <c r="B1676" s="26"/>
      <c r="C1676" s="26"/>
      <c r="E1676" s="26"/>
      <c r="I1676" s="26"/>
      <c r="O1676" s="26"/>
    </row>
    <row r="1677">
      <c r="B1677" s="26"/>
      <c r="C1677" s="26"/>
      <c r="E1677" s="26"/>
      <c r="I1677" s="26"/>
      <c r="O1677" s="26"/>
    </row>
    <row r="1678">
      <c r="B1678" s="26"/>
      <c r="C1678" s="26"/>
      <c r="E1678" s="26"/>
      <c r="I1678" s="26"/>
      <c r="O1678" s="26"/>
    </row>
    <row r="1679">
      <c r="B1679" s="26"/>
      <c r="C1679" s="26"/>
      <c r="E1679" s="26"/>
      <c r="I1679" s="26"/>
      <c r="O1679" s="26"/>
    </row>
    <row r="1680">
      <c r="B1680" s="26"/>
      <c r="C1680" s="26"/>
      <c r="E1680" s="26"/>
      <c r="I1680" s="26"/>
      <c r="O1680" s="26"/>
    </row>
    <row r="1681">
      <c r="B1681" s="26"/>
      <c r="C1681" s="26"/>
      <c r="E1681" s="26"/>
      <c r="I1681" s="26"/>
      <c r="O1681" s="26"/>
    </row>
    <row r="1682">
      <c r="B1682" s="26"/>
      <c r="C1682" s="26"/>
      <c r="E1682" s="26"/>
      <c r="I1682" s="26"/>
      <c r="O1682" s="26"/>
    </row>
    <row r="1683">
      <c r="B1683" s="26"/>
      <c r="C1683" s="26"/>
      <c r="E1683" s="26"/>
      <c r="I1683" s="26"/>
      <c r="O1683" s="26"/>
    </row>
    <row r="1684">
      <c r="B1684" s="26"/>
      <c r="C1684" s="26"/>
      <c r="E1684" s="26"/>
      <c r="I1684" s="26"/>
      <c r="O1684" s="26"/>
    </row>
    <row r="1685">
      <c r="B1685" s="26"/>
      <c r="C1685" s="26"/>
      <c r="E1685" s="26"/>
      <c r="I1685" s="26"/>
      <c r="O1685" s="26"/>
    </row>
    <row r="1686">
      <c r="B1686" s="26"/>
      <c r="C1686" s="26"/>
      <c r="E1686" s="26"/>
      <c r="I1686" s="26"/>
      <c r="O1686" s="26"/>
    </row>
    <row r="1687">
      <c r="B1687" s="26"/>
      <c r="C1687" s="26"/>
      <c r="E1687" s="26"/>
      <c r="I1687" s="26"/>
      <c r="O1687" s="26"/>
    </row>
    <row r="1688">
      <c r="B1688" s="26"/>
      <c r="C1688" s="26"/>
      <c r="E1688" s="26"/>
      <c r="I1688" s="26"/>
      <c r="O1688" s="26"/>
    </row>
    <row r="1689">
      <c r="B1689" s="26"/>
      <c r="C1689" s="26"/>
      <c r="E1689" s="26"/>
      <c r="I1689" s="26"/>
      <c r="O1689" s="26"/>
    </row>
    <row r="1690">
      <c r="B1690" s="26"/>
      <c r="C1690" s="26"/>
      <c r="E1690" s="26"/>
      <c r="I1690" s="26"/>
      <c r="O1690" s="26"/>
    </row>
    <row r="1691">
      <c r="B1691" s="26"/>
      <c r="C1691" s="26"/>
      <c r="E1691" s="26"/>
      <c r="I1691" s="26"/>
      <c r="O1691" s="26"/>
    </row>
    <row r="1692">
      <c r="B1692" s="26"/>
      <c r="C1692" s="26"/>
      <c r="E1692" s="26"/>
      <c r="I1692" s="26"/>
      <c r="O1692" s="26"/>
    </row>
    <row r="1693">
      <c r="B1693" s="26"/>
      <c r="C1693" s="26"/>
      <c r="E1693" s="26"/>
      <c r="I1693" s="26"/>
      <c r="O1693" s="26"/>
    </row>
    <row r="1694">
      <c r="B1694" s="26"/>
      <c r="C1694" s="26"/>
      <c r="E1694" s="26"/>
      <c r="I1694" s="26"/>
      <c r="O1694" s="26"/>
    </row>
    <row r="1695">
      <c r="B1695" s="26"/>
      <c r="C1695" s="26"/>
      <c r="E1695" s="26"/>
      <c r="I1695" s="26"/>
      <c r="O1695" s="26"/>
    </row>
    <row r="1696">
      <c r="B1696" s="26"/>
      <c r="C1696" s="26"/>
      <c r="E1696" s="26"/>
      <c r="I1696" s="26"/>
      <c r="O1696" s="26"/>
    </row>
    <row r="1697">
      <c r="B1697" s="26"/>
      <c r="C1697" s="26"/>
      <c r="E1697" s="26"/>
      <c r="I1697" s="26"/>
      <c r="O1697" s="26"/>
    </row>
    <row r="1698">
      <c r="B1698" s="26"/>
      <c r="C1698" s="26"/>
      <c r="E1698" s="26"/>
      <c r="I1698" s="26"/>
      <c r="O1698" s="26"/>
    </row>
    <row r="1699">
      <c r="B1699" s="26"/>
      <c r="C1699" s="26"/>
      <c r="E1699" s="26"/>
      <c r="I1699" s="26"/>
      <c r="O1699" s="26"/>
    </row>
    <row r="1700">
      <c r="B1700" s="26"/>
      <c r="C1700" s="26"/>
      <c r="E1700" s="26"/>
      <c r="I1700" s="26"/>
      <c r="O1700" s="26"/>
    </row>
    <row r="1701">
      <c r="B1701" s="26"/>
      <c r="C1701" s="26"/>
      <c r="E1701" s="26"/>
      <c r="I1701" s="26"/>
      <c r="O1701" s="26"/>
    </row>
    <row r="1702">
      <c r="B1702" s="26"/>
      <c r="C1702" s="26"/>
      <c r="E1702" s="26"/>
      <c r="I1702" s="26"/>
      <c r="O1702" s="26"/>
    </row>
    <row r="1703">
      <c r="B1703" s="26"/>
      <c r="C1703" s="26"/>
      <c r="E1703" s="26"/>
      <c r="I1703" s="26"/>
      <c r="O1703" s="26"/>
    </row>
    <row r="1704">
      <c r="B1704" s="26"/>
      <c r="C1704" s="26"/>
      <c r="E1704" s="26"/>
      <c r="I1704" s="26"/>
      <c r="O1704" s="26"/>
    </row>
    <row r="1705">
      <c r="B1705" s="26"/>
      <c r="C1705" s="26"/>
      <c r="E1705" s="26"/>
      <c r="I1705" s="26"/>
      <c r="O1705" s="26"/>
    </row>
    <row r="1706">
      <c r="B1706" s="26"/>
      <c r="C1706" s="26"/>
      <c r="E1706" s="26"/>
      <c r="I1706" s="26"/>
      <c r="O1706" s="26"/>
    </row>
    <row r="1707">
      <c r="B1707" s="26"/>
      <c r="C1707" s="26"/>
      <c r="E1707" s="26"/>
      <c r="I1707" s="26"/>
      <c r="O1707" s="26"/>
    </row>
    <row r="1708">
      <c r="B1708" s="26"/>
      <c r="C1708" s="26"/>
      <c r="E1708" s="26"/>
      <c r="I1708" s="26"/>
      <c r="O1708" s="26"/>
    </row>
    <row r="1709">
      <c r="B1709" s="26"/>
      <c r="C1709" s="26"/>
      <c r="E1709" s="26"/>
      <c r="I1709" s="26"/>
      <c r="O1709" s="26"/>
    </row>
    <row r="1710">
      <c r="B1710" s="26"/>
      <c r="C1710" s="26"/>
      <c r="E1710" s="26"/>
      <c r="I1710" s="26"/>
      <c r="O1710" s="26"/>
    </row>
    <row r="1711">
      <c r="B1711" s="26"/>
      <c r="C1711" s="26"/>
      <c r="E1711" s="26"/>
      <c r="I1711" s="26"/>
      <c r="O1711" s="26"/>
    </row>
    <row r="1712">
      <c r="B1712" s="26"/>
      <c r="C1712" s="26"/>
      <c r="E1712" s="26"/>
      <c r="I1712" s="26"/>
      <c r="O1712" s="26"/>
    </row>
    <row r="1713">
      <c r="B1713" s="26"/>
      <c r="C1713" s="26"/>
      <c r="E1713" s="26"/>
      <c r="I1713" s="26"/>
      <c r="O1713" s="26"/>
    </row>
    <row r="1714">
      <c r="B1714" s="26"/>
      <c r="C1714" s="26"/>
      <c r="E1714" s="26"/>
      <c r="I1714" s="26"/>
      <c r="O1714" s="26"/>
    </row>
    <row r="1715">
      <c r="B1715" s="26"/>
      <c r="C1715" s="26"/>
      <c r="E1715" s="26"/>
      <c r="I1715" s="26"/>
      <c r="O1715" s="26"/>
    </row>
    <row r="1716">
      <c r="B1716" s="26"/>
      <c r="C1716" s="26"/>
      <c r="E1716" s="26"/>
      <c r="I1716" s="26"/>
      <c r="O1716" s="26"/>
    </row>
    <row r="1717">
      <c r="B1717" s="26"/>
      <c r="C1717" s="26"/>
      <c r="E1717" s="26"/>
      <c r="I1717" s="26"/>
      <c r="O1717" s="26"/>
    </row>
    <row r="1718">
      <c r="B1718" s="26"/>
      <c r="C1718" s="26"/>
      <c r="E1718" s="26"/>
      <c r="I1718" s="26"/>
      <c r="O1718" s="26"/>
    </row>
    <row r="1719">
      <c r="B1719" s="26"/>
      <c r="C1719" s="26"/>
      <c r="E1719" s="26"/>
      <c r="I1719" s="26"/>
      <c r="O1719" s="26"/>
    </row>
    <row r="1720">
      <c r="B1720" s="26"/>
      <c r="C1720" s="26"/>
      <c r="E1720" s="26"/>
      <c r="I1720" s="26"/>
      <c r="O1720" s="26"/>
    </row>
    <row r="1721">
      <c r="B1721" s="26"/>
      <c r="C1721" s="26"/>
      <c r="E1721" s="26"/>
      <c r="I1721" s="26"/>
      <c r="O1721" s="26"/>
    </row>
    <row r="1722">
      <c r="B1722" s="26"/>
      <c r="C1722" s="26"/>
      <c r="E1722" s="26"/>
      <c r="I1722" s="26"/>
      <c r="O1722" s="26"/>
    </row>
    <row r="1723">
      <c r="B1723" s="26"/>
      <c r="C1723" s="26"/>
      <c r="E1723" s="26"/>
      <c r="I1723" s="26"/>
      <c r="O1723" s="26"/>
    </row>
    <row r="1724">
      <c r="B1724" s="26"/>
      <c r="C1724" s="26"/>
      <c r="E1724" s="26"/>
      <c r="I1724" s="26"/>
      <c r="O1724" s="26"/>
    </row>
    <row r="1725">
      <c r="B1725" s="26"/>
      <c r="C1725" s="26"/>
      <c r="E1725" s="26"/>
      <c r="I1725" s="26"/>
      <c r="O1725" s="26"/>
    </row>
    <row r="1726">
      <c r="B1726" s="26"/>
      <c r="C1726" s="26"/>
      <c r="E1726" s="26"/>
      <c r="I1726" s="26"/>
      <c r="O1726" s="26"/>
    </row>
    <row r="1727">
      <c r="B1727" s="26"/>
      <c r="C1727" s="26"/>
      <c r="E1727" s="26"/>
      <c r="I1727" s="26"/>
      <c r="O1727" s="26"/>
    </row>
    <row r="1728">
      <c r="B1728" s="26"/>
      <c r="C1728" s="26"/>
      <c r="E1728" s="26"/>
      <c r="I1728" s="26"/>
      <c r="O1728" s="26"/>
    </row>
    <row r="1729">
      <c r="B1729" s="26"/>
      <c r="C1729" s="26"/>
      <c r="E1729" s="26"/>
      <c r="I1729" s="26"/>
      <c r="O1729" s="26"/>
    </row>
    <row r="1730">
      <c r="B1730" s="26"/>
      <c r="C1730" s="26"/>
      <c r="E1730" s="26"/>
      <c r="I1730" s="26"/>
      <c r="O1730" s="26"/>
    </row>
    <row r="1731">
      <c r="B1731" s="26"/>
      <c r="C1731" s="26"/>
      <c r="E1731" s="26"/>
      <c r="I1731" s="26"/>
      <c r="O1731" s="26"/>
    </row>
    <row r="1732">
      <c r="B1732" s="26"/>
      <c r="C1732" s="26"/>
      <c r="E1732" s="26"/>
      <c r="I1732" s="26"/>
      <c r="O1732" s="26"/>
    </row>
    <row r="1733">
      <c r="B1733" s="26"/>
      <c r="C1733" s="26"/>
      <c r="E1733" s="26"/>
      <c r="I1733" s="26"/>
      <c r="O1733" s="26"/>
    </row>
    <row r="1734">
      <c r="B1734" s="26"/>
      <c r="C1734" s="26"/>
      <c r="E1734" s="26"/>
      <c r="I1734" s="26"/>
      <c r="O1734" s="26"/>
    </row>
    <row r="1735">
      <c r="B1735" s="26"/>
      <c r="C1735" s="26"/>
      <c r="E1735" s="26"/>
      <c r="I1735" s="26"/>
      <c r="O1735" s="26"/>
    </row>
    <row r="1736">
      <c r="B1736" s="26"/>
      <c r="C1736" s="26"/>
      <c r="E1736" s="26"/>
      <c r="I1736" s="26"/>
      <c r="O1736" s="26"/>
    </row>
    <row r="1737">
      <c r="B1737" s="26"/>
      <c r="C1737" s="26"/>
      <c r="E1737" s="26"/>
      <c r="I1737" s="26"/>
      <c r="O1737" s="26"/>
    </row>
    <row r="1738">
      <c r="B1738" s="26"/>
      <c r="C1738" s="26"/>
      <c r="E1738" s="26"/>
      <c r="I1738" s="26"/>
      <c r="O1738" s="26"/>
    </row>
    <row r="1739">
      <c r="B1739" s="26"/>
      <c r="C1739" s="26"/>
      <c r="E1739" s="26"/>
      <c r="I1739" s="26"/>
      <c r="O1739" s="26"/>
    </row>
    <row r="1740">
      <c r="B1740" s="26"/>
      <c r="C1740" s="26"/>
      <c r="E1740" s="26"/>
      <c r="I1740" s="26"/>
      <c r="O1740" s="26"/>
    </row>
    <row r="1741">
      <c r="B1741" s="26"/>
      <c r="C1741" s="26"/>
      <c r="E1741" s="26"/>
      <c r="I1741" s="26"/>
      <c r="O1741" s="26"/>
    </row>
    <row r="1742">
      <c r="B1742" s="26"/>
      <c r="C1742" s="26"/>
      <c r="E1742" s="26"/>
      <c r="I1742" s="26"/>
      <c r="O1742" s="26"/>
    </row>
    <row r="1743">
      <c r="B1743" s="26"/>
      <c r="C1743" s="26"/>
      <c r="E1743" s="26"/>
      <c r="I1743" s="26"/>
      <c r="O1743" s="26"/>
    </row>
    <row r="1744">
      <c r="B1744" s="26"/>
      <c r="C1744" s="26"/>
      <c r="E1744" s="26"/>
      <c r="I1744" s="26"/>
      <c r="O1744" s="26"/>
    </row>
    <row r="1745">
      <c r="B1745" s="26"/>
      <c r="C1745" s="26"/>
      <c r="E1745" s="26"/>
      <c r="I1745" s="26"/>
      <c r="O1745" s="26"/>
    </row>
    <row r="1746">
      <c r="B1746" s="26"/>
      <c r="C1746" s="26"/>
      <c r="E1746" s="26"/>
      <c r="I1746" s="26"/>
      <c r="O1746" s="26"/>
    </row>
    <row r="1747">
      <c r="B1747" s="26"/>
      <c r="C1747" s="26"/>
      <c r="E1747" s="26"/>
      <c r="I1747" s="26"/>
      <c r="O1747" s="26"/>
    </row>
    <row r="1748">
      <c r="B1748" s="26"/>
      <c r="C1748" s="26"/>
      <c r="E1748" s="26"/>
      <c r="I1748" s="26"/>
      <c r="O1748" s="26"/>
    </row>
    <row r="1749">
      <c r="B1749" s="26"/>
      <c r="C1749" s="26"/>
      <c r="E1749" s="26"/>
      <c r="I1749" s="26"/>
      <c r="O1749" s="26"/>
    </row>
    <row r="1750">
      <c r="B1750" s="26"/>
      <c r="C1750" s="26"/>
      <c r="E1750" s="26"/>
      <c r="I1750" s="26"/>
      <c r="O1750" s="26"/>
    </row>
    <row r="1751">
      <c r="B1751" s="26"/>
      <c r="C1751" s="26"/>
      <c r="E1751" s="26"/>
      <c r="I1751" s="26"/>
      <c r="O1751" s="26"/>
    </row>
    <row r="1752">
      <c r="B1752" s="26"/>
      <c r="C1752" s="26"/>
      <c r="E1752" s="26"/>
      <c r="I1752" s="26"/>
      <c r="O1752" s="26"/>
    </row>
    <row r="1753">
      <c r="B1753" s="26"/>
      <c r="C1753" s="26"/>
      <c r="E1753" s="26"/>
      <c r="I1753" s="26"/>
      <c r="O1753" s="26"/>
    </row>
    <row r="1754">
      <c r="B1754" s="26"/>
      <c r="C1754" s="26"/>
      <c r="E1754" s="26"/>
      <c r="I1754" s="26"/>
      <c r="O1754" s="26"/>
    </row>
    <row r="1755">
      <c r="B1755" s="26"/>
      <c r="C1755" s="26"/>
      <c r="E1755" s="26"/>
      <c r="I1755" s="26"/>
      <c r="O1755" s="26"/>
    </row>
    <row r="1756">
      <c r="B1756" s="26"/>
      <c r="C1756" s="26"/>
      <c r="E1756" s="26"/>
      <c r="I1756" s="26"/>
      <c r="O1756" s="26"/>
    </row>
    <row r="1757">
      <c r="B1757" s="26"/>
      <c r="C1757" s="26"/>
      <c r="E1757" s="26"/>
      <c r="I1757" s="26"/>
      <c r="O1757" s="26"/>
    </row>
    <row r="1758">
      <c r="B1758" s="26"/>
      <c r="C1758" s="26"/>
      <c r="E1758" s="26"/>
      <c r="I1758" s="26"/>
      <c r="O1758" s="26"/>
    </row>
    <row r="1759">
      <c r="B1759" s="26"/>
      <c r="C1759" s="26"/>
      <c r="E1759" s="26"/>
      <c r="I1759" s="26"/>
      <c r="O1759" s="26"/>
    </row>
    <row r="1760">
      <c r="B1760" s="26"/>
      <c r="C1760" s="26"/>
      <c r="E1760" s="26"/>
      <c r="I1760" s="26"/>
      <c r="O1760" s="26"/>
    </row>
    <row r="1761">
      <c r="B1761" s="26"/>
      <c r="C1761" s="26"/>
      <c r="E1761" s="26"/>
      <c r="I1761" s="26"/>
      <c r="O1761" s="26"/>
    </row>
    <row r="1762">
      <c r="B1762" s="26"/>
      <c r="C1762" s="26"/>
      <c r="E1762" s="26"/>
      <c r="I1762" s="26"/>
      <c r="O1762" s="26"/>
    </row>
    <row r="1763">
      <c r="B1763" s="26"/>
      <c r="C1763" s="26"/>
      <c r="E1763" s="26"/>
      <c r="I1763" s="26"/>
      <c r="O1763" s="26"/>
    </row>
    <row r="1764">
      <c r="B1764" s="26"/>
      <c r="C1764" s="26"/>
      <c r="E1764" s="26"/>
      <c r="I1764" s="26"/>
      <c r="O1764" s="26"/>
    </row>
    <row r="1765">
      <c r="B1765" s="26"/>
      <c r="C1765" s="26"/>
      <c r="E1765" s="26"/>
      <c r="I1765" s="26"/>
      <c r="O1765" s="26"/>
    </row>
    <row r="1766">
      <c r="B1766" s="26"/>
      <c r="C1766" s="26"/>
      <c r="E1766" s="26"/>
      <c r="I1766" s="26"/>
      <c r="O1766" s="26"/>
    </row>
    <row r="1767">
      <c r="B1767" s="26"/>
      <c r="C1767" s="26"/>
      <c r="E1767" s="26"/>
      <c r="I1767" s="26"/>
      <c r="O1767" s="26"/>
    </row>
    <row r="1768">
      <c r="B1768" s="26"/>
      <c r="C1768" s="26"/>
      <c r="E1768" s="26"/>
      <c r="I1768" s="26"/>
      <c r="O1768" s="26"/>
    </row>
    <row r="1769">
      <c r="B1769" s="26"/>
      <c r="C1769" s="26"/>
      <c r="E1769" s="26"/>
      <c r="I1769" s="26"/>
      <c r="O1769" s="26"/>
    </row>
    <row r="1770">
      <c r="B1770" s="26"/>
      <c r="C1770" s="26"/>
      <c r="E1770" s="26"/>
      <c r="I1770" s="26"/>
      <c r="O1770" s="26"/>
    </row>
    <row r="1771">
      <c r="B1771" s="26"/>
      <c r="C1771" s="26"/>
      <c r="E1771" s="26"/>
      <c r="I1771" s="26"/>
      <c r="O1771" s="26"/>
    </row>
    <row r="1772">
      <c r="B1772" s="26"/>
      <c r="C1772" s="26"/>
      <c r="E1772" s="26"/>
      <c r="I1772" s="26"/>
      <c r="O1772" s="26"/>
    </row>
    <row r="1773">
      <c r="B1773" s="26"/>
      <c r="C1773" s="26"/>
      <c r="E1773" s="26"/>
      <c r="I1773" s="26"/>
      <c r="O1773" s="26"/>
    </row>
    <row r="1774">
      <c r="B1774" s="26"/>
      <c r="C1774" s="26"/>
      <c r="E1774" s="26"/>
      <c r="I1774" s="26"/>
      <c r="O1774" s="26"/>
    </row>
    <row r="1775">
      <c r="B1775" s="26"/>
      <c r="C1775" s="26"/>
      <c r="E1775" s="26"/>
      <c r="I1775" s="26"/>
      <c r="O1775" s="26"/>
    </row>
    <row r="1776">
      <c r="B1776" s="26"/>
      <c r="C1776" s="26"/>
      <c r="E1776" s="26"/>
      <c r="I1776" s="26"/>
      <c r="O1776" s="26"/>
    </row>
    <row r="1777">
      <c r="B1777" s="26"/>
      <c r="C1777" s="26"/>
      <c r="E1777" s="26"/>
      <c r="I1777" s="26"/>
      <c r="O1777" s="26"/>
    </row>
    <row r="1778">
      <c r="B1778" s="26"/>
      <c r="C1778" s="26"/>
      <c r="E1778" s="26"/>
      <c r="I1778" s="26"/>
      <c r="O1778" s="26"/>
    </row>
    <row r="1779">
      <c r="B1779" s="26"/>
      <c r="C1779" s="26"/>
      <c r="E1779" s="26"/>
      <c r="I1779" s="26"/>
      <c r="O1779" s="26"/>
    </row>
    <row r="1780">
      <c r="B1780" s="26"/>
      <c r="C1780" s="26"/>
      <c r="E1780" s="26"/>
      <c r="I1780" s="26"/>
      <c r="O1780" s="26"/>
    </row>
    <row r="1781">
      <c r="B1781" s="26"/>
      <c r="C1781" s="26"/>
      <c r="E1781" s="26"/>
      <c r="I1781" s="26"/>
      <c r="O1781" s="26"/>
    </row>
    <row r="1782">
      <c r="B1782" s="26"/>
      <c r="C1782" s="26"/>
      <c r="E1782" s="26"/>
      <c r="I1782" s="26"/>
      <c r="O1782" s="26"/>
    </row>
    <row r="1783">
      <c r="B1783" s="26"/>
      <c r="C1783" s="26"/>
      <c r="E1783" s="26"/>
      <c r="I1783" s="26"/>
      <c r="O1783" s="26"/>
    </row>
    <row r="1784">
      <c r="B1784" s="26"/>
      <c r="C1784" s="26"/>
      <c r="E1784" s="26"/>
      <c r="I1784" s="26"/>
      <c r="O1784" s="26"/>
    </row>
    <row r="1785">
      <c r="B1785" s="26"/>
      <c r="C1785" s="26"/>
      <c r="E1785" s="26"/>
      <c r="I1785" s="26"/>
      <c r="O1785" s="26"/>
    </row>
    <row r="1786">
      <c r="B1786" s="26"/>
      <c r="C1786" s="26"/>
      <c r="E1786" s="26"/>
      <c r="I1786" s="26"/>
      <c r="O1786" s="26"/>
    </row>
    <row r="1787">
      <c r="B1787" s="26"/>
      <c r="C1787" s="26"/>
      <c r="E1787" s="26"/>
      <c r="I1787" s="26"/>
      <c r="O1787" s="26"/>
    </row>
    <row r="1788">
      <c r="B1788" s="26"/>
      <c r="C1788" s="26"/>
      <c r="E1788" s="26"/>
      <c r="I1788" s="26"/>
      <c r="O1788" s="26"/>
    </row>
    <row r="1789">
      <c r="B1789" s="26"/>
      <c r="C1789" s="26"/>
      <c r="E1789" s="26"/>
      <c r="I1789" s="26"/>
      <c r="O1789" s="26"/>
    </row>
    <row r="1790">
      <c r="B1790" s="26"/>
      <c r="C1790" s="26"/>
      <c r="E1790" s="26"/>
      <c r="I1790" s="26"/>
      <c r="O1790" s="26"/>
    </row>
    <row r="1791">
      <c r="B1791" s="26"/>
      <c r="C1791" s="26"/>
      <c r="E1791" s="26"/>
      <c r="I1791" s="26"/>
      <c r="O1791" s="26"/>
    </row>
    <row r="1792">
      <c r="B1792" s="26"/>
      <c r="C1792" s="26"/>
      <c r="E1792" s="26"/>
      <c r="I1792" s="26"/>
      <c r="O1792" s="26"/>
    </row>
    <row r="1793">
      <c r="B1793" s="26"/>
      <c r="C1793" s="26"/>
      <c r="E1793" s="26"/>
      <c r="I1793" s="26"/>
      <c r="O1793" s="26"/>
    </row>
    <row r="1794">
      <c r="B1794" s="26"/>
      <c r="C1794" s="26"/>
      <c r="E1794" s="26"/>
      <c r="I1794" s="26"/>
      <c r="O1794" s="26"/>
    </row>
    <row r="1795">
      <c r="B1795" s="26"/>
      <c r="C1795" s="26"/>
      <c r="E1795" s="26"/>
      <c r="I1795" s="26"/>
      <c r="O1795" s="26"/>
    </row>
    <row r="1796">
      <c r="B1796" s="26"/>
      <c r="C1796" s="26"/>
      <c r="E1796" s="26"/>
      <c r="I1796" s="26"/>
      <c r="O1796" s="26"/>
    </row>
    <row r="1797">
      <c r="B1797" s="26"/>
      <c r="C1797" s="26"/>
      <c r="E1797" s="26"/>
      <c r="I1797" s="26"/>
      <c r="O1797" s="26"/>
    </row>
    <row r="1798">
      <c r="B1798" s="26"/>
      <c r="C1798" s="26"/>
      <c r="E1798" s="26"/>
      <c r="I1798" s="26"/>
      <c r="O1798" s="26"/>
    </row>
    <row r="1799">
      <c r="B1799" s="26"/>
      <c r="C1799" s="26"/>
      <c r="E1799" s="26"/>
      <c r="I1799" s="26"/>
      <c r="O1799" s="26"/>
    </row>
    <row r="1800">
      <c r="B1800" s="26"/>
      <c r="C1800" s="26"/>
      <c r="E1800" s="26"/>
      <c r="I1800" s="26"/>
      <c r="O1800" s="26"/>
    </row>
    <row r="1801">
      <c r="B1801" s="26"/>
      <c r="C1801" s="26"/>
      <c r="E1801" s="26"/>
      <c r="I1801" s="26"/>
      <c r="O1801" s="26"/>
    </row>
    <row r="1802">
      <c r="B1802" s="26"/>
      <c r="C1802" s="26"/>
      <c r="E1802" s="26"/>
      <c r="I1802" s="26"/>
      <c r="O1802" s="26"/>
    </row>
    <row r="1803">
      <c r="B1803" s="26"/>
      <c r="C1803" s="26"/>
      <c r="E1803" s="26"/>
      <c r="I1803" s="26"/>
      <c r="O1803" s="26"/>
    </row>
    <row r="1804">
      <c r="B1804" s="26"/>
      <c r="C1804" s="26"/>
      <c r="E1804" s="26"/>
      <c r="I1804" s="26"/>
      <c r="O1804" s="26"/>
    </row>
    <row r="1805">
      <c r="B1805" s="26"/>
      <c r="C1805" s="26"/>
      <c r="E1805" s="26"/>
      <c r="I1805" s="26"/>
      <c r="O1805" s="26"/>
    </row>
    <row r="1806">
      <c r="B1806" s="26"/>
      <c r="C1806" s="26"/>
      <c r="E1806" s="26"/>
      <c r="I1806" s="26"/>
      <c r="O1806" s="26"/>
    </row>
    <row r="1807">
      <c r="B1807" s="26"/>
      <c r="C1807" s="26"/>
      <c r="E1807" s="26"/>
      <c r="I1807" s="26"/>
      <c r="O1807" s="26"/>
    </row>
    <row r="1808">
      <c r="B1808" s="26"/>
      <c r="C1808" s="26"/>
      <c r="E1808" s="26"/>
      <c r="I1808" s="26"/>
      <c r="O1808" s="26"/>
    </row>
    <row r="1809">
      <c r="B1809" s="26"/>
      <c r="C1809" s="26"/>
      <c r="E1809" s="26"/>
      <c r="I1809" s="26"/>
      <c r="O1809" s="26"/>
    </row>
    <row r="1810">
      <c r="B1810" s="26"/>
      <c r="C1810" s="26"/>
      <c r="E1810" s="26"/>
      <c r="I1810" s="26"/>
      <c r="O1810" s="26"/>
    </row>
    <row r="1811">
      <c r="B1811" s="26"/>
      <c r="C1811" s="26"/>
      <c r="E1811" s="26"/>
      <c r="I1811" s="26"/>
      <c r="O1811" s="26"/>
    </row>
    <row r="1812">
      <c r="B1812" s="26"/>
      <c r="C1812" s="26"/>
      <c r="E1812" s="26"/>
      <c r="I1812" s="26"/>
      <c r="O1812" s="26"/>
    </row>
    <row r="1813">
      <c r="B1813" s="26"/>
      <c r="C1813" s="26"/>
      <c r="E1813" s="26"/>
      <c r="I1813" s="26"/>
      <c r="O1813" s="26"/>
    </row>
    <row r="1814">
      <c r="B1814" s="26"/>
      <c r="C1814" s="26"/>
      <c r="E1814" s="26"/>
      <c r="I1814" s="26"/>
      <c r="O1814" s="26"/>
    </row>
    <row r="1815">
      <c r="B1815" s="26"/>
      <c r="C1815" s="26"/>
      <c r="E1815" s="26"/>
      <c r="I1815" s="26"/>
      <c r="O1815" s="26"/>
    </row>
    <row r="1816">
      <c r="B1816" s="26"/>
      <c r="C1816" s="26"/>
      <c r="E1816" s="26"/>
      <c r="I1816" s="26"/>
      <c r="O1816" s="26"/>
    </row>
    <row r="1817">
      <c r="B1817" s="26"/>
      <c r="C1817" s="26"/>
      <c r="E1817" s="26"/>
      <c r="I1817" s="26"/>
      <c r="O1817" s="26"/>
    </row>
    <row r="1818">
      <c r="B1818" s="26"/>
      <c r="C1818" s="26"/>
      <c r="E1818" s="26"/>
      <c r="I1818" s="26"/>
      <c r="O1818" s="26"/>
    </row>
    <row r="1819">
      <c r="B1819" s="26"/>
      <c r="C1819" s="26"/>
      <c r="E1819" s="26"/>
      <c r="I1819" s="26"/>
      <c r="O1819" s="26"/>
    </row>
    <row r="1820">
      <c r="B1820" s="26"/>
      <c r="C1820" s="26"/>
      <c r="E1820" s="26"/>
      <c r="I1820" s="26"/>
      <c r="O1820" s="26"/>
    </row>
    <row r="1821">
      <c r="B1821" s="26"/>
      <c r="C1821" s="26"/>
      <c r="E1821" s="26"/>
      <c r="I1821" s="26"/>
      <c r="O1821" s="26"/>
    </row>
    <row r="1822">
      <c r="B1822" s="26"/>
      <c r="C1822" s="26"/>
      <c r="E1822" s="26"/>
      <c r="I1822" s="26"/>
      <c r="O1822" s="26"/>
    </row>
    <row r="1823">
      <c r="B1823" s="26"/>
      <c r="C1823" s="26"/>
      <c r="E1823" s="26"/>
      <c r="I1823" s="26"/>
      <c r="O1823" s="26"/>
    </row>
    <row r="1824">
      <c r="B1824" s="26"/>
      <c r="C1824" s="26"/>
      <c r="E1824" s="26"/>
      <c r="I1824" s="26"/>
      <c r="O1824" s="26"/>
    </row>
    <row r="1825">
      <c r="B1825" s="26"/>
      <c r="C1825" s="26"/>
      <c r="E1825" s="26"/>
      <c r="I1825" s="26"/>
      <c r="O1825" s="26"/>
    </row>
    <row r="1826">
      <c r="B1826" s="26"/>
      <c r="C1826" s="26"/>
      <c r="E1826" s="26"/>
      <c r="I1826" s="26"/>
      <c r="O1826" s="26"/>
    </row>
    <row r="1827">
      <c r="B1827" s="26"/>
      <c r="C1827" s="26"/>
      <c r="E1827" s="26"/>
      <c r="I1827" s="26"/>
      <c r="O1827" s="26"/>
    </row>
    <row r="1828">
      <c r="B1828" s="26"/>
      <c r="C1828" s="26"/>
      <c r="E1828" s="26"/>
      <c r="I1828" s="26"/>
      <c r="O1828" s="26"/>
    </row>
    <row r="1829">
      <c r="B1829" s="26"/>
      <c r="C1829" s="26"/>
      <c r="E1829" s="26"/>
      <c r="I1829" s="26"/>
      <c r="O1829" s="26"/>
    </row>
    <row r="1830">
      <c r="B1830" s="26"/>
      <c r="C1830" s="26"/>
      <c r="E1830" s="26"/>
      <c r="I1830" s="26"/>
      <c r="O1830" s="26"/>
    </row>
    <row r="1831">
      <c r="B1831" s="26"/>
      <c r="C1831" s="26"/>
      <c r="E1831" s="26"/>
      <c r="I1831" s="26"/>
      <c r="O1831" s="26"/>
    </row>
    <row r="1832">
      <c r="B1832" s="26"/>
      <c r="C1832" s="26"/>
      <c r="E1832" s="26"/>
      <c r="I1832" s="26"/>
      <c r="O1832" s="26"/>
    </row>
    <row r="1833">
      <c r="B1833" s="26"/>
      <c r="C1833" s="26"/>
      <c r="E1833" s="26"/>
      <c r="I1833" s="26"/>
      <c r="O1833" s="26"/>
    </row>
    <row r="1834">
      <c r="B1834" s="26"/>
      <c r="C1834" s="26"/>
      <c r="E1834" s="26"/>
      <c r="I1834" s="26"/>
      <c r="O1834" s="26"/>
    </row>
    <row r="1835">
      <c r="B1835" s="26"/>
      <c r="C1835" s="26"/>
      <c r="E1835" s="26"/>
      <c r="I1835" s="26"/>
      <c r="O1835" s="26"/>
    </row>
    <row r="1836">
      <c r="B1836" s="26"/>
      <c r="C1836" s="26"/>
      <c r="E1836" s="26"/>
      <c r="I1836" s="26"/>
      <c r="O1836" s="26"/>
    </row>
    <row r="1837">
      <c r="B1837" s="26"/>
      <c r="C1837" s="26"/>
      <c r="E1837" s="26"/>
      <c r="I1837" s="26"/>
      <c r="O1837" s="26"/>
    </row>
    <row r="1838">
      <c r="B1838" s="26"/>
      <c r="C1838" s="26"/>
      <c r="E1838" s="26"/>
      <c r="I1838" s="26"/>
      <c r="O1838" s="26"/>
    </row>
    <row r="1839">
      <c r="B1839" s="26"/>
      <c r="C1839" s="26"/>
      <c r="E1839" s="26"/>
      <c r="I1839" s="26"/>
      <c r="O1839" s="26"/>
    </row>
    <row r="1840">
      <c r="B1840" s="26"/>
      <c r="C1840" s="26"/>
      <c r="E1840" s="26"/>
      <c r="I1840" s="26"/>
      <c r="O1840" s="26"/>
    </row>
    <row r="1841">
      <c r="B1841" s="26"/>
      <c r="C1841" s="26"/>
      <c r="E1841" s="26"/>
      <c r="I1841" s="26"/>
      <c r="O1841" s="26"/>
    </row>
    <row r="1842">
      <c r="B1842" s="26"/>
      <c r="C1842" s="26"/>
      <c r="E1842" s="26"/>
      <c r="I1842" s="26"/>
      <c r="O1842" s="26"/>
    </row>
    <row r="1843">
      <c r="B1843" s="26"/>
      <c r="C1843" s="26"/>
      <c r="E1843" s="26"/>
      <c r="I1843" s="26"/>
      <c r="O1843" s="26"/>
    </row>
    <row r="1844">
      <c r="B1844" s="26"/>
      <c r="C1844" s="26"/>
      <c r="E1844" s="26"/>
      <c r="I1844" s="26"/>
      <c r="O1844" s="26"/>
    </row>
    <row r="1845">
      <c r="B1845" s="26"/>
      <c r="C1845" s="26"/>
      <c r="E1845" s="26"/>
      <c r="I1845" s="26"/>
      <c r="O1845" s="26"/>
    </row>
    <row r="1846">
      <c r="B1846" s="26"/>
      <c r="C1846" s="26"/>
      <c r="E1846" s="26"/>
      <c r="I1846" s="26"/>
      <c r="O1846" s="26"/>
    </row>
    <row r="1847">
      <c r="B1847" s="26"/>
      <c r="C1847" s="26"/>
      <c r="E1847" s="26"/>
      <c r="I1847" s="26"/>
      <c r="O1847" s="26"/>
    </row>
    <row r="1848">
      <c r="B1848" s="26"/>
      <c r="C1848" s="26"/>
      <c r="E1848" s="26"/>
      <c r="I1848" s="26"/>
      <c r="O1848" s="26"/>
    </row>
    <row r="1849">
      <c r="B1849" s="26"/>
      <c r="C1849" s="26"/>
      <c r="E1849" s="26"/>
      <c r="I1849" s="26"/>
      <c r="O1849" s="26"/>
    </row>
    <row r="1850">
      <c r="B1850" s="26"/>
      <c r="C1850" s="26"/>
      <c r="E1850" s="26"/>
      <c r="I1850" s="26"/>
      <c r="O1850" s="26"/>
    </row>
    <row r="1851">
      <c r="B1851" s="26"/>
      <c r="C1851" s="26"/>
      <c r="E1851" s="26"/>
      <c r="I1851" s="26"/>
      <c r="O1851" s="26"/>
    </row>
    <row r="1852">
      <c r="B1852" s="26"/>
      <c r="C1852" s="26"/>
      <c r="E1852" s="26"/>
      <c r="I1852" s="26"/>
      <c r="O1852" s="26"/>
    </row>
    <row r="1853">
      <c r="B1853" s="26"/>
      <c r="C1853" s="26"/>
      <c r="E1853" s="26"/>
      <c r="I1853" s="26"/>
      <c r="O1853" s="26"/>
    </row>
    <row r="1854">
      <c r="B1854" s="26"/>
      <c r="C1854" s="26"/>
      <c r="E1854" s="26"/>
      <c r="I1854" s="26"/>
      <c r="O1854" s="26"/>
    </row>
    <row r="1855">
      <c r="B1855" s="26"/>
      <c r="C1855" s="26"/>
      <c r="E1855" s="26"/>
      <c r="I1855" s="26"/>
      <c r="O1855" s="26"/>
    </row>
    <row r="1856">
      <c r="B1856" s="26"/>
      <c r="C1856" s="26"/>
      <c r="E1856" s="26"/>
      <c r="I1856" s="26"/>
      <c r="O1856" s="26"/>
    </row>
    <row r="1857">
      <c r="B1857" s="26"/>
      <c r="C1857" s="26"/>
      <c r="E1857" s="26"/>
      <c r="I1857" s="26"/>
      <c r="O1857" s="26"/>
    </row>
    <row r="1858">
      <c r="B1858" s="26"/>
      <c r="C1858" s="26"/>
      <c r="E1858" s="26"/>
      <c r="I1858" s="26"/>
      <c r="O1858" s="26"/>
    </row>
    <row r="1859">
      <c r="B1859" s="26"/>
      <c r="C1859" s="26"/>
      <c r="E1859" s="26"/>
      <c r="I1859" s="26"/>
      <c r="O1859" s="26"/>
    </row>
    <row r="1860">
      <c r="B1860" s="26"/>
      <c r="C1860" s="26"/>
      <c r="E1860" s="26"/>
      <c r="I1860" s="26"/>
      <c r="O1860" s="26"/>
    </row>
    <row r="1861">
      <c r="B1861" s="26"/>
      <c r="C1861" s="26"/>
      <c r="E1861" s="26"/>
      <c r="I1861" s="26"/>
      <c r="O1861" s="26"/>
    </row>
    <row r="1862">
      <c r="B1862" s="26"/>
      <c r="C1862" s="26"/>
      <c r="E1862" s="26"/>
      <c r="I1862" s="26"/>
      <c r="O1862" s="26"/>
    </row>
    <row r="1863">
      <c r="B1863" s="26"/>
      <c r="C1863" s="26"/>
      <c r="E1863" s="26"/>
      <c r="I1863" s="26"/>
      <c r="O1863" s="26"/>
    </row>
    <row r="1864">
      <c r="B1864" s="26"/>
      <c r="C1864" s="26"/>
      <c r="E1864" s="26"/>
      <c r="I1864" s="26"/>
      <c r="O1864" s="26"/>
    </row>
    <row r="1865">
      <c r="B1865" s="26"/>
      <c r="C1865" s="26"/>
      <c r="E1865" s="26"/>
      <c r="I1865" s="26"/>
      <c r="O1865" s="26"/>
    </row>
    <row r="1866">
      <c r="B1866" s="26"/>
      <c r="C1866" s="26"/>
      <c r="E1866" s="26"/>
      <c r="I1866" s="26"/>
      <c r="O1866" s="26"/>
    </row>
    <row r="1867">
      <c r="B1867" s="26"/>
      <c r="C1867" s="26"/>
      <c r="E1867" s="26"/>
      <c r="I1867" s="26"/>
      <c r="O1867" s="26"/>
    </row>
    <row r="1868">
      <c r="B1868" s="26"/>
      <c r="C1868" s="26"/>
      <c r="E1868" s="26"/>
      <c r="I1868" s="26"/>
      <c r="O1868" s="26"/>
    </row>
    <row r="1869">
      <c r="B1869" s="26"/>
      <c r="C1869" s="26"/>
      <c r="E1869" s="26"/>
      <c r="I1869" s="26"/>
      <c r="O1869" s="26"/>
    </row>
    <row r="1870">
      <c r="B1870" s="26"/>
      <c r="C1870" s="26"/>
      <c r="E1870" s="26"/>
      <c r="I1870" s="26"/>
      <c r="O1870" s="26"/>
    </row>
    <row r="1871">
      <c r="B1871" s="26"/>
      <c r="C1871" s="26"/>
      <c r="E1871" s="26"/>
      <c r="I1871" s="26"/>
      <c r="O1871" s="26"/>
    </row>
    <row r="1872">
      <c r="B1872" s="26"/>
      <c r="C1872" s="26"/>
      <c r="E1872" s="26"/>
      <c r="I1872" s="26"/>
      <c r="O1872" s="26"/>
    </row>
    <row r="1873">
      <c r="B1873" s="26"/>
      <c r="C1873" s="26"/>
      <c r="E1873" s="26"/>
      <c r="I1873" s="26"/>
      <c r="O1873" s="26"/>
    </row>
    <row r="1874">
      <c r="B1874" s="26"/>
      <c r="C1874" s="26"/>
      <c r="E1874" s="26"/>
      <c r="I1874" s="26"/>
      <c r="O1874" s="26"/>
    </row>
    <row r="1875">
      <c r="B1875" s="26"/>
      <c r="C1875" s="26"/>
      <c r="E1875" s="26"/>
      <c r="I1875" s="26"/>
      <c r="O1875" s="26"/>
    </row>
    <row r="1876">
      <c r="B1876" s="26"/>
      <c r="C1876" s="26"/>
      <c r="E1876" s="26"/>
      <c r="I1876" s="26"/>
      <c r="O1876" s="26"/>
    </row>
    <row r="1877">
      <c r="B1877" s="26"/>
      <c r="C1877" s="26"/>
      <c r="E1877" s="26"/>
      <c r="I1877" s="26"/>
      <c r="O1877" s="26"/>
    </row>
    <row r="1878">
      <c r="B1878" s="26"/>
      <c r="C1878" s="26"/>
      <c r="E1878" s="26"/>
      <c r="I1878" s="26"/>
      <c r="O1878" s="26"/>
    </row>
    <row r="1879">
      <c r="B1879" s="26"/>
      <c r="C1879" s="26"/>
      <c r="E1879" s="26"/>
      <c r="I1879" s="26"/>
      <c r="O1879" s="26"/>
    </row>
    <row r="1880">
      <c r="B1880" s="26"/>
      <c r="C1880" s="26"/>
      <c r="E1880" s="26"/>
      <c r="I1880" s="26"/>
      <c r="O1880" s="26"/>
    </row>
    <row r="1881">
      <c r="B1881" s="26"/>
      <c r="C1881" s="26"/>
      <c r="E1881" s="26"/>
      <c r="I1881" s="26"/>
      <c r="O1881" s="26"/>
    </row>
    <row r="1882">
      <c r="B1882" s="26"/>
      <c r="C1882" s="26"/>
      <c r="E1882" s="26"/>
      <c r="I1882" s="26"/>
      <c r="O1882" s="26"/>
    </row>
    <row r="1883">
      <c r="B1883" s="26"/>
      <c r="C1883" s="26"/>
      <c r="E1883" s="26"/>
      <c r="I1883" s="26"/>
      <c r="O1883" s="26"/>
    </row>
    <row r="1884">
      <c r="B1884" s="26"/>
      <c r="C1884" s="26"/>
      <c r="E1884" s="26"/>
      <c r="I1884" s="26"/>
      <c r="O1884" s="26"/>
    </row>
    <row r="1885">
      <c r="B1885" s="26"/>
      <c r="C1885" s="26"/>
      <c r="E1885" s="26"/>
      <c r="I1885" s="26"/>
      <c r="O1885" s="26"/>
    </row>
    <row r="1886">
      <c r="B1886" s="26"/>
      <c r="C1886" s="26"/>
      <c r="E1886" s="26"/>
      <c r="I1886" s="26"/>
      <c r="O1886" s="26"/>
    </row>
    <row r="1887">
      <c r="B1887" s="26"/>
      <c r="C1887" s="26"/>
      <c r="E1887" s="26"/>
      <c r="I1887" s="26"/>
      <c r="O1887" s="26"/>
    </row>
    <row r="1888">
      <c r="B1888" s="26"/>
      <c r="C1888" s="26"/>
      <c r="E1888" s="26"/>
      <c r="I1888" s="26"/>
      <c r="O1888" s="26"/>
    </row>
    <row r="1889">
      <c r="B1889" s="26"/>
      <c r="C1889" s="26"/>
      <c r="E1889" s="26"/>
      <c r="I1889" s="26"/>
      <c r="O1889" s="26"/>
    </row>
    <row r="1890">
      <c r="B1890" s="26"/>
      <c r="C1890" s="26"/>
      <c r="E1890" s="26"/>
      <c r="I1890" s="26"/>
      <c r="O1890" s="26"/>
    </row>
    <row r="1891">
      <c r="B1891" s="26"/>
      <c r="C1891" s="26"/>
      <c r="E1891" s="26"/>
      <c r="I1891" s="26"/>
      <c r="O1891" s="26"/>
    </row>
    <row r="1892">
      <c r="B1892" s="26"/>
      <c r="C1892" s="26"/>
      <c r="E1892" s="26"/>
      <c r="I1892" s="26"/>
      <c r="O1892" s="26"/>
    </row>
    <row r="1893">
      <c r="B1893" s="26"/>
      <c r="C1893" s="26"/>
      <c r="E1893" s="26"/>
      <c r="I1893" s="26"/>
      <c r="O1893" s="26"/>
    </row>
    <row r="1894">
      <c r="B1894" s="26"/>
      <c r="C1894" s="26"/>
      <c r="E1894" s="26"/>
      <c r="I1894" s="26"/>
      <c r="O1894" s="26"/>
    </row>
    <row r="1895">
      <c r="B1895" s="26"/>
      <c r="C1895" s="26"/>
      <c r="E1895" s="26"/>
      <c r="I1895" s="26"/>
      <c r="O1895" s="26"/>
    </row>
    <row r="1896">
      <c r="B1896" s="26"/>
      <c r="C1896" s="26"/>
      <c r="E1896" s="26"/>
      <c r="I1896" s="26"/>
      <c r="O1896" s="26"/>
    </row>
    <row r="1897">
      <c r="B1897" s="26"/>
      <c r="C1897" s="26"/>
      <c r="E1897" s="26"/>
      <c r="I1897" s="26"/>
      <c r="O1897" s="26"/>
    </row>
    <row r="1898">
      <c r="B1898" s="26"/>
      <c r="C1898" s="26"/>
      <c r="E1898" s="26"/>
      <c r="I1898" s="26"/>
      <c r="O1898" s="26"/>
    </row>
    <row r="1899">
      <c r="B1899" s="26"/>
      <c r="C1899" s="26"/>
      <c r="E1899" s="26"/>
      <c r="I1899" s="26"/>
      <c r="O1899" s="26"/>
    </row>
    <row r="1900">
      <c r="B1900" s="26"/>
      <c r="C1900" s="26"/>
      <c r="E1900" s="26"/>
      <c r="I1900" s="26"/>
      <c r="O1900" s="26"/>
    </row>
    <row r="1901">
      <c r="B1901" s="26"/>
      <c r="C1901" s="26"/>
      <c r="E1901" s="26"/>
      <c r="I1901" s="26"/>
      <c r="O1901" s="26"/>
    </row>
    <row r="1902">
      <c r="B1902" s="26"/>
      <c r="C1902" s="26"/>
      <c r="E1902" s="26"/>
      <c r="I1902" s="26"/>
      <c r="O1902" s="26"/>
    </row>
    <row r="1903">
      <c r="B1903" s="26"/>
      <c r="C1903" s="26"/>
      <c r="E1903" s="26"/>
      <c r="I1903" s="26"/>
      <c r="O1903" s="26"/>
    </row>
    <row r="1904">
      <c r="B1904" s="26"/>
      <c r="C1904" s="26"/>
      <c r="E1904" s="26"/>
      <c r="I1904" s="26"/>
      <c r="O1904" s="26"/>
    </row>
    <row r="1905">
      <c r="B1905" s="26"/>
      <c r="C1905" s="26"/>
      <c r="E1905" s="26"/>
      <c r="I1905" s="26"/>
      <c r="O1905" s="26"/>
    </row>
    <row r="1906">
      <c r="B1906" s="26"/>
      <c r="C1906" s="26"/>
      <c r="E1906" s="26"/>
      <c r="I1906" s="26"/>
      <c r="O1906" s="26"/>
    </row>
    <row r="1907">
      <c r="B1907" s="26"/>
      <c r="C1907" s="26"/>
      <c r="E1907" s="26"/>
      <c r="I1907" s="26"/>
      <c r="O1907" s="26"/>
    </row>
    <row r="1908">
      <c r="B1908" s="26"/>
      <c r="C1908" s="26"/>
      <c r="E1908" s="26"/>
      <c r="I1908" s="26"/>
      <c r="O1908" s="26"/>
    </row>
    <row r="1909">
      <c r="B1909" s="26"/>
      <c r="C1909" s="26"/>
      <c r="E1909" s="26"/>
      <c r="I1909" s="26"/>
      <c r="O1909" s="26"/>
    </row>
    <row r="1910">
      <c r="B1910" s="26"/>
      <c r="C1910" s="26"/>
      <c r="E1910" s="26"/>
      <c r="I1910" s="26"/>
      <c r="O1910" s="26"/>
    </row>
    <row r="1911">
      <c r="B1911" s="26"/>
      <c r="C1911" s="26"/>
      <c r="E1911" s="26"/>
      <c r="I1911" s="26"/>
      <c r="O1911" s="26"/>
    </row>
    <row r="1912">
      <c r="B1912" s="26"/>
      <c r="C1912" s="26"/>
      <c r="E1912" s="26"/>
      <c r="I1912" s="26"/>
      <c r="O1912" s="26"/>
    </row>
    <row r="1913">
      <c r="B1913" s="26"/>
      <c r="C1913" s="26"/>
      <c r="E1913" s="26"/>
      <c r="I1913" s="26"/>
      <c r="O1913" s="26"/>
    </row>
    <row r="1914">
      <c r="B1914" s="26"/>
      <c r="C1914" s="26"/>
      <c r="E1914" s="26"/>
      <c r="I1914" s="26"/>
      <c r="O1914" s="26"/>
    </row>
    <row r="1915">
      <c r="B1915" s="26"/>
      <c r="C1915" s="26"/>
      <c r="E1915" s="26"/>
      <c r="I1915" s="26"/>
      <c r="O1915" s="26"/>
    </row>
    <row r="1916">
      <c r="B1916" s="26"/>
      <c r="C1916" s="26"/>
      <c r="E1916" s="26"/>
      <c r="I1916" s="26"/>
      <c r="O1916" s="26"/>
    </row>
    <row r="1917">
      <c r="B1917" s="26"/>
      <c r="C1917" s="26"/>
      <c r="E1917" s="26"/>
      <c r="I1917" s="26"/>
      <c r="O1917" s="26"/>
    </row>
    <row r="1918">
      <c r="B1918" s="26"/>
      <c r="C1918" s="26"/>
      <c r="E1918" s="26"/>
      <c r="I1918" s="26"/>
      <c r="O1918" s="26"/>
    </row>
    <row r="1919">
      <c r="B1919" s="26"/>
      <c r="C1919" s="26"/>
      <c r="E1919" s="26"/>
      <c r="I1919" s="26"/>
      <c r="O1919" s="26"/>
    </row>
    <row r="1920">
      <c r="B1920" s="26"/>
      <c r="C1920" s="26"/>
      <c r="E1920" s="26"/>
      <c r="I1920" s="26"/>
      <c r="O1920" s="26"/>
    </row>
    <row r="1921">
      <c r="B1921" s="26"/>
      <c r="C1921" s="26"/>
      <c r="E1921" s="26"/>
      <c r="I1921" s="26"/>
      <c r="O1921" s="26"/>
    </row>
    <row r="1922">
      <c r="B1922" s="26"/>
      <c r="C1922" s="26"/>
      <c r="E1922" s="26"/>
      <c r="I1922" s="26"/>
      <c r="O1922" s="26"/>
    </row>
    <row r="1923">
      <c r="B1923" s="26"/>
      <c r="C1923" s="26"/>
      <c r="E1923" s="26"/>
      <c r="I1923" s="26"/>
      <c r="O1923" s="26"/>
    </row>
    <row r="1924">
      <c r="B1924" s="26"/>
      <c r="C1924" s="26"/>
      <c r="E1924" s="26"/>
      <c r="I1924" s="26"/>
      <c r="O1924" s="26"/>
    </row>
    <row r="1925">
      <c r="B1925" s="26"/>
      <c r="C1925" s="26"/>
      <c r="E1925" s="26"/>
      <c r="I1925" s="26"/>
      <c r="O1925" s="26"/>
    </row>
    <row r="1926">
      <c r="B1926" s="26"/>
      <c r="C1926" s="26"/>
      <c r="E1926" s="26"/>
      <c r="I1926" s="26"/>
      <c r="O1926" s="26"/>
    </row>
    <row r="1927">
      <c r="B1927" s="26"/>
      <c r="C1927" s="26"/>
      <c r="E1927" s="26"/>
      <c r="I1927" s="26"/>
      <c r="O1927" s="26"/>
    </row>
    <row r="1928">
      <c r="B1928" s="26"/>
      <c r="C1928" s="26"/>
      <c r="E1928" s="26"/>
      <c r="I1928" s="26"/>
      <c r="O1928" s="26"/>
    </row>
    <row r="1929">
      <c r="B1929" s="26"/>
      <c r="C1929" s="26"/>
      <c r="E1929" s="26"/>
      <c r="I1929" s="26"/>
      <c r="O1929" s="26"/>
    </row>
    <row r="1930">
      <c r="B1930" s="26"/>
      <c r="C1930" s="26"/>
      <c r="E1930" s="26"/>
      <c r="I1930" s="26"/>
      <c r="O1930" s="26"/>
    </row>
    <row r="1931">
      <c r="B1931" s="26"/>
      <c r="C1931" s="26"/>
      <c r="E1931" s="26"/>
      <c r="I1931" s="26"/>
      <c r="O1931" s="26"/>
    </row>
    <row r="1932">
      <c r="B1932" s="26"/>
      <c r="C1932" s="26"/>
      <c r="E1932" s="26"/>
      <c r="I1932" s="26"/>
      <c r="O1932" s="26"/>
    </row>
    <row r="1933">
      <c r="B1933" s="26"/>
      <c r="C1933" s="26"/>
      <c r="E1933" s="26"/>
      <c r="I1933" s="26"/>
      <c r="O1933" s="26"/>
    </row>
    <row r="1934">
      <c r="B1934" s="26"/>
      <c r="C1934" s="26"/>
      <c r="E1934" s="26"/>
      <c r="I1934" s="26"/>
      <c r="O1934" s="26"/>
    </row>
    <row r="1935">
      <c r="B1935" s="26"/>
      <c r="C1935" s="26"/>
      <c r="E1935" s="26"/>
      <c r="I1935" s="26"/>
      <c r="O1935" s="26"/>
    </row>
    <row r="1936">
      <c r="B1936" s="26"/>
      <c r="C1936" s="26"/>
      <c r="E1936" s="26"/>
      <c r="I1936" s="26"/>
      <c r="O1936" s="26"/>
    </row>
    <row r="1937">
      <c r="B1937" s="26"/>
      <c r="C1937" s="26"/>
      <c r="E1937" s="26"/>
      <c r="I1937" s="26"/>
      <c r="O1937" s="26"/>
    </row>
    <row r="1938">
      <c r="B1938" s="26"/>
      <c r="C1938" s="26"/>
      <c r="E1938" s="26"/>
      <c r="I1938" s="26"/>
      <c r="O1938" s="26"/>
    </row>
    <row r="1939">
      <c r="B1939" s="26"/>
      <c r="C1939" s="26"/>
      <c r="E1939" s="26"/>
      <c r="I1939" s="26"/>
      <c r="O1939" s="26"/>
    </row>
    <row r="1940">
      <c r="B1940" s="26"/>
      <c r="C1940" s="26"/>
      <c r="E1940" s="26"/>
      <c r="I1940" s="26"/>
      <c r="O1940" s="26"/>
    </row>
    <row r="1941">
      <c r="B1941" s="26"/>
      <c r="C1941" s="26"/>
      <c r="E1941" s="26"/>
      <c r="I1941" s="26"/>
      <c r="O1941" s="26"/>
    </row>
    <row r="1942">
      <c r="B1942" s="26"/>
      <c r="C1942" s="26"/>
      <c r="E1942" s="26"/>
      <c r="I1942" s="26"/>
      <c r="O1942" s="26"/>
    </row>
    <row r="1943">
      <c r="B1943" s="26"/>
      <c r="C1943" s="26"/>
      <c r="E1943" s="26"/>
      <c r="I1943" s="26"/>
      <c r="O1943" s="26"/>
    </row>
    <row r="1944">
      <c r="B1944" s="26"/>
      <c r="C1944" s="26"/>
      <c r="E1944" s="26"/>
      <c r="I1944" s="26"/>
      <c r="O1944" s="26"/>
    </row>
    <row r="1945">
      <c r="B1945" s="26"/>
      <c r="C1945" s="26"/>
      <c r="E1945" s="26"/>
      <c r="I1945" s="26"/>
      <c r="O1945" s="26"/>
    </row>
    <row r="1946">
      <c r="B1946" s="26"/>
      <c r="C1946" s="26"/>
      <c r="E1946" s="26"/>
      <c r="I1946" s="26"/>
      <c r="O1946" s="26"/>
    </row>
    <row r="1947">
      <c r="B1947" s="26"/>
      <c r="C1947" s="26"/>
      <c r="E1947" s="26"/>
      <c r="I1947" s="26"/>
      <c r="O1947" s="26"/>
    </row>
    <row r="1948">
      <c r="B1948" s="26"/>
      <c r="C1948" s="26"/>
      <c r="E1948" s="26"/>
      <c r="I1948" s="26"/>
      <c r="O1948" s="26"/>
    </row>
    <row r="1949">
      <c r="B1949" s="26"/>
      <c r="C1949" s="26"/>
      <c r="E1949" s="26"/>
      <c r="I1949" s="26"/>
      <c r="O1949" s="26"/>
    </row>
    <row r="1950">
      <c r="B1950" s="26"/>
      <c r="C1950" s="26"/>
      <c r="E1950" s="26"/>
      <c r="I1950" s="26"/>
      <c r="O1950" s="26"/>
    </row>
    <row r="1951">
      <c r="B1951" s="26"/>
      <c r="C1951" s="26"/>
      <c r="E1951" s="26"/>
      <c r="I1951" s="26"/>
      <c r="O1951" s="26"/>
    </row>
    <row r="1952">
      <c r="B1952" s="26"/>
      <c r="C1952" s="26"/>
      <c r="E1952" s="26"/>
      <c r="I1952" s="26"/>
      <c r="O1952" s="26"/>
    </row>
    <row r="1953">
      <c r="B1953" s="26"/>
      <c r="C1953" s="26"/>
      <c r="E1953" s="26"/>
      <c r="I1953" s="26"/>
      <c r="O1953" s="26"/>
    </row>
    <row r="1954">
      <c r="B1954" s="26"/>
      <c r="C1954" s="26"/>
      <c r="E1954" s="26"/>
      <c r="I1954" s="26"/>
      <c r="O1954" s="26"/>
    </row>
    <row r="1955">
      <c r="B1955" s="26"/>
      <c r="C1955" s="26"/>
      <c r="E1955" s="26"/>
      <c r="I1955" s="26"/>
      <c r="O1955" s="26"/>
    </row>
    <row r="1956">
      <c r="B1956" s="26"/>
      <c r="C1956" s="26"/>
      <c r="E1956" s="26"/>
      <c r="I1956" s="26"/>
      <c r="O1956" s="26"/>
    </row>
    <row r="1957">
      <c r="B1957" s="26"/>
      <c r="C1957" s="26"/>
      <c r="E1957" s="26"/>
      <c r="I1957" s="26"/>
      <c r="O1957" s="26"/>
    </row>
    <row r="1958">
      <c r="B1958" s="26"/>
      <c r="C1958" s="26"/>
      <c r="E1958" s="26"/>
      <c r="I1958" s="26"/>
      <c r="O1958" s="26"/>
    </row>
    <row r="1959">
      <c r="B1959" s="26"/>
      <c r="C1959" s="26"/>
      <c r="E1959" s="26"/>
      <c r="I1959" s="26"/>
      <c r="O1959" s="26"/>
    </row>
    <row r="1960">
      <c r="B1960" s="26"/>
      <c r="C1960" s="26"/>
      <c r="E1960" s="26"/>
      <c r="I1960" s="26"/>
      <c r="O1960" s="26"/>
    </row>
    <row r="1961">
      <c r="B1961" s="26"/>
      <c r="C1961" s="26"/>
      <c r="E1961" s="26"/>
      <c r="I1961" s="26"/>
      <c r="O1961" s="26"/>
    </row>
    <row r="1962">
      <c r="B1962" s="26"/>
      <c r="C1962" s="26"/>
      <c r="E1962" s="26"/>
      <c r="I1962" s="26"/>
      <c r="O1962" s="26"/>
    </row>
    <row r="1963">
      <c r="B1963" s="26"/>
      <c r="C1963" s="26"/>
      <c r="E1963" s="26"/>
      <c r="I1963" s="26"/>
      <c r="O1963" s="26"/>
    </row>
    <row r="1964">
      <c r="B1964" s="26"/>
      <c r="C1964" s="26"/>
      <c r="E1964" s="26"/>
      <c r="I1964" s="26"/>
      <c r="O1964" s="26"/>
    </row>
    <row r="1965">
      <c r="B1965" s="26"/>
      <c r="C1965" s="26"/>
      <c r="E1965" s="26"/>
      <c r="I1965" s="26"/>
      <c r="O1965" s="26"/>
    </row>
    <row r="1966">
      <c r="B1966" s="26"/>
      <c r="C1966" s="26"/>
      <c r="E1966" s="26"/>
      <c r="I1966" s="26"/>
      <c r="O1966" s="26"/>
    </row>
    <row r="1967">
      <c r="B1967" s="26"/>
      <c r="C1967" s="26"/>
      <c r="E1967" s="26"/>
      <c r="I1967" s="26"/>
      <c r="O1967" s="26"/>
    </row>
    <row r="1968">
      <c r="B1968" s="26"/>
      <c r="C1968" s="26"/>
      <c r="E1968" s="26"/>
      <c r="I1968" s="26"/>
      <c r="O1968" s="26"/>
    </row>
    <row r="1969">
      <c r="B1969" s="26"/>
      <c r="C1969" s="26"/>
      <c r="E1969" s="26"/>
      <c r="I1969" s="26"/>
      <c r="O1969" s="26"/>
    </row>
    <row r="1970">
      <c r="B1970" s="26"/>
      <c r="C1970" s="26"/>
      <c r="E1970" s="26"/>
      <c r="I1970" s="26"/>
      <c r="O1970" s="26"/>
    </row>
    <row r="1971">
      <c r="B1971" s="26"/>
      <c r="C1971" s="26"/>
      <c r="E1971" s="26"/>
      <c r="I1971" s="26"/>
      <c r="O1971" s="26"/>
    </row>
    <row r="1972">
      <c r="B1972" s="26"/>
      <c r="C1972" s="26"/>
      <c r="E1972" s="26"/>
      <c r="I1972" s="26"/>
      <c r="O1972" s="26"/>
    </row>
    <row r="1973">
      <c r="B1973" s="26"/>
      <c r="C1973" s="26"/>
      <c r="E1973" s="26"/>
      <c r="I1973" s="26"/>
      <c r="O1973" s="26"/>
    </row>
    <row r="1974">
      <c r="B1974" s="26"/>
      <c r="C1974" s="26"/>
      <c r="E1974" s="26"/>
      <c r="I1974" s="26"/>
      <c r="O1974" s="26"/>
    </row>
    <row r="1975">
      <c r="B1975" s="26"/>
      <c r="C1975" s="26"/>
      <c r="E1975" s="26"/>
      <c r="I1975" s="26"/>
      <c r="O1975" s="26"/>
    </row>
    <row r="1976">
      <c r="B1976" s="26"/>
      <c r="C1976" s="26"/>
      <c r="E1976" s="26"/>
      <c r="I1976" s="26"/>
      <c r="O1976" s="26"/>
    </row>
    <row r="1977">
      <c r="B1977" s="26"/>
      <c r="C1977" s="26"/>
      <c r="E1977" s="26"/>
      <c r="I1977" s="26"/>
      <c r="O1977" s="26"/>
    </row>
    <row r="1978">
      <c r="B1978" s="26"/>
      <c r="C1978" s="26"/>
      <c r="E1978" s="26"/>
      <c r="I1978" s="26"/>
      <c r="O1978" s="26"/>
    </row>
    <row r="1979">
      <c r="B1979" s="26"/>
      <c r="C1979" s="26"/>
      <c r="E1979" s="26"/>
      <c r="I1979" s="26"/>
      <c r="O1979" s="26"/>
    </row>
    <row r="1980">
      <c r="B1980" s="26"/>
      <c r="C1980" s="26"/>
      <c r="E1980" s="26"/>
      <c r="I1980" s="26"/>
      <c r="O1980" s="26"/>
    </row>
    <row r="1981">
      <c r="B1981" s="26"/>
      <c r="C1981" s="26"/>
      <c r="E1981" s="26"/>
      <c r="I1981" s="26"/>
      <c r="O1981" s="26"/>
    </row>
    <row r="1982">
      <c r="B1982" s="26"/>
      <c r="C1982" s="26"/>
      <c r="E1982" s="26"/>
      <c r="I1982" s="26"/>
      <c r="O1982" s="26"/>
    </row>
    <row r="1983">
      <c r="B1983" s="26"/>
      <c r="C1983" s="26"/>
      <c r="E1983" s="26"/>
      <c r="I1983" s="26"/>
      <c r="O1983" s="26"/>
    </row>
    <row r="1984">
      <c r="B1984" s="26"/>
      <c r="C1984" s="26"/>
      <c r="E1984" s="26"/>
      <c r="I1984" s="26"/>
      <c r="O1984" s="26"/>
    </row>
    <row r="1985">
      <c r="B1985" s="26"/>
      <c r="C1985" s="26"/>
      <c r="E1985" s="26"/>
      <c r="I1985" s="26"/>
      <c r="O1985" s="26"/>
    </row>
    <row r="1986">
      <c r="B1986" s="26"/>
      <c r="C1986" s="26"/>
      <c r="E1986" s="26"/>
      <c r="I1986" s="26"/>
      <c r="O1986" s="26"/>
    </row>
    <row r="1987">
      <c r="B1987" s="26"/>
      <c r="C1987" s="26"/>
      <c r="E1987" s="26"/>
      <c r="I1987" s="26"/>
      <c r="O1987" s="26"/>
    </row>
    <row r="1988">
      <c r="B1988" s="26"/>
      <c r="C1988" s="26"/>
      <c r="E1988" s="26"/>
      <c r="I1988" s="26"/>
      <c r="O1988" s="26"/>
    </row>
    <row r="1989">
      <c r="B1989" s="26"/>
      <c r="C1989" s="26"/>
      <c r="E1989" s="26"/>
      <c r="I1989" s="26"/>
      <c r="O1989" s="26"/>
    </row>
    <row r="1990">
      <c r="B1990" s="26"/>
      <c r="C1990" s="26"/>
      <c r="E1990" s="26"/>
      <c r="I1990" s="26"/>
      <c r="O1990" s="26"/>
    </row>
    <row r="1991">
      <c r="B1991" s="26"/>
      <c r="C1991" s="26"/>
      <c r="E1991" s="26"/>
      <c r="I1991" s="26"/>
      <c r="O1991" s="26"/>
    </row>
    <row r="1992">
      <c r="B1992" s="26"/>
      <c r="C1992" s="26"/>
      <c r="E1992" s="26"/>
      <c r="I1992" s="26"/>
      <c r="O1992" s="26"/>
    </row>
    <row r="1993">
      <c r="B1993" s="26"/>
      <c r="C1993" s="26"/>
      <c r="E1993" s="26"/>
      <c r="I1993" s="26"/>
      <c r="O1993" s="26"/>
    </row>
    <row r="1994">
      <c r="B1994" s="26"/>
      <c r="C1994" s="26"/>
      <c r="E1994" s="26"/>
      <c r="I1994" s="26"/>
      <c r="O1994" s="26"/>
    </row>
    <row r="1995">
      <c r="B1995" s="26"/>
      <c r="C1995" s="26"/>
      <c r="E1995" s="26"/>
      <c r="I1995" s="26"/>
      <c r="O1995" s="26"/>
    </row>
    <row r="1996">
      <c r="B1996" s="26"/>
      <c r="C1996" s="26"/>
      <c r="E1996" s="26"/>
      <c r="I1996" s="26"/>
      <c r="O1996" s="26"/>
    </row>
    <row r="1997">
      <c r="B1997" s="26"/>
      <c r="C1997" s="26"/>
      <c r="E1997" s="26"/>
      <c r="I1997" s="26"/>
      <c r="O1997" s="26"/>
    </row>
    <row r="1998">
      <c r="B1998" s="26"/>
      <c r="C1998" s="26"/>
      <c r="E1998" s="26"/>
      <c r="I1998" s="26"/>
      <c r="O1998" s="26"/>
    </row>
    <row r="1999">
      <c r="B1999" s="26"/>
      <c r="C1999" s="26"/>
      <c r="E1999" s="26"/>
      <c r="I1999" s="26"/>
      <c r="O1999" s="26"/>
    </row>
    <row r="2000">
      <c r="B2000" s="26"/>
      <c r="C2000" s="26"/>
      <c r="E2000" s="26"/>
      <c r="I2000" s="26"/>
      <c r="O2000" s="26"/>
    </row>
  </sheetData>
  <conditionalFormatting sqref="T8:U47">
    <cfRule type="containsText" dxfId="0" priority="1" operator="containsText" text="Falta"/>
    <cfRule type="containsText" dxfId="1" priority="2" operator="containsText" text="Revisar"/>
    <cfRule type="containsText" dxfId="2" priority="3" operator="containsText" text="Duplicado"/>
    <cfRule type="containsText" dxfId="3" priority="4" operator="containsText" text="Vencida"/>
    <cfRule type="containsText" dxfId="4" priority="5" operator="containsText" text="No existe"/>
    <cfRule type="containsText" dxfId="5" priority="6" operator="containsText" text="Solape"/>
    <cfRule type="containsText" dxfId="6" priority="7" operator="containsText" text="Fuera"/>
    <cfRule type="containsText" dxfId="7" priority="8" operator="containsText" text="Aceptada"/>
  </conditionalFormatting>
  <conditionalFormatting sqref="Z8:Z47">
    <cfRule type="containsText" dxfId="8" priority="9" operator="containsText" text="Falta"/>
    <cfRule type="containsText" dxfId="9" priority="10" operator="containsText" text="Revisar"/>
    <cfRule type="containsText" dxfId="10" priority="11" operator="containsText" text="Duplicado"/>
    <cfRule type="containsText" dxfId="11" priority="12" operator="containsText" text="Vencida"/>
    <cfRule type="containsText" dxfId="12" priority="13" operator="containsText" text="No existe"/>
    <cfRule type="containsText" dxfId="13" priority="14" operator="containsText" text="Solape"/>
    <cfRule type="containsText" dxfId="14" priority="15" operator="containsText" text="Fuera"/>
    <cfRule type="containsText" dxfId="15" priority="16" operator="containsText" text="Aceptada"/>
  </conditionalFormatting>
  <dataValidations count="9">
    <dataValidation type="list" sqref="B8:B2000">
      <formula1>"Pablo,Amin,Ferran,Iker,Uri,David"</formula1>
    </dataValidation>
    <dataValidation type="list" sqref="C8:C2000">
      <formula1>"Por hacer,En curso,En revisión,Hecha,Bloqueada,Descartada"</formula1>
    </dataValidation>
    <dataValidation type="list" sqref="E8:E2000">
      <formula1>"P0,P1,P2"</formula1>
    </dataValidation>
    <dataValidation type="list" sqref="I8:I2000">
      <formula1>"Pablo,Amin,Ferran,Iker,Uri,David"</formula1>
    </dataValidation>
    <dataValidation type="list" sqref="O8:O2000">
      <formula1>"Pablo,Amin,Ferran,Iker,Uri,David"</formula1>
    </dataValidation>
    <dataValidation type="whole" operator="between" sqref="F8:G2000">
      <formula1>1</formula1>
      <formula2>52</formula2>
    </dataValidation>
    <dataValidation type="decimal" operator="between" sqref="H8:H2000">
      <formula1>0</formula1>
      <formula2>500</formula2>
    </dataValidation>
    <dataValidation type="decimal" operator="between" sqref="J8:J2000">
      <formula1>0</formula1>
      <formula2>1</formula2>
    </dataValidation>
    <dataValidation type="whole" operator="between" sqref="P8:P2000">
      <formula1>1</formula1>
      <formula2>2958465</formula2>
    </dataValidation>
  </dataValidations>
  <hyperlinks>
    <hyperlink ref="A4" location="'Inicio'!A1"/>
    <hyperlink ref="A5" location="'Tareas'!N8"/>
  </hyperlinks>
  <pageMargins left="0.7" right="0.7" top="0.75" bottom="0.75" header="0.3" footer="0.3"/>
  <tableParts count="1">
    <tablePart ns1:id="Rd7e3c9701ff94865"/>
  </tableParts>
</worksheet>
</file>

<file path=xl/worksheets/sheet3.xml><?xml version="1.0" encoding="utf-8"?>
<worksheet xmlns="http://schemas.openxmlformats.org/spreadsheetml/2006/main" xmlns:ns1="http://schemas.openxmlformats.org/officeDocument/2006/relationships">
  <sheetPr>
    <tabColor rgb="FF18344A"/>
  </sheetPr>
  <sheetViews>
    <sheetView showGridLines="0" workbookViewId="0">
      <pane xSplit="4" ySplit="7" topLeftCell="E8" activePane="bottomRight" state="frozen"/>
    </sheetView>
  </sheetViews>
  <sheetFormatPr defaultRowHeight="15"/>
  <cols>
    <col min="1" max="1" width="13" hidden="0" customWidth="1"/>
    <col min="2" max="2" width="9" hidden="0" customWidth="1"/>
    <col min="3" max="3" width="14" hidden="0" customWidth="1"/>
    <col min="4" max="4" width="14" hidden="0" customWidth="1"/>
    <col min="5" max="5" width="30" hidden="0" customWidth="1"/>
    <col min="6" max="6" width="76" hidden="0" customWidth="1"/>
    <col min="7" max="7" width="13" hidden="0" customWidth="1"/>
    <col min="8" max="8" width="22" hidden="0" customWidth="1"/>
    <col min="9" max="9" width="30" hidden="0" customWidth="1"/>
    <col min="10" max="10" width="15" hidden="0" customWidth="1"/>
    <col min="11" max="11" width="14" hidden="0" customWidth="1"/>
    <col min="12" max="12" width="14" hidden="0" customWidth="1"/>
    <col min="13" max="13" width="24" hidden="0" customWidth="1"/>
    <col min="14" max="14" width="10" hidden="0" customWidth="1"/>
    <col min="15" max="15" width="10" hidden="0" customWidth="1"/>
    <col min="16" max="16" width="10" hidden="0" customWidth="1"/>
    <col min="17" max="17" width="26" hidden="0" customWidth="1"/>
    <col min="18" max="18" width="45" hidden="0" customWidth="1"/>
    <col min="19" max="19" width="10" hidden="0" customWidth="1"/>
    <col min="20" max="20" width="16" hidden="0" customWidth="1"/>
  </cols>
  <sheetData>
    <row r="1" ht="22" customHeight="1">
      <c r="A1" s="3"/>
      <c r="B1" s="3"/>
      <c r="C1" s="3"/>
      <c r="D1" s="3"/>
      <c r="E1" s="3"/>
      <c r="F1" s="3"/>
      <c r="G1" s="3"/>
      <c r="H1" s="3"/>
      <c r="I1" s="3"/>
      <c r="J1" s="3"/>
      <c r="K1" s="3"/>
      <c r="L1" s="3"/>
      <c r="M1" s="3"/>
      <c r="N1" s="3"/>
      <c r="O1" s="3"/>
      <c r="P1" s="3"/>
      <c r="Q1" s="3"/>
      <c r="R1" s="3"/>
    </row>
    <row r="2" ht="22" customHeight="1">
      <c r="A2" s="5" t="str">
        <v>Qué debe cumplir el juego</v>
      </c>
      <c r="B2" s="3"/>
      <c r="C2" s="3"/>
      <c r="D2" s="3"/>
      <c r="E2" s="3"/>
      <c r="F2" s="3"/>
      <c r="G2" s="3"/>
      <c r="H2" s="3"/>
      <c r="I2" s="3"/>
      <c r="J2" s="3"/>
      <c r="K2" s="3"/>
      <c r="L2" s="3"/>
      <c r="M2" s="3"/>
      <c r="N2" s="3"/>
      <c r="O2" s="3"/>
      <c r="P2" s="3"/>
      <c r="Q2" s="3"/>
      <c r="R2" s="3"/>
    </row>
    <row r="3" ht="22" customHeight="1">
      <c r="A3" s="7" t="str">
        <v>Incluido = alcance acordado. Aceptado = entrega verificada. Los criterios siguen siendo propuestas.</v>
      </c>
      <c r="B3" s="3"/>
      <c r="C3" s="3"/>
      <c r="D3" s="3"/>
      <c r="E3" s="3"/>
      <c r="F3" s="3"/>
      <c r="G3" s="3"/>
      <c r="H3" s="3"/>
      <c r="I3" s="3"/>
      <c r="J3" s="3"/>
      <c r="K3" s="3"/>
      <c r="L3" s="3"/>
      <c r="M3" s="3"/>
      <c r="N3" s="3"/>
      <c r="O3" s="3"/>
      <c r="P3" s="3"/>
      <c r="Q3" s="3"/>
      <c r="R3" s="3"/>
    </row>
    <row r="4" ht="22" customHeight="1">
      <c r="A4" s="8" t="str">
        <v>← Inicio</v>
      </c>
      <c r="B4" s="3"/>
      <c r="C4" s="3"/>
      <c r="D4" s="3"/>
      <c r="E4" s="3"/>
      <c r="F4" s="3"/>
      <c r="G4" s="3"/>
      <c r="H4" s="3"/>
      <c r="I4" s="3"/>
      <c r="J4" s="3"/>
      <c r="K4" s="3"/>
      <c r="L4" s="3"/>
      <c r="M4" s="3"/>
      <c r="N4" s="3"/>
      <c r="O4" s="3"/>
      <c r="P4" s="3"/>
      <c r="Q4" s="3"/>
      <c r="R4" s="3"/>
    </row>
    <row r="5" ht="22" customHeight="1">
      <c r="A5" s="8" t="str">
        <v>Registrar aceptación →</v>
      </c>
      <c r="B5" s="3"/>
      <c r="C5" s="3"/>
      <c r="D5" s="3"/>
      <c r="E5" s="3"/>
      <c r="F5" s="3"/>
      <c r="G5" s="3"/>
      <c r="H5" s="3"/>
      <c r="I5" s="3"/>
      <c r="J5" s="3"/>
      <c r="K5" s="3"/>
      <c r="L5" s="3"/>
      <c r="M5" s="3"/>
      <c r="N5" s="3"/>
      <c r="O5" s="3"/>
      <c r="P5" s="3"/>
      <c r="Q5" s="3"/>
      <c r="R5" s="3"/>
    </row>
    <row r="6" ht="22" customHeight="1">
      <c r="A6" s="3"/>
      <c r="B6" s="3"/>
      <c r="C6" s="3"/>
      <c r="D6" s="3"/>
      <c r="E6" s="3"/>
      <c r="F6" s="3"/>
      <c r="G6" s="3"/>
      <c r="H6" s="3"/>
      <c r="I6" s="3"/>
      <c r="J6" s="3"/>
      <c r="K6" s="3"/>
      <c r="L6" s="3"/>
      <c r="M6" s="3"/>
      <c r="N6" s="3"/>
      <c r="O6" s="3"/>
      <c r="P6" s="3"/>
      <c r="Q6" s="3"/>
      <c r="R6" s="3"/>
    </row>
    <row r="7" ht="38" customHeight="1">
      <c r="A7" s="21" t="str">
        <v>ID</v>
      </c>
      <c r="B7" s="21" t="str">
        <v>Fase</v>
      </c>
      <c r="C7" s="21" t="str">
        <v>Alcance</v>
      </c>
      <c r="D7" s="21" t="str">
        <v>Responsable</v>
      </c>
      <c r="E7" s="21" t="str">
        <v>Requisito</v>
      </c>
      <c r="F7" s="21" t="str">
        <v>Criterio</v>
      </c>
      <c r="G7" s="21" t="str">
        <v>Tarea</v>
      </c>
      <c r="H7" s="21" t="str">
        <v>Tipo</v>
      </c>
      <c r="I7" s="21" t="str">
        <v>Origen</v>
      </c>
      <c r="J7" s="21" t="str">
        <v>Aceptacion</v>
      </c>
      <c r="K7" s="21" t="str">
        <v>Revisa</v>
      </c>
      <c r="L7" s="21" t="str">
        <v>Fecha</v>
      </c>
      <c r="M7" s="21" t="str">
        <v>Estado</v>
      </c>
      <c r="N7" s="21" t="str">
        <v>Pruebas</v>
      </c>
      <c r="O7" s="21" t="str">
        <v>Validas</v>
      </c>
      <c r="P7" s="21" t="str">
        <v>Fallidas</v>
      </c>
      <c r="Q7" s="21" t="str">
        <v>Control</v>
      </c>
      <c r="R7" s="21" t="str">
        <v>Notas</v>
      </c>
      <c r="S7" s="22" t="str">
        <v>Activa</v>
      </c>
      <c r="T7" s="22" t="str">
        <v>Revisar datos</v>
      </c>
    </row>
    <row r="8" ht="40" customHeight="1">
      <c r="A8" s="23" t="str">
        <v>RQ-001</v>
      </c>
      <c r="B8" s="25" t="str">
        <v>P0</v>
      </c>
      <c r="C8" s="25" t="str">
        <v>Incluido</v>
      </c>
      <c r="D8" s="25" t="str">
        <v>Amin</v>
      </c>
      <c r="E8" s="25" t="str">
        <v>Ciclo completo</v>
      </c>
      <c r="F8" s="25" t="str">
        <v>La partida debe incluir tres oleadas y un jefe final. Completar oleadas 1, 2 y 3 y jefe permite alcanzar Victoria.</v>
      </c>
      <c r="G8" s="25" t="str">
        <v>IMP-04</v>
      </c>
      <c r="H8" s="25" t="str">
        <v>Funcional</v>
      </c>
      <c r="I8" s="25" t="str">
        <v>Acta p.1</v>
      </c>
      <c r="J8" s="25" t="str">
        <v>Pendiente</v>
      </c>
      <c r="K8" s="25" t="str"/>
      <c r="L8" s="34"/>
      <c r="M8"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implementar</v>
      </c>
      <c r="N8" s="44" t="n">
        <f>IF(TblRequisitos[[#This Row],[ID]]="",0,COUNTIF(TblPruebas[Requisito],TblRequisitos[[#This Row],[ID]]))</f>
        <v>1</v>
      </c>
      <c r="O8" s="44" t="n">
        <f>IF(TblRequisitos[[#This Row],[ID]]="",0,COUNTIFS(TblPruebas[Requisito],TblRequisitos[[#This Row],[ID]],TblPruebas[Validez],"Valida"))</f>
        <v>0</v>
      </c>
      <c r="P8" s="44" t="n">
        <f>IF(TblRequisitos[[#This Row],[ID]]="",0,COUNTIFS(TblPruebas[Requisito],TblRequisitos[[#This Row],[ID]],TblPruebas[Resultado],"Fallida"))</f>
        <v>0</v>
      </c>
      <c r="Q8"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8" s="25" t="str"/>
      <c r="S8" s="50" t="n">
        <f>IF(TblRequisitos[[#This Row],[ID]]="",0,IF(OR(TblRequisitos[[#This Row],[Alcance]]="Descartado",AND(TblRequisitos[[#This Row],[Fase]]="P2",Inicio!$B$9=0)),0,1))</f>
        <v>1</v>
      </c>
      <c r="T8" s="50" t="n">
        <f>IF(TblRequisitos[[#This Row],[ID]]="",0,IF(TblRequisitos[[#This Row],[Control]]="OK",0,1))</f>
        <v>0</v>
      </c>
    </row>
    <row r="9" ht="68" customHeight="1">
      <c r="A9" s="13" t="str">
        <v>RQ-002</v>
      </c>
      <c r="B9" s="25" t="str">
        <v>P0</v>
      </c>
      <c r="C9" s="25" t="str">
        <v>Propuesto</v>
      </c>
      <c r="D9" s="25" t="str">
        <v>Uri</v>
      </c>
      <c r="E9" s="25" t="str">
        <v>Duración objetivo</v>
      </c>
      <c r="F9" s="25" t="str">
        <v>Medir la duración activa de una partida completa y calibrarla hacia 300–480 s. Tres personas completan dos partidas cada una. Registrar seis tiempos, muertes y medianas por persona. Si una mediana queda fuera de 300–480 s, registrar el ajuste o la desviación aceptada por el grupo. Las pausas se excluyen.</v>
      </c>
      <c r="G9" s="25" t="str">
        <v>QA-01</v>
      </c>
      <c r="H9" s="25" t="str">
        <v>Objetivo de balance</v>
      </c>
      <c r="I9" s="25" t="str">
        <v>Acta p.1; método propuesto</v>
      </c>
      <c r="J9" s="25" t="str">
        <v>Pendiente</v>
      </c>
      <c r="K9" s="25" t="str"/>
      <c r="L9" s="34"/>
      <c r="M9"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9" s="44" t="n">
        <f>IF(TblRequisitos[[#This Row],[ID]]="",0,COUNTIF(TblPruebas[Requisito],TblRequisitos[[#This Row],[ID]]))</f>
        <v>1</v>
      </c>
      <c r="O9" s="44" t="n">
        <f>IF(TblRequisitos[[#This Row],[ID]]="",0,COUNTIFS(TblPruebas[Requisito],TblRequisitos[[#This Row],[ID]],TblPruebas[Validez],"Valida"))</f>
        <v>0</v>
      </c>
      <c r="P9" s="44" t="n">
        <f>IF(TblRequisitos[[#This Row],[ID]]="",0,COUNTIFS(TblPruebas[Requisito],TblRequisitos[[#This Row],[ID]],TblPruebas[Resultado],"Fallida"))</f>
        <v>0</v>
      </c>
      <c r="Q9"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9" s="25" t="str"/>
      <c r="S9" s="50" t="n">
        <f>IF(TblRequisitos[[#This Row],[ID]]="",0,IF(OR(TblRequisitos[[#This Row],[Alcance]]="Descartado",AND(TblRequisitos[[#This Row],[Fase]]="P2",Inicio!$B$9=0)),0,1))</f>
        <v>1</v>
      </c>
      <c r="T9" s="50" t="n">
        <f>IF(TblRequisitos[[#This Row],[ID]]="",0,IF(TblRequisitos[[#This Row],[Control]]="OK",0,1))</f>
        <v>0</v>
      </c>
    </row>
    <row r="10" ht="68" customHeight="1">
      <c r="A10" s="23" t="str">
        <v>RQ-003</v>
      </c>
      <c r="B10" s="25" t="str">
        <v>P0</v>
      </c>
      <c r="C10" s="25" t="str">
        <v>Propuesto</v>
      </c>
      <c r="D10" s="25" t="str">
        <v>Amin</v>
      </c>
      <c r="E10" s="25" t="str">
        <v>Movimiento lateral</v>
      </c>
      <c r="F10" s="25" t="str">
        <v>La nave debe desplazarse en x a 6 unidades/s dentro de [-7,68;7,68]. Con configuración de referencia (velocidad 6 u/s y radio 0,32), 60 pasos desde x=0 desplazan el centro a x=6 ±0,01 u. Tras mantener la dirección 3 s más, no supera x=7,68. Repetir a la izquierda.</v>
      </c>
      <c r="G10" s="25" t="str">
        <v>IMP-01</v>
      </c>
      <c r="H10" s="25" t="str">
        <v>Funcional</v>
      </c>
      <c r="I10" s="25" t="str">
        <v>Propuesta de diseño</v>
      </c>
      <c r="J10" s="25" t="str">
        <v>Pendiente</v>
      </c>
      <c r="K10" s="25" t="str"/>
      <c r="L10" s="34"/>
      <c r="M10"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10" s="44" t="n">
        <f>IF(TblRequisitos[[#This Row],[ID]]="",0,COUNTIF(TblPruebas[Requisito],TblRequisitos[[#This Row],[ID]]))</f>
        <v>1</v>
      </c>
      <c r="O10" s="44" t="n">
        <f>IF(TblRequisitos[[#This Row],[ID]]="",0,COUNTIFS(TblPruebas[Requisito],TblRequisitos[[#This Row],[ID]],TblPruebas[Validez],"Valida"))</f>
        <v>0</v>
      </c>
      <c r="P10" s="44" t="n">
        <f>IF(TblRequisitos[[#This Row],[ID]]="",0,COUNTIFS(TblPruebas[Requisito],TblRequisitos[[#This Row],[ID]],TblPruebas[Resultado],"Fallida"))</f>
        <v>0</v>
      </c>
      <c r="Q10"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10" s="25" t="str">
        <v>Configuración de referencia: valores numéricos de diseño propuestos; cambiar solo con versión y prueba actualizadas.</v>
      </c>
      <c r="S10" s="50" t="n">
        <f>IF(TblRequisitos[[#This Row],[ID]]="",0,IF(OR(TblRequisitos[[#This Row],[Alcance]]="Descartado",AND(TblRequisitos[[#This Row],[Fase]]="P2",Inicio!$B$9=0)),0,1))</f>
        <v>1</v>
      </c>
      <c r="T10" s="50" t="n">
        <f>IF(TblRequisitos[[#This Row],[ID]]="",0,IF(TblRequisitos[[#This Row],[Control]]="OK",0,1))</f>
        <v>0</v>
      </c>
    </row>
    <row r="11" ht="54" customHeight="1">
      <c r="A11" s="13" t="str">
        <v>RQ-004</v>
      </c>
      <c r="B11" s="25" t="str">
        <v>P0</v>
      </c>
      <c r="C11" s="25" t="str">
        <v>Propuesto</v>
      </c>
      <c r="D11" s="25" t="str">
        <v>Amin</v>
      </c>
      <c r="E11" s="25" t="str">
        <v>Direcciones opuestas</v>
      </c>
      <c r="F11" s="25" t="str">
        <v>Pulsar izquierda y derecha a la vez debe dar velocidad lateral 0. Desplazamiento neto menor de 0,001 unidades.</v>
      </c>
      <c r="G11" s="25" t="str">
        <v>IMP-01</v>
      </c>
      <c r="H11" s="25" t="str">
        <v>Funcional</v>
      </c>
      <c r="I11" s="25" t="str">
        <v>Propuesta de diseño</v>
      </c>
      <c r="J11" s="25" t="str">
        <v>Pendiente</v>
      </c>
      <c r="K11" s="25" t="str"/>
      <c r="L11" s="34"/>
      <c r="M11"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11" s="44" t="n">
        <f>IF(TblRequisitos[[#This Row],[ID]]="",0,COUNTIF(TblPruebas[Requisito],TblRequisitos[[#This Row],[ID]]))</f>
        <v>1</v>
      </c>
      <c r="O11" s="44" t="n">
        <f>IF(TblRequisitos[[#This Row],[ID]]="",0,COUNTIFS(TblPruebas[Requisito],TblRequisitos[[#This Row],[ID]],TblPruebas[Validez],"Valida"))</f>
        <v>0</v>
      </c>
      <c r="P11" s="44" t="n">
        <f>IF(TblRequisitos[[#This Row],[ID]]="",0,COUNTIFS(TblPruebas[Requisito],TblRequisitos[[#This Row],[ID]],TblPruebas[Resultado],"Fallida"))</f>
        <v>0</v>
      </c>
      <c r="Q11"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11" s="25" t="str">
        <v>Configuración de referencia: valores numéricos de diseño propuestos; cambiar solo con versión y prueba actualizadas.</v>
      </c>
      <c r="S11" s="50" t="n">
        <f>IF(TblRequisitos[[#This Row],[ID]]="",0,IF(OR(TblRequisitos[[#This Row],[Alcance]]="Descartado",AND(TblRequisitos[[#This Row],[Fase]]="P2",Inicio!$B$9=0)),0,1))</f>
        <v>1</v>
      </c>
      <c r="T11" s="50" t="n">
        <f>IF(TblRequisitos[[#This Row],[ID]]="",0,IF(TblRequisitos[[#This Row],[Control]]="OK",0,1))</f>
        <v>0</v>
      </c>
    </row>
    <row r="12" ht="54" customHeight="1">
      <c r="A12" s="23" t="str">
        <v>RQ-005</v>
      </c>
      <c r="B12" s="25" t="str">
        <v>P0</v>
      </c>
      <c r="C12" s="25" t="str">
        <v>Propuesto</v>
      </c>
      <c r="D12" s="25" t="str">
        <v>Amin</v>
      </c>
      <c r="E12" s="25" t="str">
        <v>Cadencia de disparo</v>
      </c>
      <c r="F12" s="25" t="str">
        <v>Espacio debe emitir balas con intervalo mínimo de 0,22 s. Con paso 1/60 s, recarga reiniciada y sin límite activo: 9 emisiones en [0;2) s.</v>
      </c>
      <c r="G12" s="25" t="str">
        <v>IMP-01</v>
      </c>
      <c r="H12" s="25" t="str">
        <v>Funcional</v>
      </c>
      <c r="I12" s="25" t="str">
        <v>Propuesta de diseño</v>
      </c>
      <c r="J12" s="25" t="str">
        <v>Pendiente</v>
      </c>
      <c r="K12" s="25" t="str"/>
      <c r="L12" s="34"/>
      <c r="M12"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12" s="44" t="n">
        <f>IF(TblRequisitos[[#This Row],[ID]]="",0,COUNTIF(TblPruebas[Requisito],TblRequisitos[[#This Row],[ID]]))</f>
        <v>1</v>
      </c>
      <c r="O12" s="44" t="n">
        <f>IF(TblRequisitos[[#This Row],[ID]]="",0,COUNTIFS(TblPruebas[Requisito],TblRequisitos[[#This Row],[ID]],TblPruebas[Validez],"Valida"))</f>
        <v>0</v>
      </c>
      <c r="P12" s="44" t="n">
        <f>IF(TblRequisitos[[#This Row],[ID]]="",0,COUNTIFS(TblPruebas[Requisito],TblRequisitos[[#This Row],[ID]],TblPruebas[Resultado],"Fallida"))</f>
        <v>0</v>
      </c>
      <c r="Q12"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12" s="25" t="str">
        <v>Configuración de referencia: valores numéricos de diseño propuestos; cambiar solo con versión y prueba actualizadas.</v>
      </c>
      <c r="S12" s="50" t="n">
        <f>IF(TblRequisitos[[#This Row],[ID]]="",0,IF(OR(TblRequisitos[[#This Row],[Alcance]]="Descartado",AND(TblRequisitos[[#This Row],[Fase]]="P2",Inicio!$B$9=0)),0,1))</f>
        <v>1</v>
      </c>
      <c r="T12" s="50" t="n">
        <f>IF(TblRequisitos[[#This Row],[ID]]="",0,IF(TblRequisitos[[#This Row],[Control]]="OK",0,1))</f>
        <v>0</v>
      </c>
    </row>
    <row r="13" ht="54" customHeight="1">
      <c r="A13" s="13" t="str">
        <v>RQ-006</v>
      </c>
      <c r="B13" s="25" t="str">
        <v>P0</v>
      </c>
      <c r="C13" s="25" t="str">
        <v>Propuesto</v>
      </c>
      <c r="D13" s="25" t="str">
        <v>Amin</v>
      </c>
      <c r="E13" s="25" t="str">
        <v>Máximo de balas aliadas</v>
      </c>
      <c r="F13" s="25" t="str">
        <v>La nave simple debe mantener un máximo de cuatro proyectiles activos. El quinto intento no crea bala; al liberar un hueco se puede disparar.</v>
      </c>
      <c r="G13" s="25" t="str">
        <v>IMP-01</v>
      </c>
      <c r="H13" s="25" t="str">
        <v>Funcional</v>
      </c>
      <c r="I13" s="25" t="str">
        <v>Propuesta de diseño</v>
      </c>
      <c r="J13" s="25" t="str">
        <v>Pendiente</v>
      </c>
      <c r="K13" s="25" t="str"/>
      <c r="L13" s="34"/>
      <c r="M13"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13" s="44" t="n">
        <f>IF(TblRequisitos[[#This Row],[ID]]="",0,COUNTIF(TblPruebas[Requisito],TblRequisitos[[#This Row],[ID]]))</f>
        <v>1</v>
      </c>
      <c r="O13" s="44" t="n">
        <f>IF(TblRequisitos[[#This Row],[ID]]="",0,COUNTIFS(TblPruebas[Requisito],TblRequisitos[[#This Row],[ID]],TblPruebas[Validez],"Valida"))</f>
        <v>0</v>
      </c>
      <c r="P13" s="44" t="n">
        <f>IF(TblRequisitos[[#This Row],[ID]]="",0,COUNTIFS(TblPruebas[Requisito],TblRequisitos[[#This Row],[ID]],TblPruebas[Resultado],"Fallida"))</f>
        <v>0</v>
      </c>
      <c r="Q13"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13" s="25" t="str">
        <v>Configuración de referencia: valores numéricos de diseño propuestos; cambiar solo con versión y prueba actualizadas.</v>
      </c>
      <c r="S13" s="50" t="n">
        <f>IF(TblRequisitos[[#This Row],[ID]]="",0,IF(OR(TblRequisitos[[#This Row],[Alcance]]="Descartado",AND(TblRequisitos[[#This Row],[Fase]]="P2",Inicio!$B$9=0)),0,1))</f>
        <v>1</v>
      </c>
      <c r="T13" s="50" t="n">
        <f>IF(TblRequisitos[[#This Row],[ID]]="",0,IF(TblRequisitos[[#This Row],[Control]]="OK",0,1))</f>
        <v>0</v>
      </c>
    </row>
    <row r="14" ht="54" customHeight="1">
      <c r="A14" s="23" t="str">
        <v>RQ-007</v>
      </c>
      <c r="B14" s="25" t="str">
        <v>P0</v>
      </c>
      <c r="C14" s="25" t="str">
        <v>Propuesto</v>
      </c>
      <c r="D14" s="25" t="str">
        <v>Amin</v>
      </c>
      <c r="E14" s="25" t="str">
        <v>Velocidad de proyectil</v>
      </c>
      <c r="F14" s="25" t="str">
        <v>Una bala aliada debe moverse a 18 unidades/s en y positiva. Con h=1/60 s, sin obstáculos y desde y=0: tras 30 pasos su desplazamiento es 9 ±0,01 u; x y PlaneId se conservan.</v>
      </c>
      <c r="G14" s="25" t="str">
        <v>IMP-01</v>
      </c>
      <c r="H14" s="25" t="str">
        <v>Funcional</v>
      </c>
      <c r="I14" s="25" t="str">
        <v>Propuesta de diseño</v>
      </c>
      <c r="J14" s="25" t="str">
        <v>Pendiente</v>
      </c>
      <c r="K14" s="25" t="str"/>
      <c r="L14" s="34"/>
      <c r="M14"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14" s="44" t="n">
        <f>IF(TblRequisitos[[#This Row],[ID]]="",0,COUNTIF(TblPruebas[Requisito],TblRequisitos[[#This Row],[ID]]))</f>
        <v>1</v>
      </c>
      <c r="O14" s="44" t="n">
        <f>IF(TblRequisitos[[#This Row],[ID]]="",0,COUNTIFS(TblPruebas[Requisito],TblRequisitos[[#This Row],[ID]],TblPruebas[Validez],"Valida"))</f>
        <v>0</v>
      </c>
      <c r="P14" s="44" t="n">
        <f>IF(TblRequisitos[[#This Row],[ID]]="",0,COUNTIFS(TblPruebas[Requisito],TblRequisitos[[#This Row],[ID]],TblPruebas[Resultado],"Fallida"))</f>
        <v>0</v>
      </c>
      <c r="Q14"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14" s="25" t="str">
        <v>Configuración de referencia: valores numéricos de diseño propuestos; cambiar solo con versión y prueba actualizadas.</v>
      </c>
      <c r="S14" s="50" t="n">
        <f>IF(TblRequisitos[[#This Row],[ID]]="",0,IF(OR(TblRequisitos[[#This Row],[Alcance]]="Descartado",AND(TblRequisitos[[#This Row],[Fase]]="P2",Inicio!$B$9=0)),0,1))</f>
        <v>1</v>
      </c>
      <c r="T14" s="50" t="n">
        <f>IF(TblRequisitos[[#This Row],[ID]]="",0,IF(TblRequisitos[[#This Row],[Control]]="OK",0,1))</f>
        <v>0</v>
      </c>
    </row>
    <row r="15" ht="54" customHeight="1">
      <c r="A15" s="13" t="str">
        <v>RQ-008</v>
      </c>
      <c r="B15" s="25" t="str">
        <v>P0</v>
      </c>
      <c r="C15" s="25" t="str">
        <v>Propuesto</v>
      </c>
      <c r="D15" s="25" t="str">
        <v>Amin</v>
      </c>
      <c r="E15" s="25" t="str">
        <v>Entrada</v>
      </c>
      <c r="F15" s="25" t="str">
        <v>Cada enemigo debe seguir una ruta de entrada y alcanzar su slot. Al finalizar la ruta, el estado es Formación y la distancia al slot actual es ≤0,01 u. No hay dos enemigos vivos ocupando el mismo slot.</v>
      </c>
      <c r="G15" s="25" t="str">
        <v>IMP-03</v>
      </c>
      <c r="H15" s="25" t="str">
        <v>Funcional</v>
      </c>
      <c r="I15" s="25" t="str">
        <v>Acta p.1; detalle propuesto</v>
      </c>
      <c r="J15" s="25" t="str">
        <v>Pendiente</v>
      </c>
      <c r="K15" s="25" t="str"/>
      <c r="L15" s="34"/>
      <c r="M15"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15" s="44" t="n">
        <f>IF(TblRequisitos[[#This Row],[ID]]="",0,COUNTIF(TblPruebas[Requisito],TblRequisitos[[#This Row],[ID]]))</f>
        <v>1</v>
      </c>
      <c r="O15" s="44" t="n">
        <f>IF(TblRequisitos[[#This Row],[ID]]="",0,COUNTIFS(TblPruebas[Requisito],TblRequisitos[[#This Row],[ID]],TblPruebas[Validez],"Valida"))</f>
        <v>0</v>
      </c>
      <c r="P15" s="44" t="n">
        <f>IF(TblRequisitos[[#This Row],[ID]]="",0,COUNTIFS(TblPruebas[Requisito],TblRequisitos[[#This Row],[ID]],TblPruebas[Resultado],"Fallida"))</f>
        <v>0</v>
      </c>
      <c r="Q15"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15" s="25" t="str">
        <v>Configuración de referencia: valores numéricos de diseño propuestos; cambiar solo con versión y prueba actualizadas.</v>
      </c>
      <c r="S15" s="50" t="n">
        <f>IF(TblRequisitos[[#This Row],[ID]]="",0,IF(OR(TblRequisitos[[#This Row],[Alcance]]="Descartado",AND(TblRequisitos[[#This Row],[Fase]]="P2",Inicio!$B$9=0)),0,1))</f>
        <v>1</v>
      </c>
      <c r="T15" s="50" t="n">
        <f>IF(TblRequisitos[[#This Row],[ID]]="",0,IF(TblRequisitos[[#This Row],[Control]]="OK",0,1))</f>
        <v>0</v>
      </c>
    </row>
    <row r="16" ht="54" customHeight="1">
      <c r="A16" s="23" t="str">
        <v>RQ-009</v>
      </c>
      <c r="B16" s="25" t="str">
        <v>P0</v>
      </c>
      <c r="C16" s="25" t="str">
        <v>Propuesto</v>
      </c>
      <c r="D16" s="25" t="str">
        <v>Amin</v>
      </c>
      <c r="E16" s="25" t="str">
        <v>Formación</v>
      </c>
      <c r="F16" s="25" t="str">
        <v>Los enemigos deben conservar slots y oscilar sin invadir el campo del jugador. Hasta 30 slots quedan entre y=1 y y=6; x dentro del campo.</v>
      </c>
      <c r="G16" s="25" t="str">
        <v>IMP-03</v>
      </c>
      <c r="H16" s="25" t="str">
        <v>Funcional</v>
      </c>
      <c r="I16" s="25" t="str">
        <v>Propuesta de diseño</v>
      </c>
      <c r="J16" s="25" t="str">
        <v>Pendiente</v>
      </c>
      <c r="K16" s="25" t="str"/>
      <c r="L16" s="34"/>
      <c r="M16"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16" s="44" t="n">
        <f>IF(TblRequisitos[[#This Row],[ID]]="",0,COUNTIF(TblPruebas[Requisito],TblRequisitos[[#This Row],[ID]]))</f>
        <v>1</v>
      </c>
      <c r="O16" s="44" t="n">
        <f>IF(TblRequisitos[[#This Row],[ID]]="",0,COUNTIFS(TblPruebas[Requisito],TblRequisitos[[#This Row],[ID]],TblPruebas[Validez],"Valida"))</f>
        <v>0</v>
      </c>
      <c r="P16" s="44" t="n">
        <f>IF(TblRequisitos[[#This Row],[ID]]="",0,COUNTIFS(TblPruebas[Requisito],TblRequisitos[[#This Row],[ID]],TblPruebas[Resultado],"Fallida"))</f>
        <v>0</v>
      </c>
      <c r="Q16"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16" s="25" t="str">
        <v>Configuración de referencia: valores numéricos de diseño propuestos; cambiar solo con versión y prueba actualizadas.</v>
      </c>
      <c r="S16" s="50" t="n">
        <f>IF(TblRequisitos[[#This Row],[ID]]="",0,IF(OR(TblRequisitos[[#This Row],[Alcance]]="Descartado",AND(TblRequisitos[[#This Row],[Fase]]="P2",Inicio!$B$9=0)),0,1))</f>
        <v>1</v>
      </c>
      <c r="T16" s="50" t="n">
        <f>IF(TblRequisitos[[#This Row],[ID]]="",0,IF(TblRequisitos[[#This Row],[Control]]="OK",0,1))</f>
        <v>0</v>
      </c>
    </row>
    <row r="17" ht="54" customHeight="1">
      <c r="A17" s="13" t="str">
        <v>RQ-010</v>
      </c>
      <c r="B17" s="25" t="str">
        <v>P0</v>
      </c>
      <c r="C17" s="25" t="str">
        <v>Propuesto</v>
      </c>
      <c r="D17" s="25" t="str">
        <v>Amin</v>
      </c>
      <c r="E17" s="25" t="str">
        <v>Aviso de picado</v>
      </c>
      <c r="F17" s="25" t="str">
        <v>Un enemigo seleccionado debe avisar durante 0,65 s antes del picado. Sin bala ni Picado antes de 0,65 s activos. Con h=1/60 s, pasa a Picado entre 0,65 s y 0,65 s+h usando tolerancia numérica de 10⁻⁶ s.</v>
      </c>
      <c r="G17" s="25" t="str">
        <v>IMP-03</v>
      </c>
      <c r="H17" s="25" t="str">
        <v>Funcional</v>
      </c>
      <c r="I17" s="25" t="str">
        <v>Propuesta de diseño</v>
      </c>
      <c r="J17" s="25" t="str">
        <v>Pendiente</v>
      </c>
      <c r="K17" s="25" t="str"/>
      <c r="L17" s="34"/>
      <c r="M17"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17" s="44" t="n">
        <f>IF(TblRequisitos[[#This Row],[ID]]="",0,COUNTIF(TblPruebas[Requisito],TblRequisitos[[#This Row],[ID]]))</f>
        <v>1</v>
      </c>
      <c r="O17" s="44" t="n">
        <f>IF(TblRequisitos[[#This Row],[ID]]="",0,COUNTIFS(TblPruebas[Requisito],TblRequisitos[[#This Row],[ID]],TblPruebas[Validez],"Valida"))</f>
        <v>0</v>
      </c>
      <c r="P17" s="44" t="n">
        <f>IF(TblRequisitos[[#This Row],[ID]]="",0,COUNTIFS(TblPruebas[Requisito],TblRequisitos[[#This Row],[ID]],TblPruebas[Resultado],"Fallida"))</f>
        <v>0</v>
      </c>
      <c r="Q17"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17" s="25" t="str">
        <v>Configuración de referencia: valores numéricos de diseño propuestos; cambiar solo con versión y prueba actualizadas.</v>
      </c>
      <c r="S17" s="50" t="n">
        <f>IF(TblRequisitos[[#This Row],[ID]]="",0,IF(OR(TblRequisitos[[#This Row],[Alcance]]="Descartado",AND(TblRequisitos[[#This Row],[Fase]]="P2",Inicio!$B$9=0)),0,1))</f>
        <v>1</v>
      </c>
      <c r="T17" s="50" t="n">
        <f>IF(TblRequisitos[[#This Row],[ID]]="",0,IF(TblRequisitos[[#This Row],[Control]]="OK",0,1))</f>
        <v>0</v>
      </c>
    </row>
    <row r="18" ht="54" customHeight="1">
      <c r="A18" s="23" t="str">
        <v>RQ-011</v>
      </c>
      <c r="B18" s="25" t="str">
        <v>P0</v>
      </c>
      <c r="C18" s="25" t="str">
        <v>Propuesto</v>
      </c>
      <c r="D18" s="25" t="str">
        <v>Amin</v>
      </c>
      <c r="E18" s="25" t="str">
        <v>Objetivo de picado fijado</v>
      </c>
      <c r="F18" s="25" t="str">
        <v>El enemigo debe fijar targetX al terminar Aviso. Mover al jugador después no modifica los puntos de control ya fijados.</v>
      </c>
      <c r="G18" s="25" t="str">
        <v>IMP-03</v>
      </c>
      <c r="H18" s="25" t="str">
        <v>Funcional</v>
      </c>
      <c r="I18" s="25" t="str">
        <v>Propuesta de diseño</v>
      </c>
      <c r="J18" s="25" t="str">
        <v>Pendiente</v>
      </c>
      <c r="K18" s="25" t="str"/>
      <c r="L18" s="34"/>
      <c r="M18"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18" s="44" t="n">
        <f>IF(TblRequisitos[[#This Row],[ID]]="",0,COUNTIF(TblPruebas[Requisito],TblRequisitos[[#This Row],[ID]]))</f>
        <v>1</v>
      </c>
      <c r="O18" s="44" t="n">
        <f>IF(TblRequisitos[[#This Row],[ID]]="",0,COUNTIFS(TblPruebas[Requisito],TblRequisitos[[#This Row],[ID]],TblPruebas[Validez],"Valida"))</f>
        <v>0</v>
      </c>
      <c r="P18" s="44" t="n">
        <f>IF(TblRequisitos[[#This Row],[ID]]="",0,COUNTIFS(TblPruebas[Requisito],TblRequisitos[[#This Row],[ID]],TblPruebas[Resultado],"Fallida"))</f>
        <v>0</v>
      </c>
      <c r="Q18"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18" s="25" t="str">
        <v>Configuración de referencia: valores numéricos de diseño propuestos; cambiar solo con versión y prueba actualizadas.</v>
      </c>
      <c r="S18" s="50" t="n">
        <f>IF(TblRequisitos[[#This Row],[ID]]="",0,IF(OR(TblRequisitos[[#This Row],[Alcance]]="Descartado",AND(TblRequisitos[[#This Row],[Fase]]="P2",Inicio!$B$9=0)),0,1))</f>
        <v>1</v>
      </c>
      <c r="T18" s="50" t="n">
        <f>IF(TblRequisitos[[#This Row],[ID]]="",0,IF(TblRequisitos[[#This Row],[Control]]="OK",0,1))</f>
        <v>0</v>
      </c>
    </row>
    <row r="19" ht="54" customHeight="1">
      <c r="A19" s="13" t="str">
        <v>RQ-012</v>
      </c>
      <c r="B19" s="25" t="str">
        <v>P0</v>
      </c>
      <c r="C19" s="25" t="str">
        <v>Propuesto</v>
      </c>
      <c r="D19" s="25" t="str">
        <v>Amin</v>
      </c>
      <c r="E19" s="25" t="str">
        <v>Retorno al slot</v>
      </c>
      <c r="F19" s="25" t="str">
        <v>Un enemigo que sobrevive al picado debe volver a su slot reservado. Tras Retorno, el enemigo vuelve a Formación a ≤0,01 u de su slot actual; el slotId se conserva y no se asigna a otro enemigo vivo.</v>
      </c>
      <c r="G19" s="25" t="str">
        <v>IMP-03</v>
      </c>
      <c r="H19" s="25" t="str">
        <v>Funcional</v>
      </c>
      <c r="I19" s="25" t="str">
        <v>Propuesta de diseño</v>
      </c>
      <c r="J19" s="25" t="str">
        <v>Pendiente</v>
      </c>
      <c r="K19" s="25" t="str"/>
      <c r="L19" s="34"/>
      <c r="M19"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19" s="44" t="n">
        <f>IF(TblRequisitos[[#This Row],[ID]]="",0,COUNTIF(TblPruebas[Requisito],TblRequisitos[[#This Row],[ID]]))</f>
        <v>1</v>
      </c>
      <c r="O19" s="44" t="n">
        <f>IF(TblRequisitos[[#This Row],[ID]]="",0,COUNTIFS(TblPruebas[Requisito],TblRequisitos[[#This Row],[ID]],TblPruebas[Validez],"Valida"))</f>
        <v>0</v>
      </c>
      <c r="P19" s="44" t="n">
        <f>IF(TblRequisitos[[#This Row],[ID]]="",0,COUNTIFS(TblPruebas[Requisito],TblRequisitos[[#This Row],[ID]],TblPruebas[Resultado],"Fallida"))</f>
        <v>0</v>
      </c>
      <c r="Q19"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19" s="25" t="str">
        <v>Configuración de referencia: valores numéricos de diseño propuestos; cambiar solo con versión y prueba actualizadas.</v>
      </c>
      <c r="S19" s="50" t="n">
        <f>IF(TblRequisitos[[#This Row],[ID]]="",0,IF(OR(TblRequisitos[[#This Row],[Alcance]]="Descartado",AND(TblRequisitos[[#This Row],[Fase]]="P2",Inicio!$B$9=0)),0,1))</f>
        <v>1</v>
      </c>
      <c r="T19" s="50" t="n">
        <f>IF(TblRequisitos[[#This Row],[ID]]="",0,IF(TblRequisitos[[#This Row],[Control]]="OK",0,1))</f>
        <v>0</v>
      </c>
    </row>
    <row r="20" ht="54" customHeight="1">
      <c r="A20" s="23" t="str">
        <v>RQ-013</v>
      </c>
      <c r="B20" s="25" t="str">
        <v>P0</v>
      </c>
      <c r="C20" s="25" t="str">
        <v>Propuesto</v>
      </c>
      <c r="D20" s="25" t="str">
        <v>Amin</v>
      </c>
      <c r="E20" s="25" t="str">
        <v>Muerte única</v>
      </c>
      <c r="F20" s="25" t="str">
        <v>Un enemigo con hp=0 debe desactivar colisión y emitir un evento de muerte. Dos impactos letales en el mismo paso producen una sola baja y recompensa.</v>
      </c>
      <c r="G20" s="25" t="str">
        <v>IMP-02</v>
      </c>
      <c r="H20" s="25" t="str">
        <v>Funcional</v>
      </c>
      <c r="I20" s="25" t="str">
        <v>Propuesta de diseño</v>
      </c>
      <c r="J20" s="25" t="str">
        <v>Pendiente</v>
      </c>
      <c r="K20" s="25" t="str"/>
      <c r="L20" s="34"/>
      <c r="M20"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20" s="44" t="n">
        <f>IF(TblRequisitos[[#This Row],[ID]]="",0,COUNTIF(TblPruebas[Requisito],TblRequisitos[[#This Row],[ID]]))</f>
        <v>1</v>
      </c>
      <c r="O20" s="44" t="n">
        <f>IF(TblRequisitos[[#This Row],[ID]]="",0,COUNTIFS(TblPruebas[Requisito],TblRequisitos[[#This Row],[ID]],TblPruebas[Validez],"Valida"))</f>
        <v>0</v>
      </c>
      <c r="P20" s="44" t="n">
        <f>IF(TblRequisitos[[#This Row],[ID]]="",0,COUNTIFS(TblPruebas[Requisito],TblRequisitos[[#This Row],[ID]],TblPruebas[Resultado],"Fallida"))</f>
        <v>0</v>
      </c>
      <c r="Q20"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20" s="25" t="str">
        <v>Configuración de referencia: valores numéricos de diseño propuestos; cambiar solo con versión y prueba actualizadas.</v>
      </c>
      <c r="S20" s="50" t="n">
        <f>IF(TblRequisitos[[#This Row],[ID]]="",0,IF(OR(TblRequisitos[[#This Row],[Alcance]]="Descartado",AND(TblRequisitos[[#This Row],[Fase]]="P2",Inicio!$B$9=0)),0,1))</f>
        <v>1</v>
      </c>
      <c r="T20" s="50" t="n">
        <f>IF(TblRequisitos[[#This Row],[ID]]="",0,IF(TblRequisitos[[#This Row],[Control]]="OK",0,1))</f>
        <v>0</v>
      </c>
    </row>
    <row r="21" ht="54" customHeight="1">
      <c r="A21" s="13" t="str">
        <v>RQ-014</v>
      </c>
      <c r="B21" s="25" t="str">
        <v>P0</v>
      </c>
      <c r="C21" s="25" t="str">
        <v>Propuesto</v>
      </c>
      <c r="D21" s="25" t="str">
        <v>Amin</v>
      </c>
      <c r="E21" s="25" t="str">
        <v>Oleada 1</v>
      </c>
      <c r="F21" s="25" t="str">
        <v>La primera oleada debe crear 12 exploradores y 6 interceptores. Se crean exactamente 18 enemigos de los tipos indicados.</v>
      </c>
      <c r="G21" s="25" t="str">
        <v>IMP-04</v>
      </c>
      <c r="H21" s="25" t="str">
        <v>Funcional</v>
      </c>
      <c r="I21" s="25" t="str">
        <v>Propuesta de diseño</v>
      </c>
      <c r="J21" s="25" t="str">
        <v>Pendiente</v>
      </c>
      <c r="K21" s="25" t="str"/>
      <c r="L21" s="34"/>
      <c r="M21"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21" s="44" t="n">
        <f>IF(TblRequisitos[[#This Row],[ID]]="",0,COUNTIF(TblPruebas[Requisito],TblRequisitos[[#This Row],[ID]]))</f>
        <v>1</v>
      </c>
      <c r="O21" s="44" t="n">
        <f>IF(TblRequisitos[[#This Row],[ID]]="",0,COUNTIFS(TblPruebas[Requisito],TblRequisitos[[#This Row],[ID]],TblPruebas[Validez],"Valida"))</f>
        <v>0</v>
      </c>
      <c r="P21" s="44" t="n">
        <f>IF(TblRequisitos[[#This Row],[ID]]="",0,COUNTIFS(TblPruebas[Requisito],TblRequisitos[[#This Row],[ID]],TblPruebas[Resultado],"Fallida"))</f>
        <v>0</v>
      </c>
      <c r="Q21"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21" s="25" t="str">
        <v>Configuración de referencia: valores numéricos de diseño propuestos; cambiar solo con versión y prueba actualizadas.</v>
      </c>
      <c r="S21" s="50" t="n">
        <f>IF(TblRequisitos[[#This Row],[ID]]="",0,IF(OR(TblRequisitos[[#This Row],[Alcance]]="Descartado",AND(TblRequisitos[[#This Row],[Fase]]="P2",Inicio!$B$9=0)),0,1))</f>
        <v>1</v>
      </c>
      <c r="T21" s="50" t="n">
        <f>IF(TblRequisitos[[#This Row],[ID]]="",0,IF(TblRequisitos[[#This Row],[Control]]="OK",0,1))</f>
        <v>0</v>
      </c>
    </row>
    <row r="22" ht="54" customHeight="1">
      <c r="A22" s="23" t="str">
        <v>RQ-015</v>
      </c>
      <c r="B22" s="25" t="str">
        <v>P0</v>
      </c>
      <c r="C22" s="25" t="str">
        <v>Propuesto</v>
      </c>
      <c r="D22" s="25" t="str">
        <v>Amin</v>
      </c>
      <c r="E22" s="25" t="str">
        <v>Oleada 2</v>
      </c>
      <c r="F22" s="25" t="str">
        <v>La segunda oleada debe crear 12 exploradores, 8 interceptores y 4 guardianes. Se crean 24 enemigos; guardián hp=2.</v>
      </c>
      <c r="G22" s="25" t="str">
        <v>IMP-04</v>
      </c>
      <c r="H22" s="25" t="str">
        <v>Funcional</v>
      </c>
      <c r="I22" s="25" t="str">
        <v>Propuesta de diseño</v>
      </c>
      <c r="J22" s="25" t="str">
        <v>Pendiente</v>
      </c>
      <c r="K22" s="25" t="str"/>
      <c r="L22" s="34"/>
      <c r="M22"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22" s="44" t="n">
        <f>IF(TblRequisitos[[#This Row],[ID]]="",0,COUNTIF(TblPruebas[Requisito],TblRequisitos[[#This Row],[ID]]))</f>
        <v>1</v>
      </c>
      <c r="O22" s="44" t="n">
        <f>IF(TblRequisitos[[#This Row],[ID]]="",0,COUNTIFS(TblPruebas[Requisito],TblRequisitos[[#This Row],[ID]],TblPruebas[Validez],"Valida"))</f>
        <v>0</v>
      </c>
      <c r="P22" s="44" t="n">
        <f>IF(TblRequisitos[[#This Row],[ID]]="",0,COUNTIFS(TblPruebas[Requisito],TblRequisitos[[#This Row],[ID]],TblPruebas[Resultado],"Fallida"))</f>
        <v>0</v>
      </c>
      <c r="Q22"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22" s="25" t="str">
        <v>Configuración de referencia: valores numéricos de diseño propuestos; cambiar solo con versión y prueba actualizadas.</v>
      </c>
      <c r="S22" s="50" t="n">
        <f>IF(TblRequisitos[[#This Row],[ID]]="",0,IF(OR(TblRequisitos[[#This Row],[Alcance]]="Descartado",AND(TblRequisitos[[#This Row],[Fase]]="P2",Inicio!$B$9=0)),0,1))</f>
        <v>1</v>
      </c>
      <c r="T22" s="50" t="n">
        <f>IF(TblRequisitos[[#This Row],[ID]]="",0,IF(TblRequisitos[[#This Row],[Control]]="OK",0,1))</f>
        <v>0</v>
      </c>
    </row>
    <row r="23" ht="54" customHeight="1">
      <c r="A23" s="13" t="str">
        <v>RQ-016</v>
      </c>
      <c r="B23" s="25" t="str">
        <v>P0</v>
      </c>
      <c r="C23" s="25" t="str">
        <v>Propuesto</v>
      </c>
      <c r="D23" s="25" t="str">
        <v>Amin</v>
      </c>
      <c r="E23" s="25" t="str">
        <v>Oleada 3</v>
      </c>
      <c r="F23" s="25" t="str">
        <v>La tercera oleada debe crear 12 exploradores, 12 interceptores y 6 guardianes. Se crean 30 enemigos; máximo de tres picados simultáneos.</v>
      </c>
      <c r="G23" s="25" t="str">
        <v>IMP-04</v>
      </c>
      <c r="H23" s="25" t="str">
        <v>Funcional</v>
      </c>
      <c r="I23" s="25" t="str">
        <v>Propuesta de diseño</v>
      </c>
      <c r="J23" s="25" t="str">
        <v>Pendiente</v>
      </c>
      <c r="K23" s="25" t="str"/>
      <c r="L23" s="34"/>
      <c r="M23"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23" s="44" t="n">
        <f>IF(TblRequisitos[[#This Row],[ID]]="",0,COUNTIF(TblPruebas[Requisito],TblRequisitos[[#This Row],[ID]]))</f>
        <v>1</v>
      </c>
      <c r="O23" s="44" t="n">
        <f>IF(TblRequisitos[[#This Row],[ID]]="",0,COUNTIFS(TblPruebas[Requisito],TblRequisitos[[#This Row],[ID]],TblPruebas[Validez],"Valida"))</f>
        <v>0</v>
      </c>
      <c r="P23" s="44" t="n">
        <f>IF(TblRequisitos[[#This Row],[ID]]="",0,COUNTIFS(TblPruebas[Requisito],TblRequisitos[[#This Row],[ID]],TblPruebas[Resultado],"Fallida"))</f>
        <v>0</v>
      </c>
      <c r="Q23"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23" s="25" t="str">
        <v>Configuración de referencia: valores numéricos de diseño propuestos; cambiar solo con versión y prueba actualizadas.</v>
      </c>
      <c r="S23" s="50" t="n">
        <f>IF(TblRequisitos[[#This Row],[ID]]="",0,IF(OR(TblRequisitos[[#This Row],[Alcance]]="Descartado",AND(TblRequisitos[[#This Row],[Fase]]="P2",Inicio!$B$9=0)),0,1))</f>
        <v>1</v>
      </c>
      <c r="T23" s="50" t="n">
        <f>IF(TblRequisitos[[#This Row],[ID]]="",0,IF(TblRequisitos[[#This Row],[Control]]="OK",0,1))</f>
        <v>0</v>
      </c>
    </row>
    <row r="24" ht="54" customHeight="1">
      <c r="A24" s="23" t="str">
        <v>RQ-017</v>
      </c>
      <c r="B24" s="25" t="str">
        <v>P0</v>
      </c>
      <c r="C24" s="25" t="str">
        <v>Propuesto</v>
      </c>
      <c r="D24" s="25" t="str">
        <v>Amin</v>
      </c>
      <c r="E24" s="25" t="str">
        <v>Condición de fin</v>
      </c>
      <c r="F24" s="25" t="str">
        <v>La oleada debe terminar solo tras acabar apariciones y no quedar enemigos vivos. Un enemigo fuera de pantalla en Retorno impide la transición.</v>
      </c>
      <c r="G24" s="25" t="str">
        <v>IMP-04</v>
      </c>
      <c r="H24" s="25" t="str">
        <v>Funcional</v>
      </c>
      <c r="I24" s="25" t="str">
        <v>Propuesta de diseño</v>
      </c>
      <c r="J24" s="25" t="str">
        <v>Pendiente</v>
      </c>
      <c r="K24" s="25" t="str"/>
      <c r="L24" s="34"/>
      <c r="M24"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24" s="44" t="n">
        <f>IF(TblRequisitos[[#This Row],[ID]]="",0,COUNTIF(TblPruebas[Requisito],TblRequisitos[[#This Row],[ID]]))</f>
        <v>1</v>
      </c>
      <c r="O24" s="44" t="n">
        <f>IF(TblRequisitos[[#This Row],[ID]]="",0,COUNTIFS(TblPruebas[Requisito],TblRequisitos[[#This Row],[ID]],TblPruebas[Validez],"Valida"))</f>
        <v>0</v>
      </c>
      <c r="P24" s="44" t="n">
        <f>IF(TblRequisitos[[#This Row],[ID]]="",0,COUNTIFS(TblPruebas[Requisito],TblRequisitos[[#This Row],[ID]],TblPruebas[Resultado],"Fallida"))</f>
        <v>0</v>
      </c>
      <c r="Q24"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24" s="25" t="str">
        <v>Configuración de referencia: valores numéricos de diseño propuestos; cambiar solo con versión y prueba actualizadas.</v>
      </c>
      <c r="S24" s="50" t="n">
        <f>IF(TblRequisitos[[#This Row],[ID]]="",0,IF(OR(TblRequisitos[[#This Row],[Alcance]]="Descartado",AND(TblRequisitos[[#This Row],[Fase]]="P2",Inicio!$B$9=0)),0,1))</f>
        <v>1</v>
      </c>
      <c r="T24" s="50" t="n">
        <f>IF(TblRequisitos[[#This Row],[ID]]="",0,IF(TblRequisitos[[#This Row],[Control]]="OK",0,1))</f>
        <v>0</v>
      </c>
    </row>
    <row r="25" ht="54" customHeight="1">
      <c r="A25" s="13" t="str">
        <v>RQ-018</v>
      </c>
      <c r="B25" s="25" t="str">
        <v>P0</v>
      </c>
      <c r="C25" s="25" t="str">
        <v>Propuesto</v>
      </c>
      <c r="D25" s="25" t="str">
        <v>Amin</v>
      </c>
      <c r="E25" s="25" t="str">
        <v>Jefe de 24 hp</v>
      </c>
      <c r="F25" s="25" t="str">
        <v>El jefe final debe entrar tras la tercera oleada con 24 hp. No aparece antes; 24 impactos de daño 1 lo destruyen cuando es vulnerable.</v>
      </c>
      <c r="G25" s="25" t="str">
        <v>IMP-05</v>
      </c>
      <c r="H25" s="25" t="str">
        <v>Funcional</v>
      </c>
      <c r="I25" s="25" t="str">
        <v>Propuesta de diseño</v>
      </c>
      <c r="J25" s="25" t="str">
        <v>Pendiente</v>
      </c>
      <c r="K25" s="25" t="str"/>
      <c r="L25" s="34"/>
      <c r="M25"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25" s="44" t="n">
        <f>IF(TblRequisitos[[#This Row],[ID]]="",0,COUNTIF(TblPruebas[Requisito],TblRequisitos[[#This Row],[ID]]))</f>
        <v>1</v>
      </c>
      <c r="O25" s="44" t="n">
        <f>IF(TblRequisitos[[#This Row],[ID]]="",0,COUNTIFS(TblPruebas[Requisito],TblRequisitos[[#This Row],[ID]],TblPruebas[Validez],"Valida"))</f>
        <v>0</v>
      </c>
      <c r="P25" s="44" t="n">
        <f>IF(TblRequisitos[[#This Row],[ID]]="",0,COUNTIFS(TblPruebas[Requisito],TblRequisitos[[#This Row],[ID]],TblPruebas[Resultado],"Fallida"))</f>
        <v>0</v>
      </c>
      <c r="Q25"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25" s="25" t="str">
        <v>Configuración de referencia: valores numéricos de diseño propuestos; cambiar solo con versión y prueba actualizadas.</v>
      </c>
      <c r="S25" s="50" t="n">
        <f>IF(TblRequisitos[[#This Row],[ID]]="",0,IF(OR(TblRequisitos[[#This Row],[Alcance]]="Descartado",AND(TblRequisitos[[#This Row],[Fase]]="P2",Inicio!$B$9=0)),0,1))</f>
        <v>1</v>
      </c>
      <c r="T25" s="50" t="n">
        <f>IF(TblRequisitos[[#This Row],[ID]]="",0,IF(TblRequisitos[[#This Row],[Control]]="OK",0,1))</f>
        <v>0</v>
      </c>
    </row>
    <row r="26" ht="54" customHeight="1">
      <c r="A26" s="23" t="str">
        <v>RQ-019</v>
      </c>
      <c r="B26" s="25" t="str">
        <v>P0</v>
      </c>
      <c r="C26" s="25" t="str">
        <v>Propuesto</v>
      </c>
      <c r="D26" s="25" t="str">
        <v>Amin</v>
      </c>
      <c r="E26" s="25" t="str">
        <v>Dos fases del jefe</v>
      </c>
      <c r="F26" s="25" t="str">
        <v>Al pasar a 12 hp, el siguiente Aviso debe activar el patrón de cinco balas. No se mezcla un ataque iniciado en fase 1 con la nueva fase.</v>
      </c>
      <c r="G26" s="25" t="str">
        <v>IMP-05</v>
      </c>
      <c r="H26" s="25" t="str">
        <v>Funcional</v>
      </c>
      <c r="I26" s="25" t="str">
        <v>Propuesta de diseño</v>
      </c>
      <c r="J26" s="25" t="str">
        <v>Pendiente</v>
      </c>
      <c r="K26" s="25" t="str"/>
      <c r="L26" s="34"/>
      <c r="M26"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26" s="44" t="n">
        <f>IF(TblRequisitos[[#This Row],[ID]]="",0,COUNTIF(TblPruebas[Requisito],TblRequisitos[[#This Row],[ID]]))</f>
        <v>1</v>
      </c>
      <c r="O26" s="44" t="n">
        <f>IF(TblRequisitos[[#This Row],[ID]]="",0,COUNTIFS(TblPruebas[Requisito],TblRequisitos[[#This Row],[ID]],TblPruebas[Validez],"Valida"))</f>
        <v>0</v>
      </c>
      <c r="P26" s="44" t="n">
        <f>IF(TblRequisitos[[#This Row],[ID]]="",0,COUNTIFS(TblPruebas[Requisito],TblRequisitos[[#This Row],[ID]],TblPruebas[Resultado],"Fallida"))</f>
        <v>0</v>
      </c>
      <c r="Q26"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26" s="25" t="str">
        <v>Configuración de referencia: valores numéricos de diseño propuestos; cambiar solo con versión y prueba actualizadas.</v>
      </c>
      <c r="S26" s="50" t="n">
        <f>IF(TblRequisitos[[#This Row],[ID]]="",0,IF(OR(TblRequisitos[[#This Row],[Alcance]]="Descartado",AND(TblRequisitos[[#This Row],[Fase]]="P2",Inicio!$B$9=0)),0,1))</f>
        <v>1</v>
      </c>
      <c r="T26" s="50" t="n">
        <f>IF(TblRequisitos[[#This Row],[ID]]="",0,IF(TblRequisitos[[#This Row],[Control]]="OK",0,1))</f>
        <v>0</v>
      </c>
    </row>
    <row r="27" ht="54" customHeight="1">
      <c r="A27" s="13" t="str">
        <v>RQ-020</v>
      </c>
      <c r="B27" s="25" t="str">
        <v>P0</v>
      </c>
      <c r="C27" s="25" t="str">
        <v>Propuesto</v>
      </c>
      <c r="D27" s="25" t="str">
        <v>Amin</v>
      </c>
      <c r="E27" s="25" t="str">
        <v>Contacto de borde</v>
      </c>
      <c r="F27" s="25" t="str">
        <v>El contacto de círculos tangentes debe producir impacto. Con distancia igual a suma de radios se registra contacto.</v>
      </c>
      <c r="G27" s="25" t="str">
        <v>IMP-02</v>
      </c>
      <c r="H27" s="25" t="str">
        <v>Funcional</v>
      </c>
      <c r="I27" s="25" t="str">
        <v>Propuesta de diseño</v>
      </c>
      <c r="J27" s="25" t="str">
        <v>Pendiente</v>
      </c>
      <c r="K27" s="25" t="str"/>
      <c r="L27" s="34"/>
      <c r="M27"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27" s="44" t="n">
        <f>IF(TblRequisitos[[#This Row],[ID]]="",0,COUNTIF(TblPruebas[Requisito],TblRequisitos[[#This Row],[ID]]))</f>
        <v>1</v>
      </c>
      <c r="O27" s="44" t="n">
        <f>IF(TblRequisitos[[#This Row],[ID]]="",0,COUNTIFS(TblPruebas[Requisito],TblRequisitos[[#This Row],[ID]],TblPruebas[Validez],"Valida"))</f>
        <v>0</v>
      </c>
      <c r="P27" s="44" t="n">
        <f>IF(TblRequisitos[[#This Row],[ID]]="",0,COUNTIFS(TblPruebas[Requisito],TblRequisitos[[#This Row],[ID]],TblPruebas[Resultado],"Fallida"))</f>
        <v>0</v>
      </c>
      <c r="Q27"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27" s="25" t="str">
        <v>Configuración de referencia: valores numéricos de diseño propuestos; cambiar solo con versión y prueba actualizadas.</v>
      </c>
      <c r="S27" s="50" t="n">
        <f>IF(TblRequisitos[[#This Row],[ID]]="",0,IF(OR(TblRequisitos[[#This Row],[Alcance]]="Descartado",AND(TblRequisitos[[#This Row],[Fase]]="P2",Inicio!$B$9=0)),0,1))</f>
        <v>1</v>
      </c>
      <c r="T27" s="50" t="n">
        <f>IF(TblRequisitos[[#This Row],[ID]]="",0,IF(TblRequisitos[[#This Row],[Control]]="OK",0,1))</f>
        <v>0</v>
      </c>
    </row>
    <row r="28" ht="54" customHeight="1">
      <c r="A28" s="23" t="str">
        <v>RQ-021</v>
      </c>
      <c r="B28" s="25" t="str">
        <v>P0</v>
      </c>
      <c r="C28" s="25" t="str">
        <v>Propuesto</v>
      </c>
      <c r="D28" s="25" t="str">
        <v>Amin</v>
      </c>
      <c r="E28" s="25" t="str">
        <v>Barrido relativo</v>
      </c>
      <c r="F28" s="25" t="str">
        <v>El detector debe comprobar el recorrido relativo durante cada paso. Una bala que cruza completamente el collider produce impacto.</v>
      </c>
      <c r="G28" s="25" t="str">
        <v>IMP-02</v>
      </c>
      <c r="H28" s="25" t="str">
        <v>Funcional</v>
      </c>
      <c r="I28" s="25" t="str">
        <v>Propuesta de diseño</v>
      </c>
      <c r="J28" s="25" t="str">
        <v>Pendiente</v>
      </c>
      <c r="K28" s="25" t="str"/>
      <c r="L28" s="34"/>
      <c r="M28"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28" s="44" t="n">
        <f>IF(TblRequisitos[[#This Row],[ID]]="",0,COUNTIF(TblPruebas[Requisito],TblRequisitos[[#This Row],[ID]]))</f>
        <v>1</v>
      </c>
      <c r="O28" s="44" t="n">
        <f>IF(TblRequisitos[[#This Row],[ID]]="",0,COUNTIFS(TblPruebas[Requisito],TblRequisitos[[#This Row],[ID]],TblPruebas[Validez],"Valida"))</f>
        <v>0</v>
      </c>
      <c r="P28" s="44" t="n">
        <f>IF(TblRequisitos[[#This Row],[ID]]="",0,COUNTIFS(TblPruebas[Requisito],TblRequisitos[[#This Row],[ID]],TblPruebas[Resultado],"Fallida"))</f>
        <v>0</v>
      </c>
      <c r="Q28"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28" s="25" t="str">
        <v>Configuración de referencia: valores numéricos de diseño propuestos; cambiar solo con versión y prueba actualizadas.</v>
      </c>
      <c r="S28" s="50" t="n">
        <f>IF(TblRequisitos[[#This Row],[ID]]="",0,IF(OR(TblRequisitos[[#This Row],[Alcance]]="Descartado",AND(TblRequisitos[[#This Row],[Fase]]="P2",Inicio!$B$9=0)),0,1))</f>
        <v>1</v>
      </c>
      <c r="T28" s="50" t="n">
        <f>IF(TblRequisitos[[#This Row],[ID]]="",0,IF(TblRequisitos[[#This Row],[Control]]="OK",0,1))</f>
        <v>0</v>
      </c>
    </row>
    <row r="29" ht="54" customHeight="1">
      <c r="A29" s="13" t="str">
        <v>RQ-022</v>
      </c>
      <c r="B29" s="25" t="str">
        <v>P0</v>
      </c>
      <c r="C29" s="25" t="str">
        <v>Propuesto</v>
      </c>
      <c r="D29" s="25" t="str">
        <v>Amin</v>
      </c>
      <c r="E29" s="25" t="str">
        <v>Primer objetivo alcanzado</v>
      </c>
      <c r="F29" s="25" t="str">
        <v>Una bala debe consumirse en el contacto más temprano de su recorrido. Solo se daña el enemigo con menor t de contacto, independientemente del vector.</v>
      </c>
      <c r="G29" s="25" t="str">
        <v>IMP-02</v>
      </c>
      <c r="H29" s="25" t="str">
        <v>Funcional</v>
      </c>
      <c r="I29" s="25" t="str">
        <v>Propuesta de diseño</v>
      </c>
      <c r="J29" s="25" t="str">
        <v>Pendiente</v>
      </c>
      <c r="K29" s="25" t="str"/>
      <c r="L29" s="34"/>
      <c r="M29"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29" s="44" t="n">
        <f>IF(TblRequisitos[[#This Row],[ID]]="",0,COUNTIF(TblPruebas[Requisito],TblRequisitos[[#This Row],[ID]]))</f>
        <v>1</v>
      </c>
      <c r="O29" s="44" t="n">
        <f>IF(TblRequisitos[[#This Row],[ID]]="",0,COUNTIFS(TblPruebas[Requisito],TblRequisitos[[#This Row],[ID]],TblPruebas[Validez],"Valida"))</f>
        <v>0</v>
      </c>
      <c r="P29" s="44" t="n">
        <f>IF(TblRequisitos[[#This Row],[ID]]="",0,COUNTIFS(TblPruebas[Requisito],TblRequisitos[[#This Row],[ID]],TblPruebas[Resultado],"Fallida"))</f>
        <v>0</v>
      </c>
      <c r="Q29"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29" s="25" t="str">
        <v>Configuración de referencia: valores numéricos de diseño propuestos; cambiar solo con versión y prueba actualizadas.</v>
      </c>
      <c r="S29" s="50" t="n">
        <f>IF(TblRequisitos[[#This Row],[ID]]="",0,IF(OR(TblRequisitos[[#This Row],[Alcance]]="Descartado",AND(TblRequisitos[[#This Row],[Fase]]="P2",Inicio!$B$9=0)),0,1))</f>
        <v>1</v>
      </c>
      <c r="T29" s="50" t="n">
        <f>IF(TblRequisitos[[#This Row],[ID]]="",0,IF(TblRequisitos[[#This Row],[Control]]="OK",0,1))</f>
        <v>0</v>
      </c>
    </row>
    <row r="30" ht="54" customHeight="1">
      <c r="A30" s="23" t="str">
        <v>RQ-023</v>
      </c>
      <c r="B30" s="25" t="str">
        <v>P0</v>
      </c>
      <c r="C30" s="25" t="str">
        <v>Propuesto</v>
      </c>
      <c r="D30" s="25" t="str">
        <v>Amin</v>
      </c>
      <c r="E30" s="25" t="str">
        <v>Filtro por equipo</v>
      </c>
      <c r="F30" s="25" t="str">
        <v>Solo deben interactuar las parejas de equipo y tipo permitidas. Balas entre sí y enemigos entre sí se atraviesan sin daño.</v>
      </c>
      <c r="G30" s="25" t="str">
        <v>IMP-02</v>
      </c>
      <c r="H30" s="25" t="str">
        <v>Funcional</v>
      </c>
      <c r="I30" s="25" t="str">
        <v>Propuesta de diseño</v>
      </c>
      <c r="J30" s="25" t="str">
        <v>Pendiente</v>
      </c>
      <c r="K30" s="25" t="str"/>
      <c r="L30" s="34"/>
      <c r="M30"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30" s="44" t="n">
        <f>IF(TblRequisitos[[#This Row],[ID]]="",0,COUNTIF(TblPruebas[Requisito],TblRequisitos[[#This Row],[ID]]))</f>
        <v>1</v>
      </c>
      <c r="O30" s="44" t="n">
        <f>IF(TblRequisitos[[#This Row],[ID]]="",0,COUNTIFS(TblPruebas[Requisito],TblRequisitos[[#This Row],[ID]],TblPruebas[Validez],"Valida"))</f>
        <v>0</v>
      </c>
      <c r="P30" s="44" t="n">
        <f>IF(TblRequisitos[[#This Row],[ID]]="",0,COUNTIFS(TblPruebas[Requisito],TblRequisitos[[#This Row],[ID]],TblPruebas[Resultado],"Fallida"))</f>
        <v>0</v>
      </c>
      <c r="Q30"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30" s="25" t="str">
        <v>Configuración de referencia: valores numéricos de diseño propuestos; cambiar solo con versión y prueba actualizadas.</v>
      </c>
      <c r="S30" s="50" t="n">
        <f>IF(TblRequisitos[[#This Row],[ID]]="",0,IF(OR(TblRequisitos[[#This Row],[Alcance]]="Descartado",AND(TblRequisitos[[#This Row],[Fase]]="P2",Inicio!$B$9=0)),0,1))</f>
        <v>1</v>
      </c>
      <c r="T30" s="50" t="n">
        <f>IF(TblRequisitos[[#This Row],[ID]]="",0,IF(TblRequisitos[[#This Row],[Control]]="OK",0,1))</f>
        <v>0</v>
      </c>
    </row>
    <row r="31" ht="54" customHeight="1">
      <c r="A31" s="13" t="str">
        <v>RQ-024</v>
      </c>
      <c r="B31" s="25" t="str">
        <v>P0</v>
      </c>
      <c r="C31" s="25" t="str">
        <v>Propuesto</v>
      </c>
      <c r="D31" s="25" t="str">
        <v>Amin</v>
      </c>
      <c r="E31" s="25" t="str">
        <v>Daño único por paso</v>
      </c>
      <c r="F31" s="25" t="str">
        <v>Un jugador vulnerable debe perder como máximo una vida por paso. Dos balas simultáneas restan una vida y activan invulnerabilidad.</v>
      </c>
      <c r="G31" s="25" t="str">
        <v>IMP-02</v>
      </c>
      <c r="H31" s="25" t="str">
        <v>Funcional</v>
      </c>
      <c r="I31" s="25" t="str">
        <v>Propuesta de diseño</v>
      </c>
      <c r="J31" s="25" t="str">
        <v>Pendiente</v>
      </c>
      <c r="K31" s="25" t="str"/>
      <c r="L31" s="34"/>
      <c r="M31"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31" s="44" t="n">
        <f>IF(TblRequisitos[[#This Row],[ID]]="",0,COUNTIF(TblPruebas[Requisito],TblRequisitos[[#This Row],[ID]]))</f>
        <v>1</v>
      </c>
      <c r="O31" s="44" t="n">
        <f>IF(TblRequisitos[[#This Row],[ID]]="",0,COUNTIFS(TblPruebas[Requisito],TblRequisitos[[#This Row],[ID]],TblPruebas[Validez],"Valida"))</f>
        <v>0</v>
      </c>
      <c r="P31" s="44" t="n">
        <f>IF(TblRequisitos[[#This Row],[ID]]="",0,COUNTIFS(TblPruebas[Requisito],TblRequisitos[[#This Row],[ID]],TblPruebas[Resultado],"Fallida"))</f>
        <v>0</v>
      </c>
      <c r="Q31"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31" s="25" t="str">
        <v>Configuración de referencia: valores numéricos de diseño propuestos; cambiar solo con versión y prueba actualizadas.</v>
      </c>
      <c r="S31" s="50" t="n">
        <f>IF(TblRequisitos[[#This Row],[ID]]="",0,IF(OR(TblRequisitos[[#This Row],[Alcance]]="Descartado",AND(TblRequisitos[[#This Row],[Fase]]="P2",Inicio!$B$9=0)),0,1))</f>
        <v>1</v>
      </c>
      <c r="T31" s="50" t="n">
        <f>IF(TblRequisitos[[#This Row],[ID]]="",0,IF(TblRequisitos[[#This Row],[Control]]="OK",0,1))</f>
        <v>0</v>
      </c>
    </row>
    <row r="32" ht="68" customHeight="1">
      <c r="A32" s="23" t="str">
        <v>RQ-025</v>
      </c>
      <c r="B32" s="25" t="str">
        <v>P0</v>
      </c>
      <c r="C32" s="25" t="str">
        <v>Propuesto</v>
      </c>
      <c r="D32" s="25" t="str">
        <v>Amin</v>
      </c>
      <c r="E32" s="25" t="str">
        <v>Reaparición</v>
      </c>
      <c r="F32" s="25" t="str">
        <v>Tras daño no letal debe esperar 0,75 s y reaparecer con 1,5 s de invulnerabilidad. Tras daño no letal: una vida menos; sin control durante 0,75 s ±h. Reaparece en x=0 ±0,01 u y el mismo plano con 1,5 s ±h de protección. Un contacto a los 0,5 s de reaparecer no resta vida.</v>
      </c>
      <c r="G32" s="25" t="str">
        <v>IMP-02</v>
      </c>
      <c r="H32" s="25" t="str">
        <v>Funcional</v>
      </c>
      <c r="I32" s="25" t="str">
        <v>Propuesta de diseño</v>
      </c>
      <c r="J32" s="25" t="str">
        <v>Pendiente</v>
      </c>
      <c r="K32" s="25" t="str"/>
      <c r="L32" s="34"/>
      <c r="M32"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32" s="44" t="n">
        <f>IF(TblRequisitos[[#This Row],[ID]]="",0,COUNTIF(TblPruebas[Requisito],TblRequisitos[[#This Row],[ID]]))</f>
        <v>2</v>
      </c>
      <c r="O32" s="44" t="n">
        <f>IF(TblRequisitos[[#This Row],[ID]]="",0,COUNTIFS(TblPruebas[Requisito],TblRequisitos[[#This Row],[ID]],TblPruebas[Validez],"Valida"))</f>
        <v>0</v>
      </c>
      <c r="P32" s="44" t="n">
        <f>IF(TblRequisitos[[#This Row],[ID]]="",0,COUNTIFS(TblPruebas[Requisito],TblRequisitos[[#This Row],[ID]],TblPruebas[Resultado],"Fallida"))</f>
        <v>0</v>
      </c>
      <c r="Q32"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32" s="25" t="str">
        <v>Configuración de referencia: valores numéricos de diseño propuestos; cambiar solo con versión y prueba actualizadas.</v>
      </c>
      <c r="S32" s="50" t="n">
        <f>IF(TblRequisitos[[#This Row],[ID]]="",0,IF(OR(TblRequisitos[[#This Row],[Alcance]]="Descartado",AND(TblRequisitos[[#This Row],[Fase]]="P2",Inicio!$B$9=0)),0,1))</f>
        <v>1</v>
      </c>
      <c r="T32" s="50" t="n">
        <f>IF(TblRequisitos[[#This Row],[ID]]="",0,IF(TblRequisitos[[#This Row],[Control]]="OK",0,1))</f>
        <v>0</v>
      </c>
    </row>
    <row r="33" ht="54" customHeight="1">
      <c r="A33" s="13" t="str">
        <v>RQ-026</v>
      </c>
      <c r="B33" s="25" t="str">
        <v>P0</v>
      </c>
      <c r="C33" s="25" t="str">
        <v>Propuesto</v>
      </c>
      <c r="D33" s="25" t="str">
        <v>Amin</v>
      </c>
      <c r="E33" s="25" t="str">
        <v>Pausa completa</v>
      </c>
      <c r="F33" s="25" t="str">
        <v>La pausa debe congelar posición, recarga, rutas y tiempo activo. Tras 3 s reales pausado, los valores de simulación no cambian.</v>
      </c>
      <c r="G33" s="25" t="str">
        <v>IMP-04</v>
      </c>
      <c r="H33" s="25" t="str">
        <v>Funcional</v>
      </c>
      <c r="I33" s="25" t="str">
        <v>Propuesta de diseño</v>
      </c>
      <c r="J33" s="25" t="str">
        <v>Pendiente</v>
      </c>
      <c r="K33" s="25" t="str"/>
      <c r="L33" s="34"/>
      <c r="M33"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33" s="44" t="n">
        <f>IF(TblRequisitos[[#This Row],[ID]]="",0,COUNTIF(TblPruebas[Requisito],TblRequisitos[[#This Row],[ID]]))</f>
        <v>1</v>
      </c>
      <c r="O33" s="44" t="n">
        <f>IF(TblRequisitos[[#This Row],[ID]]="",0,COUNTIFS(TblPruebas[Requisito],TblRequisitos[[#This Row],[ID]],TblPruebas[Validez],"Valida"))</f>
        <v>0</v>
      </c>
      <c r="P33" s="44" t="n">
        <f>IF(TblRequisitos[[#This Row],[ID]]="",0,COUNTIFS(TblPruebas[Requisito],TblRequisitos[[#This Row],[ID]],TblPruebas[Resultado],"Fallida"))</f>
        <v>0</v>
      </c>
      <c r="Q33"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33" s="25" t="str">
        <v>Configuración de referencia: valores numéricos de diseño propuestos; cambiar solo con versión y prueba actualizadas.</v>
      </c>
      <c r="S33" s="50" t="n">
        <f>IF(TblRequisitos[[#This Row],[ID]]="",0,IF(OR(TblRequisitos[[#This Row],[Alcance]]="Descartado",AND(TblRequisitos[[#This Row],[Fase]]="P2",Inicio!$B$9=0)),0,1))</f>
        <v>1</v>
      </c>
      <c r="T33" s="50" t="n">
        <f>IF(TblRequisitos[[#This Row],[ID]]="",0,IF(TblRequisitos[[#This Row],[Control]]="OK",0,1))</f>
        <v>0</v>
      </c>
    </row>
    <row r="34" ht="54" customHeight="1">
      <c r="A34" s="23" t="str">
        <v>RQ-027</v>
      </c>
      <c r="B34" s="25" t="str">
        <v>P0</v>
      </c>
      <c r="C34" s="25" t="str">
        <v>Propuesto</v>
      </c>
      <c r="D34" s="25" t="str">
        <v>Amin</v>
      </c>
      <c r="E34" s="25" t="str">
        <v>Pérdida de foco</v>
      </c>
      <c r="F34" s="25" t="str">
        <v>Perder foco debe pausar y limpiar las teclas sostenidas. Al volver no continúa una dirección ni emite una acción vieja.</v>
      </c>
      <c r="G34" s="25" t="str">
        <v>IMP-01</v>
      </c>
      <c r="H34" s="25" t="str">
        <v>Funcional</v>
      </c>
      <c r="I34" s="25" t="str">
        <v>Propuesta de diseño</v>
      </c>
      <c r="J34" s="25" t="str">
        <v>Pendiente</v>
      </c>
      <c r="K34" s="25" t="str"/>
      <c r="L34" s="34"/>
      <c r="M34"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34" s="44" t="n">
        <f>IF(TblRequisitos[[#This Row],[ID]]="",0,COUNTIF(TblPruebas[Requisito],TblRequisitos[[#This Row],[ID]]))</f>
        <v>1</v>
      </c>
      <c r="O34" s="44" t="n">
        <f>IF(TblRequisitos[[#This Row],[ID]]="",0,COUNTIFS(TblPruebas[Requisito],TblRequisitos[[#This Row],[ID]],TblPruebas[Validez],"Valida"))</f>
        <v>0</v>
      </c>
      <c r="P34" s="44" t="n">
        <f>IF(TblRequisitos[[#This Row],[ID]]="",0,COUNTIFS(TblPruebas[Requisito],TblRequisitos[[#This Row],[ID]],TblPruebas[Resultado],"Fallida"))</f>
        <v>0</v>
      </c>
      <c r="Q34"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34" s="25" t="str">
        <v>Configuración de referencia: valores numéricos de diseño propuestos; cambiar solo con versión y prueba actualizadas.</v>
      </c>
      <c r="S34" s="50" t="n">
        <f>IF(TblRequisitos[[#This Row],[ID]]="",0,IF(OR(TblRequisitos[[#This Row],[Alcance]]="Descartado",AND(TblRequisitos[[#This Row],[Fase]]="P2",Inicio!$B$9=0)),0,1))</f>
        <v>1</v>
      </c>
      <c r="T34" s="50" t="n">
        <f>IF(TblRequisitos[[#This Row],[ID]]="",0,IF(TblRequisitos[[#This Row],[Control]]="OK",0,1))</f>
        <v>0</v>
      </c>
    </row>
    <row r="35" ht="54" customHeight="1">
      <c r="A35" s="13" t="str">
        <v>RQ-028</v>
      </c>
      <c r="B35" s="25" t="str">
        <v>P0</v>
      </c>
      <c r="C35" s="25" t="str">
        <v>Propuesto</v>
      </c>
      <c r="D35" s="25" t="str">
        <v>Amin</v>
      </c>
      <c r="E35" s="25" t="str">
        <v>Reinicio limpio</v>
      </c>
      <c r="F35" s="25" t="str">
        <v>Reiniciar debe restaurar vidas, puntos, fases, timers, entidades e input. 3 vidas, 0 puntos, oleada 1 y ninguna bala o mejora de sesión previa.</v>
      </c>
      <c r="G35" s="25" t="str">
        <v>IMP-04</v>
      </c>
      <c r="H35" s="25" t="str">
        <v>Funcional</v>
      </c>
      <c r="I35" s="25" t="str">
        <v>Propuesta de diseño</v>
      </c>
      <c r="J35" s="25" t="str">
        <v>Pendiente</v>
      </c>
      <c r="K35" s="25" t="str"/>
      <c r="L35" s="34"/>
      <c r="M35"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35" s="44" t="n">
        <f>IF(TblRequisitos[[#This Row],[ID]]="",0,COUNTIF(TblPruebas[Requisito],TblRequisitos[[#This Row],[ID]]))</f>
        <v>2</v>
      </c>
      <c r="O35" s="44" t="n">
        <f>IF(TblRequisitos[[#This Row],[ID]]="",0,COUNTIFS(TblPruebas[Requisito],TblRequisitos[[#This Row],[ID]],TblPruebas[Validez],"Valida"))</f>
        <v>0</v>
      </c>
      <c r="P35" s="44" t="n">
        <f>IF(TblRequisitos[[#This Row],[ID]]="",0,COUNTIFS(TblPruebas[Requisito],TblRequisitos[[#This Row],[ID]],TblPruebas[Resultado],"Fallida"))</f>
        <v>0</v>
      </c>
      <c r="Q35"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35" s="25" t="str">
        <v>Configuración de referencia: valores numéricos de diseño propuestos; cambiar solo con versión y prueba actualizadas.</v>
      </c>
      <c r="S35" s="50" t="n">
        <f>IF(TblRequisitos[[#This Row],[ID]]="",0,IF(OR(TblRequisitos[[#This Row],[Alcance]]="Descartado",AND(TblRequisitos[[#This Row],[Fase]]="P2",Inicio!$B$9=0)),0,1))</f>
        <v>1</v>
      </c>
      <c r="T35" s="50" t="n">
        <f>IF(TblRequisitos[[#This Row],[ID]]="",0,IF(TblRequisitos[[#This Row],[Control]]="OK",0,1))</f>
        <v>0</v>
      </c>
    </row>
    <row r="36" ht="54" customHeight="1">
      <c r="A36" s="23" t="str">
        <v>RQ-029</v>
      </c>
      <c r="B36" s="25" t="str">
        <v>P0</v>
      </c>
      <c r="C36" s="25" t="str">
        <v>Propuesto</v>
      </c>
      <c r="D36" s="25" t="str">
        <v>Amin</v>
      </c>
      <c r="E36" s="25" t="str">
        <v>Muerte simultánea</v>
      </c>
      <c r="F36" s="25" t="str">
        <v>La derrota debe prevalecer si jugador y jefe mueren en el mismo paso. Se muestra Derrota y no se procesa una Victoria posterior.</v>
      </c>
      <c r="G36" s="25" t="str">
        <v>IMP-05</v>
      </c>
      <c r="H36" s="25" t="str">
        <v>Funcional</v>
      </c>
      <c r="I36" s="25" t="str">
        <v>Propuesta de diseño</v>
      </c>
      <c r="J36" s="25" t="str">
        <v>Pendiente</v>
      </c>
      <c r="K36" s="25" t="str"/>
      <c r="L36" s="34"/>
      <c r="M36"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36" s="44" t="n">
        <f>IF(TblRequisitos[[#This Row],[ID]]="",0,COUNTIF(TblPruebas[Requisito],TblRequisitos[[#This Row],[ID]]))</f>
        <v>2</v>
      </c>
      <c r="O36" s="44" t="n">
        <f>IF(TblRequisitos[[#This Row],[ID]]="",0,COUNTIFS(TblPruebas[Requisito],TblRequisitos[[#This Row],[ID]],TblPruebas[Validez],"Valida"))</f>
        <v>0</v>
      </c>
      <c r="P36" s="44" t="n">
        <f>IF(TblRequisitos[[#This Row],[ID]]="",0,COUNTIFS(TblPruebas[Requisito],TblRequisitos[[#This Row],[ID]],TblPruebas[Resultado],"Fallida"))</f>
        <v>0</v>
      </c>
      <c r="Q36"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36" s="25" t="str">
        <v>Configuración de referencia: valores numéricos de diseño propuestos; cambiar solo con versión y prueba actualizadas.</v>
      </c>
      <c r="S36" s="50" t="n">
        <f>IF(TblRequisitos[[#This Row],[ID]]="",0,IF(OR(TblRequisitos[[#This Row],[Alcance]]="Descartado",AND(TblRequisitos[[#This Row],[Fase]]="P2",Inicio!$B$9=0)),0,1))</f>
        <v>1</v>
      </c>
      <c r="T36" s="50" t="n">
        <f>IF(TblRequisitos[[#This Row],[ID]]="",0,IF(TblRequisitos[[#This Row],[Control]]="OK",0,1))</f>
        <v>0</v>
      </c>
    </row>
    <row r="37" ht="54" customHeight="1">
      <c r="A37" s="13" t="str">
        <v>RQ-030</v>
      </c>
      <c r="B37" s="25" t="str">
        <v>P0</v>
      </c>
      <c r="C37" s="25" t="str">
        <v>Propuesto</v>
      </c>
      <c r="D37" s="25" t="str">
        <v>Amin</v>
      </c>
      <c r="E37" s="25" t="str">
        <v>Puntos por estado letal</v>
      </c>
      <c r="F37" s="25" t="str">
        <v>La recompensa debe usar el estado del enemigo cuando recibe el impacto letal. Explorador en Picado da 150; en Formación, Aviso o Retorno da 100.</v>
      </c>
      <c r="G37" s="25" t="str">
        <v>IMP-02</v>
      </c>
      <c r="H37" s="25" t="str">
        <v>Funcional</v>
      </c>
      <c r="I37" s="25" t="str">
        <v>Propuesta de diseño</v>
      </c>
      <c r="J37" s="25" t="str">
        <v>Pendiente</v>
      </c>
      <c r="K37" s="25" t="str"/>
      <c r="L37" s="34"/>
      <c r="M37"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37" s="44" t="n">
        <f>IF(TblRequisitos[[#This Row],[ID]]="",0,COUNTIF(TblPruebas[Requisito],TblRequisitos[[#This Row],[ID]]))</f>
        <v>1</v>
      </c>
      <c r="O37" s="44" t="n">
        <f>IF(TblRequisitos[[#This Row],[ID]]="",0,COUNTIFS(TblPruebas[Requisito],TblRequisitos[[#This Row],[ID]],TblPruebas[Validez],"Valida"))</f>
        <v>0</v>
      </c>
      <c r="P37" s="44" t="n">
        <f>IF(TblRequisitos[[#This Row],[ID]]="",0,COUNTIFS(TblPruebas[Requisito],TblRequisitos[[#This Row],[ID]],TblPruebas[Resultado],"Fallida"))</f>
        <v>0</v>
      </c>
      <c r="Q37"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37" s="25" t="str">
        <v>Configuración de referencia: valores numéricos de diseño propuestos; cambiar solo con versión y prueba actualizadas.</v>
      </c>
      <c r="S37" s="50" t="n">
        <f>IF(TblRequisitos[[#This Row],[ID]]="",0,IF(OR(TblRequisitos[[#This Row],[Alcance]]="Descartado",AND(TblRequisitos[[#This Row],[Fase]]="P2",Inicio!$B$9=0)),0,1))</f>
        <v>1</v>
      </c>
      <c r="T37" s="50" t="n">
        <f>IF(TblRequisitos[[#This Row],[ID]]="",0,IF(TblRequisitos[[#This Row],[Control]]="OK",0,1))</f>
        <v>0</v>
      </c>
    </row>
    <row r="38" ht="40" customHeight="1">
      <c r="A38" s="23" t="str">
        <v>RQ-031</v>
      </c>
      <c r="B38" s="25" t="str">
        <v>P0</v>
      </c>
      <c r="C38" s="25" t="str">
        <v>Incluido</v>
      </c>
      <c r="D38" s="25" t="str">
        <v>Amin</v>
      </c>
      <c r="E38" s="25" t="str">
        <v>Modelos volumétricos</v>
      </c>
      <c r="F38" s="25" t="str">
        <v>Nave, enemigos y jefe deben usar mallas 3D con caras y normales. Rotar modelo en vista de inspección permite ver volumen; no es un sprite plano.</v>
      </c>
      <c r="G38" s="25" t="str">
        <v>ART-01</v>
      </c>
      <c r="H38" s="25" t="str">
        <v>Representación 3D</v>
      </c>
      <c r="I38" s="25" t="str">
        <v>Acta p.1; criterio propuesto</v>
      </c>
      <c r="J38" s="25" t="str">
        <v>Pendiente</v>
      </c>
      <c r="K38" s="25" t="str"/>
      <c r="L38" s="34"/>
      <c r="M38"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implementar</v>
      </c>
      <c r="N38" s="44" t="n">
        <f>IF(TblRequisitos[[#This Row],[ID]]="",0,COUNTIF(TblPruebas[Requisito],TblRequisitos[[#This Row],[ID]]))</f>
        <v>1</v>
      </c>
      <c r="O38" s="44" t="n">
        <f>IF(TblRequisitos[[#This Row],[ID]]="",0,COUNTIFS(TblPruebas[Requisito],TblRequisitos[[#This Row],[ID]],TblPruebas[Validez],"Valida"))</f>
        <v>0</v>
      </c>
      <c r="P38" s="44" t="n">
        <f>IF(TblRequisitos[[#This Row],[ID]]="",0,COUNTIFS(TblPruebas[Requisito],TblRequisitos[[#This Row],[ID]],TblPruebas[Resultado],"Fallida"))</f>
        <v>0</v>
      </c>
      <c r="Q38"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38" s="25" t="str"/>
      <c r="S38" s="50" t="n">
        <f>IF(TblRequisitos[[#This Row],[ID]]="",0,IF(OR(TblRequisitos[[#This Row],[Alcance]]="Descartado",AND(TblRequisitos[[#This Row],[Fase]]="P2",Inicio!$B$9=0)),0,1))</f>
        <v>1</v>
      </c>
      <c r="T38" s="50" t="n">
        <f>IF(TblRequisitos[[#This Row],[ID]]="",0,IF(TblRequisitos[[#This Row],[Control]]="OK",0,1))</f>
        <v>0</v>
      </c>
    </row>
    <row r="39" ht="68" customHeight="1">
      <c r="A39" s="13" t="str">
        <v>RQ-032</v>
      </c>
      <c r="B39" s="25" t="str">
        <v>P0</v>
      </c>
      <c r="C39" s="25" t="str">
        <v>Propuesto</v>
      </c>
      <c r="D39" s="25" t="str">
        <v>Amin</v>
      </c>
      <c r="E39" s="25" t="str">
        <v>Transformaciones correctas</v>
      </c>
      <c r="F39" s="25" t="str">
        <v>El render debe usar Model, View y Projection con convención coherente. Con cámara fija, registrar las matrices antes y después de mover solo la nave 1 u en x. Su Model cambia únicamente en la traslación prevista; View, Projection y Model de cada enemigo conservan sus elementos con diferencia absoluta ≤10⁻⁶.</v>
      </c>
      <c r="G39" s="25" t="str">
        <v>ART-02</v>
      </c>
      <c r="H39" s="25" t="str">
        <v>Representación 3D</v>
      </c>
      <c r="I39" s="25" t="str">
        <v>Acta p.1; GLM manual</v>
      </c>
      <c r="J39" s="25" t="str">
        <v>Pendiente</v>
      </c>
      <c r="K39" s="25" t="str"/>
      <c r="L39" s="34"/>
      <c r="M39"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39" s="44" t="n">
        <f>IF(TblRequisitos[[#This Row],[ID]]="",0,COUNTIF(TblPruebas[Requisito],TblRequisitos[[#This Row],[ID]]))</f>
        <v>1</v>
      </c>
      <c r="O39" s="44" t="n">
        <f>IF(TblRequisitos[[#This Row],[ID]]="",0,COUNTIFS(TblPruebas[Requisito],TblRequisitos[[#This Row],[ID]],TblPruebas[Validez],"Valida"))</f>
        <v>0</v>
      </c>
      <c r="P39" s="44" t="n">
        <f>IF(TblRequisitos[[#This Row],[ID]]="",0,COUNTIFS(TblPruebas[Requisito],TblRequisitos[[#This Row],[ID]],TblPruebas[Resultado],"Fallida"))</f>
        <v>0</v>
      </c>
      <c r="Q39"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39" s="25" t="str"/>
      <c r="S39" s="50" t="n">
        <f>IF(TblRequisitos[[#This Row],[ID]]="",0,IF(OR(TblRequisitos[[#This Row],[Alcance]]="Descartado",AND(TblRequisitos[[#This Row],[Fase]]="P2",Inicio!$B$9=0)),0,1))</f>
        <v>1</v>
      </c>
      <c r="T39" s="50" t="n">
        <f>IF(TblRequisitos[[#This Row],[ID]]="",0,IF(TblRequisitos[[#This Row],[Control]]="OK",0,1))</f>
        <v>0</v>
      </c>
    </row>
    <row r="40" ht="40" customHeight="1">
      <c r="A40" s="23" t="str">
        <v>RQ-033</v>
      </c>
      <c r="B40" s="25" t="str">
        <v>P0</v>
      </c>
      <c r="C40" s="25" t="str">
        <v>Propuesto</v>
      </c>
      <c r="D40" s="25" t="str">
        <v>Amin</v>
      </c>
      <c r="E40" s="25" t="str">
        <v>Iluminación de volumen</v>
      </c>
      <c r="F40" s="25" t="str">
        <v>La iluminación debe permitir distinguir caras y orientación de los modelos. Cambiar dirección de luz cambia la respuesta de normales sin alterar colisión.</v>
      </c>
      <c r="G40" s="25" t="str">
        <v>ART-03</v>
      </c>
      <c r="H40" s="25" t="str">
        <v>Representación 3D</v>
      </c>
      <c r="I40" s="25" t="str">
        <v>Acta p.1; propuesta gráfica</v>
      </c>
      <c r="J40" s="25" t="str">
        <v>Pendiente</v>
      </c>
      <c r="K40" s="25" t="str"/>
      <c r="L40" s="34"/>
      <c r="M40"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40" s="44" t="n">
        <f>IF(TblRequisitos[[#This Row],[ID]]="",0,COUNTIF(TblPruebas[Requisito],TblRequisitos[[#This Row],[ID]]))</f>
        <v>1</v>
      </c>
      <c r="O40" s="44" t="n">
        <f>IF(TblRequisitos[[#This Row],[ID]]="",0,COUNTIFS(TblPruebas[Requisito],TblRequisitos[[#This Row],[ID]],TblPruebas[Validez],"Valida"))</f>
        <v>0</v>
      </c>
      <c r="P40" s="44" t="n">
        <f>IF(TblRequisitos[[#This Row],[ID]]="",0,COUNTIFS(TblPruebas[Requisito],TblRequisitos[[#This Row],[ID]],TblPruebas[Resultado],"Fallida"))</f>
        <v>0</v>
      </c>
      <c r="Q40"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40" s="25" t="str"/>
      <c r="S40" s="50" t="n">
        <f>IF(TblRequisitos[[#This Row],[ID]]="",0,IF(OR(TblRequisitos[[#This Row],[Alcance]]="Descartado",AND(TblRequisitos[[#This Row],[Fase]]="P2",Inicio!$B$9=0)),0,1))</f>
        <v>1</v>
      </c>
      <c r="T40" s="50" t="n">
        <f>IF(TblRequisitos[[#This Row],[ID]]="",0,IF(TblRequisitos[[#This Row],[Control]]="OK",0,1))</f>
        <v>0</v>
      </c>
    </row>
    <row r="41" ht="40" customHeight="1">
      <c r="A41" s="13" t="str">
        <v>RQ-034</v>
      </c>
      <c r="B41" s="25" t="str">
        <v>P0</v>
      </c>
      <c r="C41" s="25" t="str">
        <v>Propuesto</v>
      </c>
      <c r="D41" s="25" t="str">
        <v>Amin</v>
      </c>
      <c r="E41" s="25" t="str">
        <v>Oclusión geométrica</v>
      </c>
      <c r="F41" s="25" t="str">
        <v>Las superficies opacas deben usar prueba de profundidad. Objeto opaco cercano tapa al lejano independientemente del orden de dibujo.</v>
      </c>
      <c r="G41" s="25" t="str">
        <v>ART-02</v>
      </c>
      <c r="H41" s="25" t="str">
        <v>Representación 3D</v>
      </c>
      <c r="I41" s="25" t="str">
        <v>Khronos OpenGL registry</v>
      </c>
      <c r="J41" s="25" t="str">
        <v>Pendiente</v>
      </c>
      <c r="K41" s="25" t="str"/>
      <c r="L41" s="34"/>
      <c r="M41"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41" s="44" t="n">
        <f>IF(TblRequisitos[[#This Row],[ID]]="",0,COUNTIF(TblPruebas[Requisito],TblRequisitos[[#This Row],[ID]]))</f>
        <v>2</v>
      </c>
      <c r="O41" s="44" t="n">
        <f>IF(TblRequisitos[[#This Row],[ID]]="",0,COUNTIFS(TblPruebas[Requisito],TblRequisitos[[#This Row],[ID]],TblPruebas[Validez],"Valida"))</f>
        <v>0</v>
      </c>
      <c r="P41" s="44" t="n">
        <f>IF(TblRequisitos[[#This Row],[ID]]="",0,COUNTIFS(TblPruebas[Requisito],TblRequisitos[[#This Row],[ID]],TblPruebas[Resultado],"Fallida"))</f>
        <v>0</v>
      </c>
      <c r="Q41"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41" s="25" t="str"/>
      <c r="S41" s="50" t="n">
        <f>IF(TblRequisitos[[#This Row],[ID]]="",0,IF(OR(TblRequisitos[[#This Row],[Alcance]]="Descartado",AND(TblRequisitos[[#This Row],[Fase]]="P2",Inicio!$B$9=0)),0,1))</f>
        <v>1</v>
      </c>
      <c r="T41" s="50" t="n">
        <f>IF(TblRequisitos[[#This Row],[ID]]="",0,IF(TblRequisitos[[#This Row],[Control]]="OK",0,1))</f>
        <v>0</v>
      </c>
    </row>
    <row r="42" ht="82" customHeight="1">
      <c r="A42" s="23" t="str">
        <v>RQ-035</v>
      </c>
      <c r="B42" s="25" t="str">
        <v>P0</v>
      </c>
      <c r="C42" s="25" t="str">
        <v>Propuesto</v>
      </c>
      <c r="D42" s="25" t="str">
        <v>Amin</v>
      </c>
      <c r="E42" s="25" t="str">
        <v>Orientación en trayectorias</v>
      </c>
      <c r="F42" s="25" t="str">
        <v>El modelo enemigo debe orientar el morro con la tangente y un alabeo limitado. Registrar 100 muestras de Entrada, Picado y Retorno. Con velocidad ≥0,01 u/s, el ángulo entre eje frontal y tangente es ≤5° y el alabeo absoluto ≤20°. En velocidad menor se conserva la última orientación. Rotar solo el modelo no cambia posición ni radio del collider.</v>
      </c>
      <c r="G42" s="25" t="str">
        <v>ART-04</v>
      </c>
      <c r="H42" s="25" t="str">
        <v>Representación 3D</v>
      </c>
      <c r="I42" s="25" t="str">
        <v>Propuesta de diseño</v>
      </c>
      <c r="J42" s="25" t="str">
        <v>Pendiente</v>
      </c>
      <c r="K42" s="25" t="str"/>
      <c r="L42" s="34"/>
      <c r="M42"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42" s="44" t="n">
        <f>IF(TblRequisitos[[#This Row],[ID]]="",0,COUNTIF(TblPruebas[Requisito],TblRequisitos[[#This Row],[ID]]))</f>
        <v>1</v>
      </c>
      <c r="O42" s="44" t="n">
        <f>IF(TblRequisitos[[#This Row],[ID]]="",0,COUNTIFS(TblPruebas[Requisito],TblRequisitos[[#This Row],[ID]],TblPruebas[Validez],"Valida"))</f>
        <v>0</v>
      </c>
      <c r="P42" s="44" t="n">
        <f>IF(TblRequisitos[[#This Row],[ID]]="",0,COUNTIFS(TblPruebas[Requisito],TblRequisitos[[#This Row],[ID]],TblPruebas[Resultado],"Fallida"))</f>
        <v>0</v>
      </c>
      <c r="Q42"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42" s="25" t="str">
        <v>Configuración de referencia: valores numéricos de diseño propuestos; cambiar solo con versión y prueba actualizadas.</v>
      </c>
      <c r="S42" s="50" t="n">
        <f>IF(TblRequisitos[[#This Row],[ID]]="",0,IF(OR(TblRequisitos[[#This Row],[Alcance]]="Descartado",AND(TblRequisitos[[#This Row],[Fase]]="P2",Inicio!$B$9=0)),0,1))</f>
        <v>1</v>
      </c>
      <c r="T42" s="50" t="n">
        <f>IF(TblRequisitos[[#This Row],[ID]]="",0,IF(TblRequisitos[[#This Row],[Control]]="OK",0,1))</f>
        <v>0</v>
      </c>
    </row>
    <row r="43" ht="68" customHeight="1">
      <c r="A43" s="13" t="str">
        <v>RQ-036</v>
      </c>
      <c r="B43" s="25" t="str">
        <v>P0</v>
      </c>
      <c r="C43" s="25" t="str">
        <v>Propuesto</v>
      </c>
      <c r="D43" s="25" t="str">
        <v>Ferran</v>
      </c>
      <c r="E43" s="25" t="str">
        <v>Cámara fija legible</v>
      </c>
      <c r="F43" s="25" t="str">
        <v>La cámara fija de juego debe mantener visibles el campo y el HUD. En 1280×720 y 1024×768, guardar capturas con la nave en ambos límites y durante la oleada 3. Los cuatro bordes del campo definido son visibles; todos los indicadores del HUD quedan íntegros dentro del viewport y se puede leer vida, puntos, oleada y plano sin solaparse.</v>
      </c>
      <c r="G43" s="25" t="str">
        <v>UI-01</v>
      </c>
      <c r="H43" s="25" t="str">
        <v>Funcional</v>
      </c>
      <c r="I43" s="25" t="str">
        <v>Acta p.1; pruebas propuestas</v>
      </c>
      <c r="J43" s="25" t="str">
        <v>Pendiente</v>
      </c>
      <c r="K43" s="25" t="str"/>
      <c r="L43" s="34"/>
      <c r="M43"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43" s="44" t="n">
        <f>IF(TblRequisitos[[#This Row],[ID]]="",0,COUNTIF(TblPruebas[Requisito],TblRequisitos[[#This Row],[ID]]))</f>
        <v>1</v>
      </c>
      <c r="O43" s="44" t="n">
        <f>IF(TblRequisitos[[#This Row],[ID]]="",0,COUNTIFS(TblPruebas[Requisito],TblRequisitos[[#This Row],[ID]],TblPruebas[Validez],"Valida"))</f>
        <v>0</v>
      </c>
      <c r="P43" s="44" t="n">
        <f>IF(TblRequisitos[[#This Row],[ID]]="",0,COUNTIFS(TblPruebas[Requisito],TblRequisitos[[#This Row],[ID]],TblPruebas[Resultado],"Fallida"))</f>
        <v>0</v>
      </c>
      <c r="Q43"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43" s="25" t="str"/>
      <c r="S43" s="50" t="n">
        <f>IF(TblRequisitos[[#This Row],[ID]]="",0,IF(OR(TblRequisitos[[#This Row],[Alcance]]="Descartado",AND(TblRequisitos[[#This Row],[Fase]]="P2",Inicio!$B$9=0)),0,1))</f>
        <v>1</v>
      </c>
      <c r="T43" s="50" t="n">
        <f>IF(TblRequisitos[[#This Row],[ID]]="",0,IF(TblRequisitos[[#This Row],[Control]]="OK",0,1))</f>
        <v>0</v>
      </c>
    </row>
    <row r="44" ht="40" customHeight="1">
      <c r="A44" s="23" t="str">
        <v>RQ-037</v>
      </c>
      <c r="B44" s="25" t="str">
        <v>P0</v>
      </c>
      <c r="C44" s="25" t="str">
        <v>Propuesto</v>
      </c>
      <c r="D44" s="25" t="str">
        <v>Ferran</v>
      </c>
      <c r="E44" s="25" t="str">
        <v>HUD completo</v>
      </c>
      <c r="F44" s="25" t="str">
        <v>El HUD debe mostrar vidas, puntos, oleada, pausa y vida del jefe cuando proceda. Cada indicador refleja el estado real; jefe sin barra durante oleadas normales.</v>
      </c>
      <c r="G44" s="25" t="str">
        <v>UI-02</v>
      </c>
      <c r="H44" s="25" t="str">
        <v>Funcional</v>
      </c>
      <c r="I44" s="25" t="str">
        <v>Acta p.2</v>
      </c>
      <c r="J44" s="25" t="str">
        <v>Pendiente</v>
      </c>
      <c r="K44" s="25" t="str"/>
      <c r="L44" s="34"/>
      <c r="M44"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44" s="44" t="n">
        <f>IF(TblRequisitos[[#This Row],[ID]]="",0,COUNTIF(TblPruebas[Requisito],TblRequisitos[[#This Row],[ID]]))</f>
        <v>1</v>
      </c>
      <c r="O44" s="44" t="n">
        <f>IF(TblRequisitos[[#This Row],[ID]]="",0,COUNTIFS(TblPruebas[Requisito],TblRequisitos[[#This Row],[ID]],TblPruebas[Validez],"Valida"))</f>
        <v>0</v>
      </c>
      <c r="P44" s="44" t="n">
        <f>IF(TblRequisitos[[#This Row],[ID]]="",0,COUNTIFS(TblPruebas[Requisito],TblRequisitos[[#This Row],[ID]],TblPruebas[Resultado],"Fallida"))</f>
        <v>0</v>
      </c>
      <c r="Q44"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44" s="25" t="str"/>
      <c r="S44" s="50" t="n">
        <f>IF(TblRequisitos[[#This Row],[ID]]="",0,IF(OR(TblRequisitos[[#This Row],[Alcance]]="Descartado",AND(TblRequisitos[[#This Row],[Fase]]="P2",Inicio!$B$9=0)),0,1))</f>
        <v>1</v>
      </c>
      <c r="T44" s="50" t="n">
        <f>IF(TblRequisitos[[#This Row],[ID]]="",0,IF(TblRequisitos[[#This Row],[Control]]="OK",0,1))</f>
        <v>0</v>
      </c>
    </row>
    <row r="45" ht="54" customHeight="1">
      <c r="A45" s="13" t="str">
        <v>RQ-038</v>
      </c>
      <c r="B45" s="25" t="str">
        <v>P1</v>
      </c>
      <c r="C45" s="25" t="str">
        <v>Propuesto</v>
      </c>
      <c r="D45" s="25" t="str">
        <v>Amin</v>
      </c>
      <c r="E45" s="25" t="str">
        <v>Planos discretos</v>
      </c>
      <c r="F45" s="25" t="str">
        <v>El combate debe permitir elegir plano A en z=0 y B en z=-3. El cambio modifica la posición z del modelo y el plano lógico al terminar.</v>
      </c>
      <c r="G45" s="25" t="str">
        <v>PROF-01</v>
      </c>
      <c r="H45" s="25" t="str">
        <v>Funcional</v>
      </c>
      <c r="I45" s="25" t="str">
        <v>Acta p.1; coordenadas propuestas</v>
      </c>
      <c r="J45" s="25" t="str">
        <v>Pendiente</v>
      </c>
      <c r="K45" s="25" t="str"/>
      <c r="L45" s="34"/>
      <c r="M45"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45" s="44" t="n">
        <f>IF(TblRequisitos[[#This Row],[ID]]="",0,COUNTIF(TblPruebas[Requisito],TblRequisitos[[#This Row],[ID]]))</f>
        <v>2</v>
      </c>
      <c r="O45" s="44" t="n">
        <f>IF(TblRequisitos[[#This Row],[ID]]="",0,COUNTIFS(TblPruebas[Requisito],TblRequisitos[[#This Row],[ID]],TblPruebas[Validez],"Valida"))</f>
        <v>0</v>
      </c>
      <c r="P45" s="44" t="n">
        <f>IF(TblRequisitos[[#This Row],[ID]]="",0,COUNTIFS(TblPruebas[Requisito],TblRequisitos[[#This Row],[ID]],TblPruebas[Resultado],"Fallida"))</f>
        <v>0</v>
      </c>
      <c r="Q45"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45" s="25" t="str">
        <v>Configuración de referencia: valores numéricos de diseño propuestos; cambiar solo con versión y prueba actualizadas.</v>
      </c>
      <c r="S45" s="50" t="n">
        <f>IF(TblRequisitos[[#This Row],[ID]]="",0,IF(OR(TblRequisitos[[#This Row],[Alcance]]="Descartado",AND(TblRequisitos[[#This Row],[Fase]]="P2",Inicio!$B$9=0)),0,1))</f>
        <v>1</v>
      </c>
      <c r="T45" s="50" t="n">
        <f>IF(TblRequisitos[[#This Row],[ID]]="",0,IF(TblRequisitos[[#This Row],[Control]]="OK",0,1))</f>
        <v>0</v>
      </c>
    </row>
    <row r="46" ht="54" customHeight="1">
      <c r="A46" s="23" t="str">
        <v>RQ-039</v>
      </c>
      <c r="B46" s="25" t="str">
        <v>P1</v>
      </c>
      <c r="C46" s="25" t="str">
        <v>Propuesto</v>
      </c>
      <c r="D46" s="25" t="str">
        <v>Amin</v>
      </c>
      <c r="E46" s="25" t="str">
        <v>Cambio con coste</v>
      </c>
      <c r="F46" s="25" t="str">
        <v>Cambiar de plano debe durar 0,25 s y bloquear disparo y colisiones. Durante el cambio no hay tiro ni contactos del jugador. Se completa entre 0,25 s y 0,25 s+h (h=1/60 s); z final y PlaneId coinciden con el destino y empieza entonces la recarga.</v>
      </c>
      <c r="G46" s="25" t="str">
        <v>PROF-02</v>
      </c>
      <c r="H46" s="25" t="str">
        <v>Funcional</v>
      </c>
      <c r="I46" s="25" t="str">
        <v>Propuesta de diseño</v>
      </c>
      <c r="J46" s="25" t="str">
        <v>Pendiente</v>
      </c>
      <c r="K46" s="25" t="str"/>
      <c r="L46" s="34"/>
      <c r="M46"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46" s="44" t="n">
        <f>IF(TblRequisitos[[#This Row],[ID]]="",0,COUNTIF(TblPruebas[Requisito],TblRequisitos[[#This Row],[ID]]))</f>
        <v>2</v>
      </c>
      <c r="O46" s="44" t="n">
        <f>IF(TblRequisitos[[#This Row],[ID]]="",0,COUNTIFS(TblPruebas[Requisito],TblRequisitos[[#This Row],[ID]],TblPruebas[Validez],"Valida"))</f>
        <v>0</v>
      </c>
      <c r="P46" s="44" t="n">
        <f>IF(TblRequisitos[[#This Row],[ID]]="",0,COUNTIFS(TblPruebas[Requisito],TblRequisitos[[#This Row],[ID]],TblPruebas[Resultado],"Fallida"))</f>
        <v>0</v>
      </c>
      <c r="Q46"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46" s="25" t="str">
        <v>Configuración de referencia: valores numéricos de diseño propuestos; cambiar solo con versión y prueba actualizadas.</v>
      </c>
      <c r="S46" s="50" t="n">
        <f>IF(TblRequisitos[[#This Row],[ID]]="",0,IF(OR(TblRequisitos[[#This Row],[Alcance]]="Descartado",AND(TblRequisitos[[#This Row],[Fase]]="P2",Inicio!$B$9=0)),0,1))</f>
        <v>1</v>
      </c>
      <c r="T46" s="50" t="n">
        <f>IF(TblRequisitos[[#This Row],[ID]]="",0,IF(TblRequisitos[[#This Row],[Control]]="OK",0,1))</f>
        <v>0</v>
      </c>
    </row>
    <row r="47" ht="54" customHeight="1">
      <c r="A47" s="13" t="str">
        <v>RQ-040</v>
      </c>
      <c r="B47" s="25" t="str">
        <v>P1</v>
      </c>
      <c r="C47" s="25" t="str">
        <v>Propuesto</v>
      </c>
      <c r="D47" s="25" t="str">
        <v>Amin</v>
      </c>
      <c r="E47" s="25" t="str">
        <v>Recarga de plano</v>
      </c>
      <c r="F47" s="25" t="str">
        <v>El cambio debe tener recarga de 1,2 s desde el final de transición. E durante recarga no se ejecuta ni queda almacenada.</v>
      </c>
      <c r="G47" s="25" t="str">
        <v>PROF-02</v>
      </c>
      <c r="H47" s="25" t="str">
        <v>Funcional</v>
      </c>
      <c r="I47" s="25" t="str">
        <v>Propuesta de diseño</v>
      </c>
      <c r="J47" s="25" t="str">
        <v>Pendiente</v>
      </c>
      <c r="K47" s="25" t="str"/>
      <c r="L47" s="34"/>
      <c r="M47"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47" s="44" t="n">
        <f>IF(TblRequisitos[[#This Row],[ID]]="",0,COUNTIF(TblPruebas[Requisito],TblRequisitos[[#This Row],[ID]]))</f>
        <v>1</v>
      </c>
      <c r="O47" s="44" t="n">
        <f>IF(TblRequisitos[[#This Row],[ID]]="",0,COUNTIFS(TblPruebas[Requisito],TblRequisitos[[#This Row],[ID]],TblPruebas[Validez],"Valida"))</f>
        <v>0</v>
      </c>
      <c r="P47" s="44" t="n">
        <f>IF(TblRequisitos[[#This Row],[ID]]="",0,COUNTIFS(TblPruebas[Requisito],TblRequisitos[[#This Row],[ID]],TblPruebas[Resultado],"Fallida"))</f>
        <v>0</v>
      </c>
      <c r="Q47"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47" s="25" t="str">
        <v>Configuración de referencia: valores numéricos de diseño propuestos; cambiar solo con versión y prueba actualizadas.</v>
      </c>
      <c r="S47" s="50" t="n">
        <f>IF(TblRequisitos[[#This Row],[ID]]="",0,IF(OR(TblRequisitos[[#This Row],[Alcance]]="Descartado",AND(TblRequisitos[[#This Row],[Fase]]="P2",Inicio!$B$9=0)),0,1))</f>
        <v>1</v>
      </c>
      <c r="T47" s="50" t="n">
        <f>IF(TblRequisitos[[#This Row],[ID]]="",0,IF(TblRequisitos[[#This Row],[Control]]="OK",0,1))</f>
        <v>0</v>
      </c>
    </row>
    <row r="48" ht="54" customHeight="1">
      <c r="A48" s="23" t="str">
        <v>RQ-041</v>
      </c>
      <c r="B48" s="25" t="str">
        <v>P1</v>
      </c>
      <c r="C48" s="25" t="str">
        <v>Propuesto</v>
      </c>
      <c r="D48" s="25" t="str">
        <v>Amin</v>
      </c>
      <c r="E48" s="25" t="str">
        <v>Impacto por plano</v>
      </c>
      <c r="F48" s="25" t="str">
        <v>Una bala debe dañar solo objetivos de su mismo plano. Solapar x/y en planos distintos no produce contacto; mismo plano sí.</v>
      </c>
      <c r="G48" s="25" t="str">
        <v>PROF-01</v>
      </c>
      <c r="H48" s="25" t="str">
        <v>Funcional</v>
      </c>
      <c r="I48" s="25" t="str">
        <v>Propuesta de diseño</v>
      </c>
      <c r="J48" s="25" t="str">
        <v>Pendiente</v>
      </c>
      <c r="K48" s="25" t="str"/>
      <c r="L48" s="34"/>
      <c r="M48"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48" s="44" t="n">
        <f>IF(TblRequisitos[[#This Row],[ID]]="",0,COUNTIF(TblPruebas[Requisito],TblRequisitos[[#This Row],[ID]]))</f>
        <v>1</v>
      </c>
      <c r="O48" s="44" t="n">
        <f>IF(TblRequisitos[[#This Row],[ID]]="",0,COUNTIFS(TblPruebas[Requisito],TblRequisitos[[#This Row],[ID]],TblPruebas[Validez],"Valida"))</f>
        <v>0</v>
      </c>
      <c r="P48" s="44" t="n">
        <f>IF(TblRequisitos[[#This Row],[ID]]="",0,COUNTIFS(TblPruebas[Requisito],TblRequisitos[[#This Row],[ID]],TblPruebas[Resultado],"Fallida"))</f>
        <v>0</v>
      </c>
      <c r="Q48"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48" s="25" t="str">
        <v>Configuración de referencia: valores numéricos de diseño propuestos; cambiar solo con versión y prueba actualizadas.</v>
      </c>
      <c r="S48" s="50" t="n">
        <f>IF(TblRequisitos[[#This Row],[ID]]="",0,IF(OR(TblRequisitos[[#This Row],[Alcance]]="Descartado",AND(TblRequisitos[[#This Row],[Fase]]="P2",Inicio!$B$9=0)),0,1))</f>
        <v>1</v>
      </c>
      <c r="T48" s="50" t="n">
        <f>IF(TblRequisitos[[#This Row],[ID]]="",0,IF(TblRequisitos[[#This Row],[Control]]="OK",0,1))</f>
        <v>0</v>
      </c>
    </row>
    <row r="49" ht="54" customHeight="1">
      <c r="A49" s="13" t="str">
        <v>RQ-042</v>
      </c>
      <c r="B49" s="25" t="str">
        <v>P1</v>
      </c>
      <c r="C49" s="25" t="str">
        <v>Propuesto</v>
      </c>
      <c r="D49" s="25" t="str">
        <v>Amin</v>
      </c>
      <c r="E49" s="25" t="str">
        <v>Plano de proyectiles</v>
      </c>
      <c r="F49" s="25" t="str">
        <v>Una bala emitida debe conservar su plano hasta desaparecer. Cambiar la nave no desplaza en z las balas ya emitidas.</v>
      </c>
      <c r="G49" s="25" t="str">
        <v>PROF-01</v>
      </c>
      <c r="H49" s="25" t="str">
        <v>Funcional</v>
      </c>
      <c r="I49" s="25" t="str">
        <v>Propuesta de diseño</v>
      </c>
      <c r="J49" s="25" t="str">
        <v>Pendiente</v>
      </c>
      <c r="K49" s="25" t="str"/>
      <c r="L49" s="34"/>
      <c r="M49"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49" s="44" t="n">
        <f>IF(TblRequisitos[[#This Row],[ID]]="",0,COUNTIF(TblPruebas[Requisito],TblRequisitos[[#This Row],[ID]]))</f>
        <v>1</v>
      </c>
      <c r="O49" s="44" t="n">
        <f>IF(TblRequisitos[[#This Row],[ID]]="",0,COUNTIFS(TblPruebas[Requisito],TblRequisitos[[#This Row],[ID]],TblPruebas[Validez],"Valida"))</f>
        <v>0</v>
      </c>
      <c r="P49" s="44" t="n">
        <f>IF(TblRequisitos[[#This Row],[ID]]="",0,COUNTIFS(TblPruebas[Requisito],TblRequisitos[[#This Row],[ID]],TblPruebas[Resultado],"Fallida"))</f>
        <v>0</v>
      </c>
      <c r="Q49"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49" s="25" t="str">
        <v>Configuración de referencia: valores numéricos de diseño propuestos; cambiar solo con versión y prueba actualizadas.</v>
      </c>
      <c r="S49" s="50" t="n">
        <f>IF(TblRequisitos[[#This Row],[ID]]="",0,IF(OR(TblRequisitos[[#This Row],[Alcance]]="Descartado",AND(TblRequisitos[[#This Row],[Fase]]="P2",Inicio!$B$9=0)),0,1))</f>
        <v>1</v>
      </c>
      <c r="T49" s="50" t="n">
        <f>IF(TblRequisitos[[#This Row],[ID]]="",0,IF(TblRequisitos[[#This Row],[Control]]="OK",0,1))</f>
        <v>0</v>
      </c>
    </row>
    <row r="50" ht="68" customHeight="1">
      <c r="A50" s="23" t="str">
        <v>RQ-043</v>
      </c>
      <c r="B50" s="25" t="str">
        <v>P1</v>
      </c>
      <c r="C50" s="25" t="str">
        <v>Propuesto</v>
      </c>
      <c r="D50" s="25" t="str">
        <v>Ferran</v>
      </c>
      <c r="E50" s="25" t="str">
        <v>Señal de plano redundante</v>
      </c>
      <c r="F50" s="25" t="str">
        <v>El plano debe comunicarse mediante letra, forma y color. Tres personas identifican el plano y si hay contacto posible en cinco escenas sin explicación previa. Cada persona acierta al menos 4/5; se conservan respuestas y capturas, incluida una versión en escala de grises.</v>
      </c>
      <c r="G50" s="25" t="str">
        <v>UI-03</v>
      </c>
      <c r="H50" s="25" t="str">
        <v>Funcional</v>
      </c>
      <c r="I50" s="25" t="str">
        <v>Propuesta de diseño</v>
      </c>
      <c r="J50" s="25" t="str">
        <v>Pendiente</v>
      </c>
      <c r="K50" s="25" t="str"/>
      <c r="L50" s="34"/>
      <c r="M50"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50" s="44" t="n">
        <f>IF(TblRequisitos[[#This Row],[ID]]="",0,COUNTIF(TblPruebas[Requisito],TblRequisitos[[#This Row],[ID]]))</f>
        <v>2</v>
      </c>
      <c r="O50" s="44" t="n">
        <f>IF(TblRequisitos[[#This Row],[ID]]="",0,COUNTIFS(TblPruebas[Requisito],TblRequisitos[[#This Row],[ID]],TblPruebas[Validez],"Valida"))</f>
        <v>0</v>
      </c>
      <c r="P50" s="44" t="n">
        <f>IF(TblRequisitos[[#This Row],[ID]]="",0,COUNTIFS(TblPruebas[Requisito],TblRequisitos[[#This Row],[ID]],TblPruebas[Resultado],"Fallida"))</f>
        <v>0</v>
      </c>
      <c r="Q50"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50" s="25" t="str"/>
      <c r="S50" s="50" t="n">
        <f>IF(TblRequisitos[[#This Row],[ID]]="",0,IF(OR(TblRequisitos[[#This Row],[Alcance]]="Descartado",AND(TblRequisitos[[#This Row],[Fase]]="P2",Inicio!$B$9=0)),0,1))</f>
        <v>1</v>
      </c>
      <c r="T50" s="50" t="n">
        <f>IF(TblRequisitos[[#This Row],[ID]]="",0,IF(TblRequisitos[[#This Row],[Control]]="OK",0,1))</f>
        <v>0</v>
      </c>
    </row>
    <row r="51" ht="54" customHeight="1">
      <c r="A51" s="13" t="str">
        <v>RQ-044</v>
      </c>
      <c r="B51" s="25" t="str">
        <v>P1</v>
      </c>
      <c r="C51" s="25" t="str">
        <v>Propuesto</v>
      </c>
      <c r="D51" s="25" t="str">
        <v>Amin</v>
      </c>
      <c r="E51" s="25" t="str">
        <v>Compatibilidad con pausa</v>
      </c>
      <c r="F51" s="25" t="str">
        <v>La pausa debe conservar exactamente el progreso de un cambio. No salta al destino al reanudar; termina tras el tiempo activo restante.</v>
      </c>
      <c r="G51" s="25" t="str">
        <v>PROF-02</v>
      </c>
      <c r="H51" s="25" t="str">
        <v>Funcional</v>
      </c>
      <c r="I51" s="25" t="str">
        <v>Propuesta de diseño</v>
      </c>
      <c r="J51" s="25" t="str">
        <v>Pendiente</v>
      </c>
      <c r="K51" s="25" t="str"/>
      <c r="L51" s="34"/>
      <c r="M51"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51" s="44" t="n">
        <f>IF(TblRequisitos[[#This Row],[ID]]="",0,COUNTIF(TblPruebas[Requisito],TblRequisitos[[#This Row],[ID]]))</f>
        <v>1</v>
      </c>
      <c r="O51" s="44" t="n">
        <f>IF(TblRequisitos[[#This Row],[ID]]="",0,COUNTIFS(TblPruebas[Requisito],TblRequisitos[[#This Row],[ID]],TblPruebas[Validez],"Valida"))</f>
        <v>0</v>
      </c>
      <c r="P51" s="44" t="n">
        <f>IF(TblRequisitos[[#This Row],[ID]]="",0,COUNTIFS(TblPruebas[Requisito],TblRequisitos[[#This Row],[ID]],TblPruebas[Resultado],"Fallida"))</f>
        <v>0</v>
      </c>
      <c r="Q51"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51" s="25" t="str">
        <v>Configuración de referencia: valores numéricos de diseño propuestos; cambiar solo con versión y prueba actualizadas.</v>
      </c>
      <c r="S51" s="50" t="n">
        <f>IF(TblRequisitos[[#This Row],[ID]]="",0,IF(OR(TblRequisitos[[#This Row],[Alcance]]="Descartado",AND(TblRequisitos[[#This Row],[Fase]]="P2",Inicio!$B$9=0)),0,1))</f>
        <v>1</v>
      </c>
      <c r="T51" s="50" t="n">
        <f>IF(TblRequisitos[[#This Row],[ID]]="",0,IF(TblRequisitos[[#This Row],[Control]]="OK",0,1))</f>
        <v>0</v>
      </c>
    </row>
    <row r="52" ht="54" customHeight="1">
      <c r="A52" s="23" t="str">
        <v>RQ-045</v>
      </c>
      <c r="B52" s="25" t="str">
        <v>P1</v>
      </c>
      <c r="C52" s="25" t="str">
        <v>Propuesto</v>
      </c>
      <c r="D52" s="25" t="str">
        <v>Amin</v>
      </c>
      <c r="E52" s="25" t="str">
        <v>Jefe anuncia plano</v>
      </c>
      <c r="F52" s="25" t="str">
        <v>El jefe debe anunciar plano de ataque durante 0,8 s de Aviso. No recibe daño ni dispara durante su transición de 0,25 s.</v>
      </c>
      <c r="G52" s="25" t="str">
        <v>PROF-03</v>
      </c>
      <c r="H52" s="25" t="str">
        <v>Funcional</v>
      </c>
      <c r="I52" s="25" t="str">
        <v>Propuesta de diseño</v>
      </c>
      <c r="J52" s="25" t="str">
        <v>Pendiente</v>
      </c>
      <c r="K52" s="25" t="str"/>
      <c r="L52" s="34"/>
      <c r="M52"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52" s="44" t="n">
        <f>IF(TblRequisitos[[#This Row],[ID]]="",0,COUNTIF(TblPruebas[Requisito],TblRequisitos[[#This Row],[ID]]))</f>
        <v>1</v>
      </c>
      <c r="O52" s="44" t="n">
        <f>IF(TblRequisitos[[#This Row],[ID]]="",0,COUNTIFS(TblPruebas[Requisito],TblRequisitos[[#This Row],[ID]],TblPruebas[Validez],"Valida"))</f>
        <v>0</v>
      </c>
      <c r="P52" s="44" t="n">
        <f>IF(TblRequisitos[[#This Row],[ID]]="",0,COUNTIFS(TblPruebas[Requisito],TblRequisitos[[#This Row],[ID]],TblPruebas[Resultado],"Fallida"))</f>
        <v>0</v>
      </c>
      <c r="Q52"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52" s="25" t="str">
        <v>Configuración de referencia: valores numéricos de diseño propuestos; cambiar solo con versión y prueba actualizadas.</v>
      </c>
      <c r="S52" s="50" t="n">
        <f>IF(TblRequisitos[[#This Row],[ID]]="",0,IF(OR(TblRequisitos[[#This Row],[Alcance]]="Descartado",AND(TblRequisitos[[#This Row],[Fase]]="P2",Inicio!$B$9=0)),0,1))</f>
        <v>1</v>
      </c>
      <c r="T52" s="50" t="n">
        <f>IF(TblRequisitos[[#This Row],[ID]]="",0,IF(TblRequisitos[[#This Row],[Control]]="OK",0,1))</f>
        <v>0</v>
      </c>
    </row>
    <row r="53" ht="68" customHeight="1">
      <c r="A53" s="13" t="str">
        <v>RQ-046</v>
      </c>
      <c r="B53" s="25" t="str">
        <v>P0</v>
      </c>
      <c r="C53" s="25" t="str">
        <v>Propuesto</v>
      </c>
      <c r="D53" s="25" t="str">
        <v>Amin</v>
      </c>
      <c r="E53" s="25" t="str">
        <v>Paso fijo</v>
      </c>
      <c r="F53" s="25" t="str">
        <v>La lógica debe actualizarse a pasos de 1/60 s usando reloj monotónico. A 30, 60 y 120 FPS de render, la misma semilla y entrada durante 10 s producen vidas y puntos idénticos y posiciones con diferencia ≤0,01 u. No se descarta tiempo de simulación durante este ensayo.</v>
      </c>
      <c r="G53" s="25" t="str">
        <v>TEC-02</v>
      </c>
      <c r="H53" s="25" t="str">
        <v>Calidad</v>
      </c>
      <c r="I53" s="25" t="str">
        <v>Propuesta de diseño</v>
      </c>
      <c r="J53" s="25" t="str">
        <v>Pendiente</v>
      </c>
      <c r="K53" s="25" t="str"/>
      <c r="L53" s="34"/>
      <c r="M53"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53" s="44" t="n">
        <f>IF(TblRequisitos[[#This Row],[ID]]="",0,COUNTIF(TblPruebas[Requisito],TblRequisitos[[#This Row],[ID]]))</f>
        <v>1</v>
      </c>
      <c r="O53" s="44" t="n">
        <f>IF(TblRequisitos[[#This Row],[ID]]="",0,COUNTIFS(TblPruebas[Requisito],TblRequisitos[[#This Row],[ID]],TblPruebas[Validez],"Valida"))</f>
        <v>0</v>
      </c>
      <c r="P53" s="44" t="n">
        <f>IF(TblRequisitos[[#This Row],[ID]]="",0,COUNTIFS(TblPruebas[Requisito],TblRequisitos[[#This Row],[ID]],TblPruebas[Resultado],"Fallida"))</f>
        <v>0</v>
      </c>
      <c r="Q53"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53" s="25" t="str"/>
      <c r="S53" s="50" t="n">
        <f>IF(TblRequisitos[[#This Row],[ID]]="",0,IF(OR(TblRequisitos[[#This Row],[Alcance]]="Descartado",AND(TblRequisitos[[#This Row],[Fase]]="P2",Inicio!$B$9=0)),0,1))</f>
        <v>1</v>
      </c>
      <c r="T53" s="50" t="n">
        <f>IF(TblRequisitos[[#This Row],[ID]]="",0,IF(TblRequisitos[[#This Row],[Control]]="OK",0,1))</f>
        <v>0</v>
      </c>
    </row>
    <row r="54" ht="82" customHeight="1">
      <c r="A54" s="23" t="str">
        <v>RQ-047</v>
      </c>
      <c r="B54" s="25" t="str">
        <v>P0</v>
      </c>
      <c r="C54" s="25" t="str">
        <v>Propuesto</v>
      </c>
      <c r="D54" s="25" t="str">
        <v>Uri</v>
      </c>
      <c r="E54" s="25" t="str">
        <v>Rendimiento medido</v>
      </c>
      <c r="F54" s="25" t="str">
        <v>Mantener jugabilidad fluida en el equipo de entrega con la carga máxima prevista. Build Release a 1280×720: tras 10 s de calentamiento, registrar 60 s con la oleada 3 y efectos previstos. p95 del tiempo de frame ≤33,3 ms (mínimo propuesto de 30 FPS); 16,7 ms es objetivo adicional. Registrar CPU, GPU y build. Confirmar este presupuesto con la rúbrica.</v>
      </c>
      <c r="G54" s="25" t="str">
        <v>QA-02</v>
      </c>
      <c r="H54" s="25" t="str">
        <v>Calidad</v>
      </c>
      <c r="I54" s="25" t="str">
        <v>Propuesta de diseño</v>
      </c>
      <c r="J54" s="25" t="str">
        <v>Pendiente</v>
      </c>
      <c r="K54" s="25" t="str"/>
      <c r="L54" s="34"/>
      <c r="M54"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54" s="44" t="n">
        <f>IF(TblRequisitos[[#This Row],[ID]]="",0,COUNTIF(TblPruebas[Requisito],TblRequisitos[[#This Row],[ID]]))</f>
        <v>1</v>
      </c>
      <c r="O54" s="44" t="n">
        <f>IF(TblRequisitos[[#This Row],[ID]]="",0,COUNTIFS(TblPruebas[Requisito],TblRequisitos[[#This Row],[ID]],TblPruebas[Validez],"Valida"))</f>
        <v>0</v>
      </c>
      <c r="P54" s="44" t="n">
        <f>IF(TblRequisitos[[#This Row],[ID]]="",0,COUNTIFS(TblPruebas[Requisito],TblRequisitos[[#This Row],[ID]],TblPruebas[Resultado],"Fallida"))</f>
        <v>0</v>
      </c>
      <c r="Q54"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54" s="25" t="str"/>
      <c r="S54" s="50" t="n">
        <f>IF(TblRequisitos[[#This Row],[ID]]="",0,IF(OR(TblRequisitos[[#This Row],[Alcance]]="Descartado",AND(TblRequisitos[[#This Row],[Fase]]="P2",Inicio!$B$9=0)),0,1))</f>
        <v>1</v>
      </c>
      <c r="T54" s="50" t="n">
        <f>IF(TblRequisitos[[#This Row],[ID]]="",0,IF(TblRequisitos[[#This Row],[Control]]="OK",0,1))</f>
        <v>0</v>
      </c>
    </row>
    <row r="55" ht="82" customHeight="1">
      <c r="A55" s="13" t="str">
        <v>RQ-048</v>
      </c>
      <c r="B55" s="25" t="str">
        <v>P0</v>
      </c>
      <c r="C55" s="25" t="str">
        <v>Propuesto</v>
      </c>
      <c r="D55" s="25" t="str">
        <v>Uri</v>
      </c>
      <c r="E55" s="25" t="str">
        <v>Entidades limitadas</v>
      </c>
      <c r="F55" s="25" t="str">
        <v>Caducar proyectiles y restaurar entidades y recursos de juego al reiniciar. Tras cinco reinicios, el contador de entidades de cada nueva sesión coincide con el de la primera sesión. Ningún id de la sesión anterior sigue activo. Tras la carga inicial, los contadores de mallas/texturas/buffers persistentes no aumentan por reiniciar. Registrar memoria como diagnóstico.</v>
      </c>
      <c r="G55" s="25" t="str">
        <v>QA-02</v>
      </c>
      <c r="H55" s="25" t="str">
        <v>Calidad</v>
      </c>
      <c r="I55" s="25" t="str">
        <v>Propuesta de diseño</v>
      </c>
      <c r="J55" s="25" t="str">
        <v>Pendiente</v>
      </c>
      <c r="K55" s="25" t="str"/>
      <c r="L55" s="34"/>
      <c r="M55"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55" s="44" t="n">
        <f>IF(TblRequisitos[[#This Row],[ID]]="",0,COUNTIF(TblPruebas[Requisito],TblRequisitos[[#This Row],[ID]]))</f>
        <v>1</v>
      </c>
      <c r="O55" s="44" t="n">
        <f>IF(TblRequisitos[[#This Row],[ID]]="",0,COUNTIFS(TblPruebas[Requisito],TblRequisitos[[#This Row],[ID]],TblPruebas[Validez],"Valida"))</f>
        <v>0</v>
      </c>
      <c r="P55" s="44" t="n">
        <f>IF(TblRequisitos[[#This Row],[ID]]="",0,COUNTIFS(TblPruebas[Requisito],TblRequisitos[[#This Row],[ID]],TblPruebas[Resultado],"Fallida"))</f>
        <v>0</v>
      </c>
      <c r="Q55"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55" s="25" t="str"/>
      <c r="S55" s="50" t="n">
        <f>IF(TblRequisitos[[#This Row],[ID]]="",0,IF(OR(TblRequisitos[[#This Row],[Alcance]]="Descartado",AND(TblRequisitos[[#This Row],[Fase]]="P2",Inicio!$B$9=0)),0,1))</f>
        <v>1</v>
      </c>
      <c r="T55" s="50" t="n">
        <f>IF(TblRequisitos[[#This Row],[ID]]="",0,IF(TblRequisitos[[#This Row],[Control]]="OK",0,1))</f>
        <v>0</v>
      </c>
    </row>
    <row r="56" ht="68" customHeight="1">
      <c r="A56" s="23" t="str">
        <v>RQ-049</v>
      </c>
      <c r="B56" s="25" t="str">
        <v>P0</v>
      </c>
      <c r="C56" s="25" t="str">
        <v>Propuesto</v>
      </c>
      <c r="D56" s="25" t="str">
        <v>David</v>
      </c>
      <c r="E56" s="25" t="str">
        <v>Evidencias reales</v>
      </c>
      <c r="F56" s="25" t="str">
        <v>La memoria debe enlazar requisitos, decisiones, pruebas y evidencias del juego real. Para cada requisito incluido, la memoria indica estado y prueba/evidencia o causa pendiente. Abrir todas las evidencias de los requisitos aceptados y comprobar que la build coincide. Identificar los P2 no incluidos y atribuir imágenes y vídeos externos.</v>
      </c>
      <c r="G56" s="25" t="str">
        <v>DOC-02</v>
      </c>
      <c r="H56" s="25" t="str">
        <v>Documentación</v>
      </c>
      <c r="I56" s="25" t="str">
        <v>Acta p.2; método NASA adaptado</v>
      </c>
      <c r="J56" s="25" t="str">
        <v>Pendiente</v>
      </c>
      <c r="K56" s="25" t="str"/>
      <c r="L56" s="34"/>
      <c r="M56"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acordar</v>
      </c>
      <c r="N56" s="44" t="n">
        <f>IF(TblRequisitos[[#This Row],[ID]]="",0,COUNTIF(TblPruebas[Requisito],TblRequisitos[[#This Row],[ID]]))</f>
        <v>1</v>
      </c>
      <c r="O56" s="44" t="n">
        <f>IF(TblRequisitos[[#This Row],[ID]]="",0,COUNTIFS(TblPruebas[Requisito],TblRequisitos[[#This Row],[ID]],TblPruebas[Validez],"Valida"))</f>
        <v>0</v>
      </c>
      <c r="P56" s="44" t="n">
        <f>IF(TblRequisitos[[#This Row],[ID]]="",0,COUNTIFS(TblPruebas[Requisito],TblRequisitos[[#This Row],[ID]],TblPruebas[Resultado],"Fallida"))</f>
        <v>0</v>
      </c>
      <c r="Q56"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56" s="25" t="str"/>
      <c r="S56" s="50" t="n">
        <f>IF(TblRequisitos[[#This Row],[ID]]="",0,IF(OR(TblRequisitos[[#This Row],[Alcance]]="Descartado",AND(TblRequisitos[[#This Row],[Fase]]="P2",Inicio!$B$9=0)),0,1))</f>
        <v>1</v>
      </c>
      <c r="T56" s="50" t="n">
        <f>IF(TblRequisitos[[#This Row],[ID]]="",0,IF(TblRequisitos[[#This Row],[Control]]="OK",0,1))</f>
        <v>0</v>
      </c>
    </row>
    <row r="57" ht="40" customHeight="1">
      <c r="A57" s="13" t="str">
        <v>RQ-050</v>
      </c>
      <c r="B57" s="25" t="str">
        <v>P0</v>
      </c>
      <c r="C57" s="25" t="str">
        <v>Incluido</v>
      </c>
      <c r="D57" s="25" t="str">
        <v>Iker</v>
      </c>
      <c r="E57" s="25" t="str">
        <v>Entorno de VGI</v>
      </c>
      <c r="F57" s="25" t="str">
        <v>La implementación final debe integrarse con C++, MFC, OpenGL y GLM de la plantilla. Build de la plantilla del curso ejecuta la partida; sin sustituirla por Canvas.</v>
      </c>
      <c r="G57" s="25" t="str">
        <v>TEC-01</v>
      </c>
      <c r="H57" s="25" t="str">
        <v>Entorno docente</v>
      </c>
      <c r="I57" s="25" t="str">
        <v>Acta p.1</v>
      </c>
      <c r="J57" s="25" t="str">
        <v>Pendiente</v>
      </c>
      <c r="K57" s="25" t="str"/>
      <c r="L57" s="34"/>
      <c r="M57"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Por implementar</v>
      </c>
      <c r="N57" s="44" t="n">
        <f>IF(TblRequisitos[[#This Row],[ID]]="",0,COUNTIF(TblPruebas[Requisito],TblRequisitos[[#This Row],[ID]]))</f>
        <v>1</v>
      </c>
      <c r="O57" s="44" t="n">
        <f>IF(TblRequisitos[[#This Row],[ID]]="",0,COUNTIFS(TblPruebas[Requisito],TblRequisitos[[#This Row],[ID]],TblPruebas[Validez],"Valida"))</f>
        <v>0</v>
      </c>
      <c r="P57" s="44" t="n">
        <f>IF(TblRequisitos[[#This Row],[ID]]="",0,COUNTIFS(TblPruebas[Requisito],TblRequisitos[[#This Row],[ID]],TblPruebas[Resultado],"Fallida"))</f>
        <v>0</v>
      </c>
      <c r="Q57"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57" s="25" t="str"/>
      <c r="S57" s="50" t="n">
        <f>IF(TblRequisitos[[#This Row],[ID]]="",0,IF(OR(TblRequisitos[[#This Row],[Alcance]]="Descartado",AND(TblRequisitos[[#This Row],[Fase]]="P2",Inicio!$B$9=0)),0,1))</f>
        <v>1</v>
      </c>
      <c r="T57" s="50" t="n">
        <f>IF(TblRequisitos[[#This Row],[ID]]="",0,IF(TblRequisitos[[#This Row],[Control]]="OK",0,1))</f>
        <v>0</v>
      </c>
    </row>
    <row r="58" ht="54" customHeight="1">
      <c r="A58" s="23" t="str">
        <v>RQ-051</v>
      </c>
      <c r="B58" s="25" t="str">
        <v>P2</v>
      </c>
      <c r="C58" s="25" t="str">
        <v>Propuesto</v>
      </c>
      <c r="D58" s="25" t="str">
        <v>Amin</v>
      </c>
      <c r="E58" s="25" t="str">
        <v>Aliada liberada</v>
      </c>
      <c r="F58" s="25" t="str">
        <v>Destruir el portador durante Picado debe liberar una única nave aliada. Un rescate; sin vida extra y sin repetir evento de liberación.</v>
      </c>
      <c r="G58" s="25" t="str">
        <v>OPT-01</v>
      </c>
      <c r="H58" s="25" t="str">
        <v>Funcional</v>
      </c>
      <c r="I58" s="25" t="str">
        <v>Propuesta de diseño</v>
      </c>
      <c r="J58" s="25" t="str">
        <v>Pendiente</v>
      </c>
      <c r="K58" s="25" t="str"/>
      <c r="L58" s="34"/>
      <c r="M58"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Fuera de alcance</v>
      </c>
      <c r="N58" s="44" t="n">
        <f>IF(TblRequisitos[[#This Row],[ID]]="",0,COUNTIF(TblPruebas[Requisito],TblRequisitos[[#This Row],[ID]]))</f>
        <v>2</v>
      </c>
      <c r="O58" s="44" t="n">
        <f>IF(TblRequisitos[[#This Row],[ID]]="",0,COUNTIFS(TblPruebas[Requisito],TblRequisitos[[#This Row],[ID]],TblPruebas[Validez],"Valida"))</f>
        <v>0</v>
      </c>
      <c r="P58" s="44" t="n">
        <f>IF(TblRequisitos[[#This Row],[ID]]="",0,COUNTIFS(TblPruebas[Requisito],TblRequisitos[[#This Row],[ID]],TblPruebas[Resultado],"Fallida"))</f>
        <v>0</v>
      </c>
      <c r="Q58"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58" s="25" t="str">
        <v>Configuración de referencia: valores numéricos de diseño propuestos; cambiar solo con versión y prueba actualizadas.</v>
      </c>
      <c r="S58" s="50" t="n">
        <f>IF(TblRequisitos[[#This Row],[ID]]="",0,IF(OR(TblRequisitos[[#This Row],[Alcance]]="Descartado",AND(TblRequisitos[[#This Row],[Fase]]="P2",Inicio!$B$9=0)),0,1))</f>
        <v>0</v>
      </c>
      <c r="T58" s="50" t="n">
        <f>IF(TblRequisitos[[#This Row],[ID]]="",0,IF(TblRequisitos[[#This Row],[Control]]="OK",0,1))</f>
        <v>0</v>
      </c>
    </row>
    <row r="59" ht="54" customHeight="1">
      <c r="A59" s="13" t="str">
        <v>RQ-052</v>
      </c>
      <c r="B59" s="25" t="str">
        <v>P2</v>
      </c>
      <c r="C59" s="25" t="str">
        <v>Propuesto</v>
      </c>
      <c r="D59" s="25" t="str">
        <v>Amin</v>
      </c>
      <c r="E59" s="25" t="str">
        <v>Doble nave y daño</v>
      </c>
      <c r="F59" s="25" t="str">
        <v>El doble disparo debe emitir parejas y usar dos colliders sin duplicar daño. Un contacto elimina aliada, conserva vidas y activa 1,5 s de invulnerabilidad.</v>
      </c>
      <c r="G59" s="25" t="str">
        <v>OPT-02</v>
      </c>
      <c r="H59" s="25" t="str">
        <v>Funcional</v>
      </c>
      <c r="I59" s="25" t="str">
        <v>Propuesta de diseño</v>
      </c>
      <c r="J59" s="25" t="str">
        <v>Pendiente</v>
      </c>
      <c r="K59" s="25" t="str"/>
      <c r="L59" s="34"/>
      <c r="M59" s="44" t="str">
        <f>IF(TblRequisitos[[#This Row],[ID]]="","",IF(TblRequisitos[[#This Row],[Control]]&lt;&gt;"OK",TblRequisitos[[#This Row],[Control]],IF(OR(TblRequisitos[[#This Row],[Alcance]]="Descartado",AND(TblRequisitos[[#This Row],[Fase]]="P2",Inicio!$B$9=0)),"Fuera de alcance",IF(TblRequisitos[[#This Row],[Alcance]]="Propuesto","Por acordar",IF(TblRequisitos[[#This Row],[Fallidas]]&gt;0,"Prueba fallida",IF(INDEX(TblTareas[Cierre],MATCH(TblRequisitos[[#This Row],[Tarea]],TblTareas[ID],0))&lt;&gt;"Aceptada","Por implementar",IF(TblRequisitos[[#This Row],[Pruebas]]=0,"Falta prueba",IF(TblRequisitos[[#This Row],[Validas]]&lt;TblRequisitos[[#This Row],[Pruebas]],"Por verificar",IF(AND(TblRequisitos[[#This Row],[Aceptacion]]="Aceptado",COUNTIF(TblEquipo[Persona],TblRequisitos[[#This Row],[Revisa]])=1,IF(ISNUMBER(TblRequisitos[[#This Row],[Fecha]]),TblRequisitos[[#This Row],[Fecha]]&gt;0,FALSE)),"Aceptado","Por aceptar")))))))))</f>
        <v>Fuera de alcance</v>
      </c>
      <c r="N59" s="44" t="n">
        <f>IF(TblRequisitos[[#This Row],[ID]]="",0,COUNTIF(TblPruebas[Requisito],TblRequisitos[[#This Row],[ID]]))</f>
        <v>1</v>
      </c>
      <c r="O59" s="44" t="n">
        <f>IF(TblRequisitos[[#This Row],[ID]]="",0,COUNTIFS(TblPruebas[Requisito],TblRequisitos[[#This Row],[ID]],TblPruebas[Validez],"Valida"))</f>
        <v>0</v>
      </c>
      <c r="P59" s="44" t="n">
        <f>IF(TblRequisitos[[#This Row],[ID]]="",0,COUNTIFS(TblPruebas[Requisito],TblRequisitos[[#This Row],[ID]],TblPruebas[Resultado],"Fallida"))</f>
        <v>0</v>
      </c>
      <c r="Q59" s="44" t="str">
        <f>IF(TblRequisitos[[#This Row],[ID]]="","",IF(COUNTIF(TblRequisitos[ID],TblRequisitos[[#This Row],[ID]])&lt;&gt;1,"Duplicado ID",IF(COUNTIF(TblTareas[ID],TblRequisitos[[#This Row],[Tarea]])&lt;&gt;1,"No existe tarea unica",IF(OR(COUNTIF(TblEquipo[Persona],TblRequisitos[[#This Row],[Responsable]])&lt;&gt;1,TblRequisitos[[#This Row],[Requisito]]="",TblRequisitos[[#This Row],[Criterio]]=""),"Falta responsable o criterio","OK"))))</f>
        <v>OK</v>
      </c>
      <c r="R59" s="25" t="str">
        <v>Configuración de referencia: valores numéricos de diseño propuestos; cambiar solo con versión y prueba actualizadas.</v>
      </c>
      <c r="S59" s="50" t="n">
        <f>IF(TblRequisitos[[#This Row],[ID]]="",0,IF(OR(TblRequisitos[[#This Row],[Alcance]]="Descartado",AND(TblRequisitos[[#This Row],[Fase]]="P2",Inicio!$B$9=0)),0,1))</f>
        <v>0</v>
      </c>
      <c r="T59" s="50" t="n">
        <f>IF(TblRequisitos[[#This Row],[ID]]="",0,IF(TblRequisitos[[#This Row],[Control]]="OK",0,1))</f>
        <v>0</v>
      </c>
    </row>
    <row r="60" ht="22" customHeight="1">
      <c r="A60" s="3"/>
      <c r="B60" s="9"/>
      <c r="C60" s="9"/>
      <c r="D60" s="9"/>
      <c r="E60" s="3"/>
      <c r="F60" s="3"/>
      <c r="G60" s="3"/>
      <c r="H60" s="3"/>
      <c r="I60" s="3"/>
      <c r="J60" s="9"/>
      <c r="K60" s="9"/>
      <c r="L60" s="3"/>
      <c r="M60" s="3"/>
      <c r="N60" s="3"/>
      <c r="O60" s="3"/>
      <c r="P60" s="3"/>
      <c r="Q60" s="3"/>
      <c r="R60" s="3"/>
    </row>
    <row r="61" ht="22" customHeight="1">
      <c r="A61" s="3"/>
      <c r="B61" s="9"/>
      <c r="C61" s="9"/>
      <c r="D61" s="9"/>
      <c r="E61" s="3"/>
      <c r="F61" s="3"/>
      <c r="G61" s="3"/>
      <c r="H61" s="3"/>
      <c r="I61" s="3"/>
      <c r="J61" s="9"/>
      <c r="K61" s="9"/>
      <c r="L61" s="3"/>
      <c r="M61" s="3"/>
      <c r="N61" s="3"/>
      <c r="O61" s="3"/>
      <c r="P61" s="3"/>
      <c r="Q61" s="3"/>
      <c r="R61" s="3"/>
    </row>
    <row r="62" ht="22" customHeight="1">
      <c r="A62" s="3"/>
      <c r="B62" s="9"/>
      <c r="C62" s="9"/>
      <c r="D62" s="9"/>
      <c r="E62" s="3"/>
      <c r="F62" s="3"/>
      <c r="G62" s="3"/>
      <c r="H62" s="3"/>
      <c r="I62" s="3"/>
      <c r="J62" s="9"/>
      <c r="K62" s="9"/>
      <c r="L62" s="3"/>
      <c r="M62" s="3"/>
      <c r="N62" s="3"/>
      <c r="O62" s="3"/>
      <c r="P62" s="3"/>
      <c r="Q62" s="3"/>
      <c r="R62" s="3"/>
    </row>
    <row r="63" ht="22" customHeight="1">
      <c r="A63" s="3"/>
      <c r="B63" s="9"/>
      <c r="C63" s="9"/>
      <c r="D63" s="9"/>
      <c r="E63" s="3"/>
      <c r="F63" s="3"/>
      <c r="G63" s="3"/>
      <c r="H63" s="3"/>
      <c r="I63" s="3"/>
      <c r="J63" s="9"/>
      <c r="K63" s="9"/>
      <c r="L63" s="3"/>
      <c r="M63" s="3"/>
      <c r="N63" s="3"/>
      <c r="O63" s="3"/>
      <c r="P63" s="3"/>
      <c r="Q63" s="3"/>
      <c r="R63" s="3"/>
    </row>
    <row r="64" ht="22" customHeight="1">
      <c r="A64" s="3"/>
      <c r="B64" s="9"/>
      <c r="C64" s="9"/>
      <c r="D64" s="9"/>
      <c r="E64" s="3"/>
      <c r="F64" s="3"/>
      <c r="G64" s="3"/>
      <c r="H64" s="3"/>
      <c r="I64" s="3"/>
      <c r="J64" s="9"/>
      <c r="K64" s="9"/>
      <c r="L64" s="3"/>
      <c r="M64" s="3"/>
      <c r="N64" s="3"/>
      <c r="O64" s="3"/>
      <c r="P64" s="3"/>
      <c r="Q64" s="3"/>
      <c r="R64" s="3"/>
    </row>
    <row r="65" ht="22" customHeight="1">
      <c r="A65" s="3"/>
      <c r="B65" s="9"/>
      <c r="C65" s="9"/>
      <c r="D65" s="9"/>
      <c r="E65" s="3"/>
      <c r="F65" s="3"/>
      <c r="G65" s="3"/>
      <c r="H65" s="3"/>
      <c r="I65" s="3"/>
      <c r="J65" s="9"/>
      <c r="K65" s="9"/>
      <c r="L65" s="3"/>
      <c r="M65" s="3"/>
      <c r="N65" s="3"/>
      <c r="O65" s="3"/>
      <c r="P65" s="3"/>
      <c r="Q65" s="3"/>
      <c r="R65" s="3"/>
    </row>
    <row r="66" ht="22" customHeight="1">
      <c r="A66" s="3"/>
      <c r="B66" s="9"/>
      <c r="C66" s="9"/>
      <c r="D66" s="9"/>
      <c r="E66" s="3"/>
      <c r="F66" s="3"/>
      <c r="G66" s="3"/>
      <c r="H66" s="3"/>
      <c r="I66" s="3"/>
      <c r="J66" s="9"/>
      <c r="K66" s="9"/>
      <c r="L66" s="3"/>
      <c r="M66" s="3"/>
      <c r="N66" s="3"/>
      <c r="O66" s="3"/>
      <c r="P66" s="3"/>
      <c r="Q66" s="3"/>
      <c r="R66" s="3"/>
    </row>
    <row r="67" ht="22" customHeight="1">
      <c r="A67" s="3"/>
      <c r="B67" s="9"/>
      <c r="C67" s="9"/>
      <c r="D67" s="9"/>
      <c r="E67" s="3"/>
      <c r="F67" s="3"/>
      <c r="G67" s="3"/>
      <c r="H67" s="3"/>
      <c r="I67" s="3"/>
      <c r="J67" s="9"/>
      <c r="K67" s="9"/>
      <c r="L67" s="3"/>
      <c r="M67" s="3"/>
      <c r="N67" s="3"/>
      <c r="O67" s="3"/>
      <c r="P67" s="3"/>
      <c r="Q67" s="3"/>
      <c r="R67" s="3"/>
    </row>
    <row r="68" ht="22" customHeight="1">
      <c r="A68" s="3"/>
      <c r="B68" s="9"/>
      <c r="C68" s="9"/>
      <c r="D68" s="9"/>
      <c r="E68" s="3"/>
      <c r="F68" s="3"/>
      <c r="G68" s="3"/>
      <c r="H68" s="3"/>
      <c r="I68" s="3"/>
      <c r="J68" s="9"/>
      <c r="K68" s="9"/>
      <c r="L68" s="3"/>
      <c r="M68" s="3"/>
      <c r="N68" s="3"/>
      <c r="O68" s="3"/>
      <c r="P68" s="3"/>
      <c r="Q68" s="3"/>
      <c r="R68" s="3"/>
    </row>
    <row r="69" ht="22" customHeight="1">
      <c r="A69" s="3"/>
      <c r="B69" s="9"/>
      <c r="C69" s="9"/>
      <c r="D69" s="9"/>
      <c r="E69" s="3"/>
      <c r="F69" s="3"/>
      <c r="G69" s="3"/>
      <c r="H69" s="3"/>
      <c r="I69" s="3"/>
      <c r="J69" s="9"/>
      <c r="K69" s="9"/>
      <c r="L69" s="3"/>
      <c r="M69" s="3"/>
      <c r="N69" s="3"/>
      <c r="O69" s="3"/>
      <c r="P69" s="3"/>
      <c r="Q69" s="3"/>
      <c r="R69" s="3"/>
    </row>
    <row r="70" ht="22" customHeight="1">
      <c r="A70" s="3"/>
      <c r="B70" s="9"/>
      <c r="C70" s="9"/>
      <c r="D70" s="9"/>
      <c r="E70" s="3"/>
      <c r="F70" s="3"/>
      <c r="G70" s="3"/>
      <c r="H70" s="3"/>
      <c r="I70" s="3"/>
      <c r="J70" s="9"/>
      <c r="K70" s="9"/>
      <c r="L70" s="3"/>
      <c r="M70" s="3"/>
      <c r="N70" s="3"/>
      <c r="O70" s="3"/>
      <c r="P70" s="3"/>
      <c r="Q70" s="3"/>
      <c r="R70" s="3"/>
    </row>
    <row r="71" ht="22" customHeight="1">
      <c r="A71" s="3"/>
      <c r="B71" s="9"/>
      <c r="C71" s="9"/>
      <c r="D71" s="9"/>
      <c r="E71" s="3"/>
      <c r="F71" s="3"/>
      <c r="G71" s="3"/>
      <c r="H71" s="3"/>
      <c r="I71" s="3"/>
      <c r="J71" s="9"/>
      <c r="K71" s="9"/>
      <c r="L71" s="3"/>
      <c r="M71" s="3"/>
      <c r="N71" s="3"/>
      <c r="O71" s="3"/>
      <c r="P71" s="3"/>
      <c r="Q71" s="3"/>
      <c r="R71" s="3"/>
    </row>
    <row r="72" ht="22" customHeight="1">
      <c r="A72" s="3"/>
      <c r="B72" s="9"/>
      <c r="C72" s="9"/>
      <c r="D72" s="9"/>
      <c r="E72" s="3"/>
      <c r="F72" s="3"/>
      <c r="G72" s="3"/>
      <c r="H72" s="3"/>
      <c r="I72" s="3"/>
      <c r="J72" s="9"/>
      <c r="K72" s="9"/>
      <c r="L72" s="3"/>
      <c r="M72" s="3"/>
      <c r="N72" s="3"/>
      <c r="O72" s="3"/>
      <c r="P72" s="3"/>
      <c r="Q72" s="3"/>
      <c r="R72" s="3"/>
    </row>
    <row r="73" ht="22" customHeight="1">
      <c r="A73" s="3"/>
      <c r="B73" s="9"/>
      <c r="C73" s="9"/>
      <c r="D73" s="9"/>
      <c r="E73" s="3"/>
      <c r="F73" s="3"/>
      <c r="G73" s="3"/>
      <c r="H73" s="3"/>
      <c r="I73" s="3"/>
      <c r="J73" s="9"/>
      <c r="K73" s="9"/>
      <c r="L73" s="3"/>
      <c r="M73" s="3"/>
      <c r="N73" s="3"/>
      <c r="O73" s="3"/>
      <c r="P73" s="3"/>
      <c r="Q73" s="3"/>
      <c r="R73" s="3"/>
    </row>
    <row r="74" ht="22" customHeight="1">
      <c r="A74" s="3"/>
      <c r="B74" s="9"/>
      <c r="C74" s="9"/>
      <c r="D74" s="9"/>
      <c r="E74" s="3"/>
      <c r="F74" s="3"/>
      <c r="G74" s="3"/>
      <c r="H74" s="3"/>
      <c r="I74" s="3"/>
      <c r="J74" s="9"/>
      <c r="K74" s="9"/>
      <c r="L74" s="3"/>
      <c r="M74" s="3"/>
      <c r="N74" s="3"/>
      <c r="O74" s="3"/>
      <c r="P74" s="3"/>
      <c r="Q74" s="3"/>
      <c r="R74" s="3"/>
    </row>
    <row r="75" ht="22" customHeight="1">
      <c r="A75" s="3"/>
      <c r="B75" s="9"/>
      <c r="C75" s="9"/>
      <c r="D75" s="9"/>
      <c r="E75" s="3"/>
      <c r="F75" s="3"/>
      <c r="G75" s="3"/>
      <c r="H75" s="3"/>
      <c r="I75" s="3"/>
      <c r="J75" s="9"/>
      <c r="K75" s="9"/>
      <c r="L75" s="3"/>
      <c r="M75" s="3"/>
      <c r="N75" s="3"/>
      <c r="O75" s="3"/>
      <c r="P75" s="3"/>
      <c r="Q75" s="3"/>
      <c r="R75" s="3"/>
    </row>
    <row r="76" ht="22" customHeight="1">
      <c r="A76" s="3"/>
      <c r="B76" s="9"/>
      <c r="C76" s="9"/>
      <c r="D76" s="9"/>
      <c r="E76" s="3"/>
      <c r="F76" s="3"/>
      <c r="G76" s="3"/>
      <c r="H76" s="3"/>
      <c r="I76" s="3"/>
      <c r="J76" s="9"/>
      <c r="K76" s="9"/>
      <c r="L76" s="3"/>
      <c r="M76" s="3"/>
      <c r="N76" s="3"/>
      <c r="O76" s="3"/>
      <c r="P76" s="3"/>
      <c r="Q76" s="3"/>
      <c r="R76" s="3"/>
    </row>
    <row r="77" ht="22" customHeight="1">
      <c r="A77" s="3"/>
      <c r="B77" s="9"/>
      <c r="C77" s="9"/>
      <c r="D77" s="9"/>
      <c r="E77" s="3"/>
      <c r="F77" s="3"/>
      <c r="G77" s="3"/>
      <c r="H77" s="3"/>
      <c r="I77" s="3"/>
      <c r="J77" s="9"/>
      <c r="K77" s="9"/>
      <c r="L77" s="3"/>
      <c r="M77" s="3"/>
      <c r="N77" s="3"/>
      <c r="O77" s="3"/>
      <c r="P77" s="3"/>
      <c r="Q77" s="3"/>
      <c r="R77" s="3"/>
    </row>
    <row r="78" ht="22" customHeight="1">
      <c r="A78" s="3"/>
      <c r="B78" s="9"/>
      <c r="C78" s="9"/>
      <c r="D78" s="9"/>
      <c r="E78" s="3"/>
      <c r="F78" s="3"/>
      <c r="G78" s="3"/>
      <c r="H78" s="3"/>
      <c r="I78" s="3"/>
      <c r="J78" s="9"/>
      <c r="K78" s="9"/>
      <c r="L78" s="3"/>
      <c r="M78" s="3"/>
      <c r="N78" s="3"/>
      <c r="O78" s="3"/>
      <c r="P78" s="3"/>
      <c r="Q78" s="3"/>
      <c r="R78" s="3"/>
    </row>
    <row r="79" ht="22" customHeight="1">
      <c r="A79" s="3"/>
      <c r="B79" s="9"/>
      <c r="C79" s="9"/>
      <c r="D79" s="9"/>
      <c r="E79" s="3"/>
      <c r="F79" s="3"/>
      <c r="G79" s="3"/>
      <c r="H79" s="3"/>
      <c r="I79" s="3"/>
      <c r="J79" s="9"/>
      <c r="K79" s="9"/>
      <c r="L79" s="3"/>
      <c r="M79" s="3"/>
      <c r="N79" s="3"/>
      <c r="O79" s="3"/>
      <c r="P79" s="3"/>
      <c r="Q79" s="3"/>
      <c r="R79" s="3"/>
    </row>
    <row r="80" ht="22" customHeight="1">
      <c r="A80" s="3"/>
      <c r="B80" s="9"/>
      <c r="C80" s="9"/>
      <c r="D80" s="9"/>
      <c r="E80" s="3"/>
      <c r="F80" s="3"/>
      <c r="G80" s="3"/>
      <c r="H80" s="3"/>
      <c r="I80" s="3"/>
      <c r="J80" s="9"/>
      <c r="K80" s="9"/>
      <c r="L80" s="3"/>
      <c r="M80" s="3"/>
      <c r="N80" s="3"/>
      <c r="O80" s="3"/>
      <c r="P80" s="3"/>
      <c r="Q80" s="3"/>
      <c r="R80" s="3"/>
    </row>
    <row r="81">
      <c r="B81" s="26"/>
      <c r="C81" s="26"/>
      <c r="D81" s="26"/>
      <c r="J81" s="26"/>
      <c r="K81" s="26"/>
    </row>
    <row r="82">
      <c r="B82" s="26"/>
      <c r="C82" s="26"/>
      <c r="D82" s="26"/>
      <c r="J82" s="26"/>
      <c r="K82" s="26"/>
    </row>
    <row r="83">
      <c r="B83" s="26"/>
      <c r="C83" s="26"/>
      <c r="D83" s="26"/>
      <c r="J83" s="26"/>
      <c r="K83" s="26"/>
    </row>
    <row r="84">
      <c r="B84" s="26"/>
      <c r="C84" s="26"/>
      <c r="D84" s="26"/>
      <c r="J84" s="26"/>
      <c r="K84" s="26"/>
    </row>
    <row r="85">
      <c r="B85" s="26"/>
      <c r="C85" s="26"/>
      <c r="D85" s="26"/>
      <c r="J85" s="26"/>
      <c r="K85" s="26"/>
    </row>
    <row r="86">
      <c r="B86" s="26"/>
      <c r="C86" s="26"/>
      <c r="D86" s="26"/>
      <c r="J86" s="26"/>
      <c r="K86" s="26"/>
    </row>
    <row r="87">
      <c r="B87" s="26"/>
      <c r="C87" s="26"/>
      <c r="D87" s="26"/>
      <c r="J87" s="26"/>
      <c r="K87" s="26"/>
    </row>
    <row r="88">
      <c r="B88" s="26"/>
      <c r="C88" s="26"/>
      <c r="D88" s="26"/>
      <c r="J88" s="26"/>
      <c r="K88" s="26"/>
    </row>
    <row r="89">
      <c r="B89" s="26"/>
      <c r="C89" s="26"/>
      <c r="D89" s="26"/>
      <c r="J89" s="26"/>
      <c r="K89" s="26"/>
    </row>
    <row r="90">
      <c r="B90" s="26"/>
      <c r="C90" s="26"/>
      <c r="D90" s="26"/>
      <c r="J90" s="26"/>
      <c r="K90" s="26"/>
    </row>
    <row r="91">
      <c r="B91" s="26"/>
      <c r="C91" s="26"/>
      <c r="D91" s="26"/>
      <c r="J91" s="26"/>
      <c r="K91" s="26"/>
    </row>
    <row r="92">
      <c r="B92" s="26"/>
      <c r="C92" s="26"/>
      <c r="D92" s="26"/>
      <c r="J92" s="26"/>
      <c r="K92" s="26"/>
    </row>
    <row r="93">
      <c r="B93" s="26"/>
      <c r="C93" s="26"/>
      <c r="D93" s="26"/>
      <c r="J93" s="26"/>
      <c r="K93" s="26"/>
    </row>
    <row r="94">
      <c r="B94" s="26"/>
      <c r="C94" s="26"/>
      <c r="D94" s="26"/>
      <c r="J94" s="26"/>
      <c r="K94" s="26"/>
    </row>
    <row r="95">
      <c r="B95" s="26"/>
      <c r="C95" s="26"/>
      <c r="D95" s="26"/>
      <c r="J95" s="26"/>
      <c r="K95" s="26"/>
    </row>
    <row r="96">
      <c r="B96" s="26"/>
      <c r="C96" s="26"/>
      <c r="D96" s="26"/>
      <c r="J96" s="26"/>
      <c r="K96" s="26"/>
    </row>
    <row r="97">
      <c r="B97" s="26"/>
      <c r="C97" s="26"/>
      <c r="D97" s="26"/>
      <c r="J97" s="26"/>
      <c r="K97" s="26"/>
    </row>
    <row r="98">
      <c r="B98" s="26"/>
      <c r="C98" s="26"/>
      <c r="D98" s="26"/>
      <c r="J98" s="26"/>
      <c r="K98" s="26"/>
    </row>
    <row r="99">
      <c r="B99" s="26"/>
      <c r="C99" s="26"/>
      <c r="D99" s="26"/>
      <c r="J99" s="26"/>
      <c r="K99" s="26"/>
    </row>
    <row r="100">
      <c r="B100" s="26"/>
      <c r="C100" s="26"/>
      <c r="D100" s="26"/>
      <c r="J100" s="26"/>
      <c r="K100" s="26"/>
    </row>
    <row r="101">
      <c r="B101" s="26"/>
      <c r="C101" s="26"/>
      <c r="D101" s="26"/>
      <c r="J101" s="26"/>
      <c r="K101" s="26"/>
    </row>
    <row r="102">
      <c r="B102" s="26"/>
      <c r="C102" s="26"/>
      <c r="D102" s="26"/>
      <c r="J102" s="26"/>
      <c r="K102" s="26"/>
    </row>
    <row r="103">
      <c r="B103" s="26"/>
      <c r="C103" s="26"/>
      <c r="D103" s="26"/>
      <c r="J103" s="26"/>
      <c r="K103" s="26"/>
    </row>
    <row r="104">
      <c r="B104" s="26"/>
      <c r="C104" s="26"/>
      <c r="D104" s="26"/>
      <c r="J104" s="26"/>
      <c r="K104" s="26"/>
    </row>
    <row r="105">
      <c r="B105" s="26"/>
      <c r="C105" s="26"/>
      <c r="D105" s="26"/>
      <c r="J105" s="26"/>
      <c r="K105" s="26"/>
    </row>
    <row r="106">
      <c r="B106" s="26"/>
      <c r="C106" s="26"/>
      <c r="D106" s="26"/>
      <c r="J106" s="26"/>
      <c r="K106" s="26"/>
    </row>
    <row r="107">
      <c r="B107" s="26"/>
      <c r="C107" s="26"/>
      <c r="D107" s="26"/>
      <c r="J107" s="26"/>
      <c r="K107" s="26"/>
    </row>
    <row r="108">
      <c r="B108" s="26"/>
      <c r="C108" s="26"/>
      <c r="D108" s="26"/>
      <c r="J108" s="26"/>
      <c r="K108" s="26"/>
    </row>
    <row r="109">
      <c r="B109" s="26"/>
      <c r="C109" s="26"/>
      <c r="D109" s="26"/>
      <c r="J109" s="26"/>
      <c r="K109" s="26"/>
    </row>
    <row r="110">
      <c r="B110" s="26"/>
      <c r="C110" s="26"/>
      <c r="D110" s="26"/>
      <c r="J110" s="26"/>
      <c r="K110" s="26"/>
    </row>
    <row r="111">
      <c r="B111" s="26"/>
      <c r="C111" s="26"/>
      <c r="D111" s="26"/>
      <c r="J111" s="26"/>
      <c r="K111" s="26"/>
    </row>
    <row r="112">
      <c r="B112" s="26"/>
      <c r="C112" s="26"/>
      <c r="D112" s="26"/>
      <c r="J112" s="26"/>
      <c r="K112" s="26"/>
    </row>
    <row r="113">
      <c r="B113" s="26"/>
      <c r="C113" s="26"/>
      <c r="D113" s="26"/>
      <c r="J113" s="26"/>
      <c r="K113" s="26"/>
    </row>
    <row r="114">
      <c r="B114" s="26"/>
      <c r="C114" s="26"/>
      <c r="D114" s="26"/>
      <c r="J114" s="26"/>
      <c r="K114" s="26"/>
    </row>
    <row r="115">
      <c r="B115" s="26"/>
      <c r="C115" s="26"/>
      <c r="D115" s="26"/>
      <c r="J115" s="26"/>
      <c r="K115" s="26"/>
    </row>
    <row r="116">
      <c r="B116" s="26"/>
      <c r="C116" s="26"/>
      <c r="D116" s="26"/>
      <c r="J116" s="26"/>
      <c r="K116" s="26"/>
    </row>
    <row r="117">
      <c r="B117" s="26"/>
      <c r="C117" s="26"/>
      <c r="D117" s="26"/>
      <c r="J117" s="26"/>
      <c r="K117" s="26"/>
    </row>
    <row r="118">
      <c r="B118" s="26"/>
      <c r="C118" s="26"/>
      <c r="D118" s="26"/>
      <c r="J118" s="26"/>
      <c r="K118" s="26"/>
    </row>
    <row r="119">
      <c r="B119" s="26"/>
      <c r="C119" s="26"/>
      <c r="D119" s="26"/>
      <c r="J119" s="26"/>
      <c r="K119" s="26"/>
    </row>
    <row r="120">
      <c r="B120" s="26"/>
      <c r="C120" s="26"/>
      <c r="D120" s="26"/>
      <c r="J120" s="26"/>
      <c r="K120" s="26"/>
    </row>
    <row r="121">
      <c r="B121" s="26"/>
      <c r="C121" s="26"/>
      <c r="D121" s="26"/>
      <c r="J121" s="26"/>
      <c r="K121" s="26"/>
    </row>
    <row r="122">
      <c r="B122" s="26"/>
      <c r="C122" s="26"/>
      <c r="D122" s="26"/>
      <c r="J122" s="26"/>
      <c r="K122" s="26"/>
    </row>
    <row r="123">
      <c r="B123" s="26"/>
      <c r="C123" s="26"/>
      <c r="D123" s="26"/>
      <c r="J123" s="26"/>
      <c r="K123" s="26"/>
    </row>
    <row r="124">
      <c r="B124" s="26"/>
      <c r="C124" s="26"/>
      <c r="D124" s="26"/>
      <c r="J124" s="26"/>
      <c r="K124" s="26"/>
    </row>
    <row r="125">
      <c r="B125" s="26"/>
      <c r="C125" s="26"/>
      <c r="D125" s="26"/>
      <c r="J125" s="26"/>
      <c r="K125" s="26"/>
    </row>
    <row r="126">
      <c r="B126" s="26"/>
      <c r="C126" s="26"/>
      <c r="D126" s="26"/>
      <c r="J126" s="26"/>
      <c r="K126" s="26"/>
    </row>
    <row r="127">
      <c r="B127" s="26"/>
      <c r="C127" s="26"/>
      <c r="D127" s="26"/>
      <c r="J127" s="26"/>
      <c r="K127" s="26"/>
    </row>
    <row r="128">
      <c r="B128" s="26"/>
      <c r="C128" s="26"/>
      <c r="D128" s="26"/>
      <c r="J128" s="26"/>
      <c r="K128" s="26"/>
    </row>
    <row r="129">
      <c r="B129" s="26"/>
      <c r="C129" s="26"/>
      <c r="D129" s="26"/>
      <c r="J129" s="26"/>
      <c r="K129" s="26"/>
    </row>
    <row r="130">
      <c r="B130" s="26"/>
      <c r="C130" s="26"/>
      <c r="D130" s="26"/>
      <c r="J130" s="26"/>
      <c r="K130" s="26"/>
    </row>
    <row r="131">
      <c r="B131" s="26"/>
      <c r="C131" s="26"/>
      <c r="D131" s="26"/>
      <c r="J131" s="26"/>
      <c r="K131" s="26"/>
    </row>
    <row r="132">
      <c r="B132" s="26"/>
      <c r="C132" s="26"/>
      <c r="D132" s="26"/>
      <c r="J132" s="26"/>
      <c r="K132" s="26"/>
    </row>
    <row r="133">
      <c r="B133" s="26"/>
      <c r="C133" s="26"/>
      <c r="D133" s="26"/>
      <c r="J133" s="26"/>
      <c r="K133" s="26"/>
    </row>
    <row r="134">
      <c r="B134" s="26"/>
      <c r="C134" s="26"/>
      <c r="D134" s="26"/>
      <c r="J134" s="26"/>
      <c r="K134" s="26"/>
    </row>
    <row r="135">
      <c r="B135" s="26"/>
      <c r="C135" s="26"/>
      <c r="D135" s="26"/>
      <c r="J135" s="26"/>
      <c r="K135" s="26"/>
    </row>
    <row r="136">
      <c r="B136" s="26"/>
      <c r="C136" s="26"/>
      <c r="D136" s="26"/>
      <c r="J136" s="26"/>
      <c r="K136" s="26"/>
    </row>
    <row r="137">
      <c r="B137" s="26"/>
      <c r="C137" s="26"/>
      <c r="D137" s="26"/>
      <c r="J137" s="26"/>
      <c r="K137" s="26"/>
    </row>
    <row r="138">
      <c r="B138" s="26"/>
      <c r="C138" s="26"/>
      <c r="D138" s="26"/>
      <c r="J138" s="26"/>
      <c r="K138" s="26"/>
    </row>
    <row r="139">
      <c r="B139" s="26"/>
      <c r="C139" s="26"/>
      <c r="D139" s="26"/>
      <c r="J139" s="26"/>
      <c r="K139" s="26"/>
    </row>
    <row r="140">
      <c r="B140" s="26"/>
      <c r="C140" s="26"/>
      <c r="D140" s="26"/>
      <c r="J140" s="26"/>
      <c r="K140" s="26"/>
    </row>
    <row r="141">
      <c r="B141" s="26"/>
      <c r="C141" s="26"/>
      <c r="D141" s="26"/>
      <c r="J141" s="26"/>
      <c r="K141" s="26"/>
    </row>
    <row r="142">
      <c r="B142" s="26"/>
      <c r="C142" s="26"/>
      <c r="D142" s="26"/>
      <c r="J142" s="26"/>
      <c r="K142" s="26"/>
    </row>
    <row r="143">
      <c r="B143" s="26"/>
      <c r="C143" s="26"/>
      <c r="D143" s="26"/>
      <c r="J143" s="26"/>
      <c r="K143" s="26"/>
    </row>
    <row r="144">
      <c r="B144" s="26"/>
      <c r="C144" s="26"/>
      <c r="D144" s="26"/>
      <c r="J144" s="26"/>
      <c r="K144" s="26"/>
    </row>
    <row r="145">
      <c r="B145" s="26"/>
      <c r="C145" s="26"/>
      <c r="D145" s="26"/>
      <c r="J145" s="26"/>
      <c r="K145" s="26"/>
    </row>
    <row r="146">
      <c r="B146" s="26"/>
      <c r="C146" s="26"/>
      <c r="D146" s="26"/>
      <c r="J146" s="26"/>
      <c r="K146" s="26"/>
    </row>
    <row r="147">
      <c r="B147" s="26"/>
      <c r="C147" s="26"/>
      <c r="D147" s="26"/>
      <c r="J147" s="26"/>
      <c r="K147" s="26"/>
    </row>
    <row r="148">
      <c r="B148" s="26"/>
      <c r="C148" s="26"/>
      <c r="D148" s="26"/>
      <c r="J148" s="26"/>
      <c r="K148" s="26"/>
    </row>
    <row r="149">
      <c r="B149" s="26"/>
      <c r="C149" s="26"/>
      <c r="D149" s="26"/>
      <c r="J149" s="26"/>
      <c r="K149" s="26"/>
    </row>
    <row r="150">
      <c r="B150" s="26"/>
      <c r="C150" s="26"/>
      <c r="D150" s="26"/>
      <c r="J150" s="26"/>
      <c r="K150" s="26"/>
    </row>
    <row r="151">
      <c r="B151" s="26"/>
      <c r="C151" s="26"/>
      <c r="D151" s="26"/>
      <c r="J151" s="26"/>
      <c r="K151" s="26"/>
    </row>
    <row r="152">
      <c r="B152" s="26"/>
      <c r="C152" s="26"/>
      <c r="D152" s="26"/>
      <c r="J152" s="26"/>
      <c r="K152" s="26"/>
    </row>
    <row r="153">
      <c r="B153" s="26"/>
      <c r="C153" s="26"/>
      <c r="D153" s="26"/>
      <c r="J153" s="26"/>
      <c r="K153" s="26"/>
    </row>
    <row r="154">
      <c r="B154" s="26"/>
      <c r="C154" s="26"/>
      <c r="D154" s="26"/>
      <c r="J154" s="26"/>
      <c r="K154" s="26"/>
    </row>
    <row r="155">
      <c r="B155" s="26"/>
      <c r="C155" s="26"/>
      <c r="D155" s="26"/>
      <c r="J155" s="26"/>
      <c r="K155" s="26"/>
    </row>
    <row r="156">
      <c r="B156" s="26"/>
      <c r="C156" s="26"/>
      <c r="D156" s="26"/>
      <c r="J156" s="26"/>
      <c r="K156" s="26"/>
    </row>
    <row r="157">
      <c r="B157" s="26"/>
      <c r="C157" s="26"/>
      <c r="D157" s="26"/>
      <c r="J157" s="26"/>
      <c r="K157" s="26"/>
    </row>
    <row r="158">
      <c r="B158" s="26"/>
      <c r="C158" s="26"/>
      <c r="D158" s="26"/>
      <c r="J158" s="26"/>
      <c r="K158" s="26"/>
    </row>
    <row r="159">
      <c r="B159" s="26"/>
      <c r="C159" s="26"/>
      <c r="D159" s="26"/>
      <c r="J159" s="26"/>
      <c r="K159" s="26"/>
    </row>
    <row r="160">
      <c r="B160" s="26"/>
      <c r="C160" s="26"/>
      <c r="D160" s="26"/>
      <c r="J160" s="26"/>
      <c r="K160" s="26"/>
    </row>
    <row r="161">
      <c r="B161" s="26"/>
      <c r="C161" s="26"/>
      <c r="D161" s="26"/>
      <c r="J161" s="26"/>
      <c r="K161" s="26"/>
    </row>
    <row r="162">
      <c r="B162" s="26"/>
      <c r="C162" s="26"/>
      <c r="D162" s="26"/>
      <c r="J162" s="26"/>
      <c r="K162" s="26"/>
    </row>
    <row r="163">
      <c r="B163" s="26"/>
      <c r="C163" s="26"/>
      <c r="D163" s="26"/>
      <c r="J163" s="26"/>
      <c r="K163" s="26"/>
    </row>
    <row r="164">
      <c r="B164" s="26"/>
      <c r="C164" s="26"/>
      <c r="D164" s="26"/>
      <c r="J164" s="26"/>
      <c r="K164" s="26"/>
    </row>
    <row r="165">
      <c r="B165" s="26"/>
      <c r="C165" s="26"/>
      <c r="D165" s="26"/>
      <c r="J165" s="26"/>
      <c r="K165" s="26"/>
    </row>
    <row r="166">
      <c r="B166" s="26"/>
      <c r="C166" s="26"/>
      <c r="D166" s="26"/>
      <c r="J166" s="26"/>
      <c r="K166" s="26"/>
    </row>
    <row r="167">
      <c r="B167" s="26"/>
      <c r="C167" s="26"/>
      <c r="D167" s="26"/>
      <c r="J167" s="26"/>
      <c r="K167" s="26"/>
    </row>
    <row r="168">
      <c r="B168" s="26"/>
      <c r="C168" s="26"/>
      <c r="D168" s="26"/>
      <c r="J168" s="26"/>
      <c r="K168" s="26"/>
    </row>
    <row r="169">
      <c r="B169" s="26"/>
      <c r="C169" s="26"/>
      <c r="D169" s="26"/>
      <c r="J169" s="26"/>
      <c r="K169" s="26"/>
    </row>
    <row r="170">
      <c r="B170" s="26"/>
      <c r="C170" s="26"/>
      <c r="D170" s="26"/>
      <c r="J170" s="26"/>
      <c r="K170" s="26"/>
    </row>
    <row r="171">
      <c r="B171" s="26"/>
      <c r="C171" s="26"/>
      <c r="D171" s="26"/>
      <c r="J171" s="26"/>
      <c r="K171" s="26"/>
    </row>
    <row r="172">
      <c r="B172" s="26"/>
      <c r="C172" s="26"/>
      <c r="D172" s="26"/>
      <c r="J172" s="26"/>
      <c r="K172" s="26"/>
    </row>
    <row r="173">
      <c r="B173" s="26"/>
      <c r="C173" s="26"/>
      <c r="D173" s="26"/>
      <c r="J173" s="26"/>
      <c r="K173" s="26"/>
    </row>
    <row r="174">
      <c r="B174" s="26"/>
      <c r="C174" s="26"/>
      <c r="D174" s="26"/>
      <c r="J174" s="26"/>
      <c r="K174" s="26"/>
    </row>
    <row r="175">
      <c r="B175" s="26"/>
      <c r="C175" s="26"/>
      <c r="D175" s="26"/>
      <c r="J175" s="26"/>
      <c r="K175" s="26"/>
    </row>
    <row r="176">
      <c r="B176" s="26"/>
      <c r="C176" s="26"/>
      <c r="D176" s="26"/>
      <c r="J176" s="26"/>
      <c r="K176" s="26"/>
    </row>
    <row r="177">
      <c r="B177" s="26"/>
      <c r="C177" s="26"/>
      <c r="D177" s="26"/>
      <c r="J177" s="26"/>
      <c r="K177" s="26"/>
    </row>
    <row r="178">
      <c r="B178" s="26"/>
      <c r="C178" s="26"/>
      <c r="D178" s="26"/>
      <c r="J178" s="26"/>
      <c r="K178" s="26"/>
    </row>
    <row r="179">
      <c r="B179" s="26"/>
      <c r="C179" s="26"/>
      <c r="D179" s="26"/>
      <c r="J179" s="26"/>
      <c r="K179" s="26"/>
    </row>
    <row r="180">
      <c r="B180" s="26"/>
      <c r="C180" s="26"/>
      <c r="D180" s="26"/>
      <c r="J180" s="26"/>
      <c r="K180" s="26"/>
    </row>
    <row r="181">
      <c r="B181" s="26"/>
      <c r="C181" s="26"/>
      <c r="D181" s="26"/>
      <c r="J181" s="26"/>
      <c r="K181" s="26"/>
    </row>
    <row r="182">
      <c r="B182" s="26"/>
      <c r="C182" s="26"/>
      <c r="D182" s="26"/>
      <c r="J182" s="26"/>
      <c r="K182" s="26"/>
    </row>
    <row r="183">
      <c r="B183" s="26"/>
      <c r="C183" s="26"/>
      <c r="D183" s="26"/>
      <c r="J183" s="26"/>
      <c r="K183" s="26"/>
    </row>
    <row r="184">
      <c r="B184" s="26"/>
      <c r="C184" s="26"/>
      <c r="D184" s="26"/>
      <c r="J184" s="26"/>
      <c r="K184" s="26"/>
    </row>
    <row r="185">
      <c r="B185" s="26"/>
      <c r="C185" s="26"/>
      <c r="D185" s="26"/>
      <c r="J185" s="26"/>
      <c r="K185" s="26"/>
    </row>
    <row r="186">
      <c r="B186" s="26"/>
      <c r="C186" s="26"/>
      <c r="D186" s="26"/>
      <c r="J186" s="26"/>
      <c r="K186" s="26"/>
    </row>
    <row r="187">
      <c r="B187" s="26"/>
      <c r="C187" s="26"/>
      <c r="D187" s="26"/>
      <c r="J187" s="26"/>
      <c r="K187" s="26"/>
    </row>
    <row r="188">
      <c r="B188" s="26"/>
      <c r="C188" s="26"/>
      <c r="D188" s="26"/>
      <c r="J188" s="26"/>
      <c r="K188" s="26"/>
    </row>
    <row r="189">
      <c r="B189" s="26"/>
      <c r="C189" s="26"/>
      <c r="D189" s="26"/>
      <c r="J189" s="26"/>
      <c r="K189" s="26"/>
    </row>
    <row r="190">
      <c r="B190" s="26"/>
      <c r="C190" s="26"/>
      <c r="D190" s="26"/>
      <c r="J190" s="26"/>
      <c r="K190" s="26"/>
    </row>
    <row r="191">
      <c r="B191" s="26"/>
      <c r="C191" s="26"/>
      <c r="D191" s="26"/>
      <c r="J191" s="26"/>
      <c r="K191" s="26"/>
    </row>
    <row r="192">
      <c r="B192" s="26"/>
      <c r="C192" s="26"/>
      <c r="D192" s="26"/>
      <c r="J192" s="26"/>
      <c r="K192" s="26"/>
    </row>
    <row r="193">
      <c r="B193" s="26"/>
      <c r="C193" s="26"/>
      <c r="D193" s="26"/>
      <c r="J193" s="26"/>
      <c r="K193" s="26"/>
    </row>
    <row r="194">
      <c r="B194" s="26"/>
      <c r="C194" s="26"/>
      <c r="D194" s="26"/>
      <c r="J194" s="26"/>
      <c r="K194" s="26"/>
    </row>
    <row r="195">
      <c r="B195" s="26"/>
      <c r="C195" s="26"/>
      <c r="D195" s="26"/>
      <c r="J195" s="26"/>
      <c r="K195" s="26"/>
    </row>
    <row r="196">
      <c r="B196" s="26"/>
      <c r="C196" s="26"/>
      <c r="D196" s="26"/>
      <c r="J196" s="26"/>
      <c r="K196" s="26"/>
    </row>
    <row r="197">
      <c r="B197" s="26"/>
      <c r="C197" s="26"/>
      <c r="D197" s="26"/>
      <c r="J197" s="26"/>
      <c r="K197" s="26"/>
    </row>
    <row r="198">
      <c r="B198" s="26"/>
      <c r="C198" s="26"/>
      <c r="D198" s="26"/>
      <c r="J198" s="26"/>
      <c r="K198" s="26"/>
    </row>
    <row r="199">
      <c r="B199" s="26"/>
      <c r="C199" s="26"/>
      <c r="D199" s="26"/>
      <c r="J199" s="26"/>
      <c r="K199" s="26"/>
    </row>
    <row r="200">
      <c r="B200" s="26"/>
      <c r="C200" s="26"/>
      <c r="D200" s="26"/>
      <c r="J200" s="26"/>
      <c r="K200" s="26"/>
    </row>
    <row r="201">
      <c r="B201" s="26"/>
      <c r="C201" s="26"/>
      <c r="D201" s="26"/>
      <c r="J201" s="26"/>
      <c r="K201" s="26"/>
    </row>
    <row r="202">
      <c r="B202" s="26"/>
      <c r="C202" s="26"/>
      <c r="D202" s="26"/>
      <c r="J202" s="26"/>
      <c r="K202" s="26"/>
    </row>
    <row r="203">
      <c r="B203" s="26"/>
      <c r="C203" s="26"/>
      <c r="D203" s="26"/>
      <c r="J203" s="26"/>
      <c r="K203" s="26"/>
    </row>
    <row r="204">
      <c r="B204" s="26"/>
      <c r="C204" s="26"/>
      <c r="D204" s="26"/>
      <c r="J204" s="26"/>
      <c r="K204" s="26"/>
    </row>
    <row r="205">
      <c r="B205" s="26"/>
      <c r="C205" s="26"/>
      <c r="D205" s="26"/>
      <c r="J205" s="26"/>
      <c r="K205" s="26"/>
    </row>
    <row r="206">
      <c r="B206" s="26"/>
      <c r="C206" s="26"/>
      <c r="D206" s="26"/>
      <c r="J206" s="26"/>
      <c r="K206" s="26"/>
    </row>
    <row r="207">
      <c r="B207" s="26"/>
      <c r="C207" s="26"/>
      <c r="D207" s="26"/>
      <c r="J207" s="26"/>
      <c r="K207" s="26"/>
    </row>
    <row r="208">
      <c r="B208" s="26"/>
      <c r="C208" s="26"/>
      <c r="D208" s="26"/>
      <c r="J208" s="26"/>
      <c r="K208" s="26"/>
    </row>
    <row r="209">
      <c r="B209" s="26"/>
      <c r="C209" s="26"/>
      <c r="D209" s="26"/>
      <c r="J209" s="26"/>
      <c r="K209" s="26"/>
    </row>
    <row r="210">
      <c r="B210" s="26"/>
      <c r="C210" s="26"/>
      <c r="D210" s="26"/>
      <c r="J210" s="26"/>
      <c r="K210" s="26"/>
    </row>
    <row r="211">
      <c r="B211" s="26"/>
      <c r="C211" s="26"/>
      <c r="D211" s="26"/>
      <c r="J211" s="26"/>
      <c r="K211" s="26"/>
    </row>
    <row r="212">
      <c r="B212" s="26"/>
      <c r="C212" s="26"/>
      <c r="D212" s="26"/>
      <c r="J212" s="26"/>
      <c r="K212" s="26"/>
    </row>
    <row r="213">
      <c r="B213" s="26"/>
      <c r="C213" s="26"/>
      <c r="D213" s="26"/>
      <c r="J213" s="26"/>
      <c r="K213" s="26"/>
    </row>
    <row r="214">
      <c r="B214" s="26"/>
      <c r="C214" s="26"/>
      <c r="D214" s="26"/>
      <c r="J214" s="26"/>
      <c r="K214" s="26"/>
    </row>
    <row r="215">
      <c r="B215" s="26"/>
      <c r="C215" s="26"/>
      <c r="D215" s="26"/>
      <c r="J215" s="26"/>
      <c r="K215" s="26"/>
    </row>
    <row r="216">
      <c r="B216" s="26"/>
      <c r="C216" s="26"/>
      <c r="D216" s="26"/>
      <c r="J216" s="26"/>
      <c r="K216" s="26"/>
    </row>
    <row r="217">
      <c r="B217" s="26"/>
      <c r="C217" s="26"/>
      <c r="D217" s="26"/>
      <c r="J217" s="26"/>
      <c r="K217" s="26"/>
    </row>
    <row r="218">
      <c r="B218" s="26"/>
      <c r="C218" s="26"/>
      <c r="D218" s="26"/>
      <c r="J218" s="26"/>
      <c r="K218" s="26"/>
    </row>
    <row r="219">
      <c r="B219" s="26"/>
      <c r="C219" s="26"/>
      <c r="D219" s="26"/>
      <c r="J219" s="26"/>
      <c r="K219" s="26"/>
    </row>
    <row r="220">
      <c r="B220" s="26"/>
      <c r="C220" s="26"/>
      <c r="D220" s="26"/>
      <c r="J220" s="26"/>
      <c r="K220" s="26"/>
    </row>
    <row r="221">
      <c r="B221" s="26"/>
      <c r="C221" s="26"/>
      <c r="D221" s="26"/>
      <c r="J221" s="26"/>
      <c r="K221" s="26"/>
    </row>
    <row r="222">
      <c r="B222" s="26"/>
      <c r="C222" s="26"/>
      <c r="D222" s="26"/>
      <c r="J222" s="26"/>
      <c r="K222" s="26"/>
    </row>
    <row r="223">
      <c r="B223" s="26"/>
      <c r="C223" s="26"/>
      <c r="D223" s="26"/>
      <c r="J223" s="26"/>
      <c r="K223" s="26"/>
    </row>
    <row r="224">
      <c r="B224" s="26"/>
      <c r="C224" s="26"/>
      <c r="D224" s="26"/>
      <c r="J224" s="26"/>
      <c r="K224" s="26"/>
    </row>
    <row r="225">
      <c r="B225" s="26"/>
      <c r="C225" s="26"/>
      <c r="D225" s="26"/>
      <c r="J225" s="26"/>
      <c r="K225" s="26"/>
    </row>
    <row r="226">
      <c r="B226" s="26"/>
      <c r="C226" s="26"/>
      <c r="D226" s="26"/>
      <c r="J226" s="26"/>
      <c r="K226" s="26"/>
    </row>
    <row r="227">
      <c r="B227" s="26"/>
      <c r="C227" s="26"/>
      <c r="D227" s="26"/>
      <c r="J227" s="26"/>
      <c r="K227" s="26"/>
    </row>
    <row r="228">
      <c r="B228" s="26"/>
      <c r="C228" s="26"/>
      <c r="D228" s="26"/>
      <c r="J228" s="26"/>
      <c r="K228" s="26"/>
    </row>
    <row r="229">
      <c r="B229" s="26"/>
      <c r="C229" s="26"/>
      <c r="D229" s="26"/>
      <c r="J229" s="26"/>
      <c r="K229" s="26"/>
    </row>
    <row r="230">
      <c r="B230" s="26"/>
      <c r="C230" s="26"/>
      <c r="D230" s="26"/>
      <c r="J230" s="26"/>
      <c r="K230" s="26"/>
    </row>
    <row r="231">
      <c r="B231" s="26"/>
      <c r="C231" s="26"/>
      <c r="D231" s="26"/>
      <c r="J231" s="26"/>
      <c r="K231" s="26"/>
    </row>
    <row r="232">
      <c r="B232" s="26"/>
      <c r="C232" s="26"/>
      <c r="D232" s="26"/>
      <c r="J232" s="26"/>
      <c r="K232" s="26"/>
    </row>
    <row r="233">
      <c r="B233" s="26"/>
      <c r="C233" s="26"/>
      <c r="D233" s="26"/>
      <c r="J233" s="26"/>
      <c r="K233" s="26"/>
    </row>
    <row r="234">
      <c r="B234" s="26"/>
      <c r="C234" s="26"/>
      <c r="D234" s="26"/>
      <c r="J234" s="26"/>
      <c r="K234" s="26"/>
    </row>
    <row r="235">
      <c r="B235" s="26"/>
      <c r="C235" s="26"/>
      <c r="D235" s="26"/>
      <c r="J235" s="26"/>
      <c r="K235" s="26"/>
    </row>
    <row r="236">
      <c r="B236" s="26"/>
      <c r="C236" s="26"/>
      <c r="D236" s="26"/>
      <c r="J236" s="26"/>
      <c r="K236" s="26"/>
    </row>
    <row r="237">
      <c r="B237" s="26"/>
      <c r="C237" s="26"/>
      <c r="D237" s="26"/>
      <c r="J237" s="26"/>
      <c r="K237" s="26"/>
    </row>
    <row r="238">
      <c r="B238" s="26"/>
      <c r="C238" s="26"/>
      <c r="D238" s="26"/>
      <c r="J238" s="26"/>
      <c r="K238" s="26"/>
    </row>
    <row r="239">
      <c r="B239" s="26"/>
      <c r="C239" s="26"/>
      <c r="D239" s="26"/>
      <c r="J239" s="26"/>
      <c r="K239" s="26"/>
    </row>
    <row r="240">
      <c r="B240" s="26"/>
      <c r="C240" s="26"/>
      <c r="D240" s="26"/>
      <c r="J240" s="26"/>
      <c r="K240" s="26"/>
    </row>
    <row r="241">
      <c r="B241" s="26"/>
      <c r="C241" s="26"/>
      <c r="D241" s="26"/>
      <c r="J241" s="26"/>
      <c r="K241" s="26"/>
    </row>
    <row r="242">
      <c r="B242" s="26"/>
      <c r="C242" s="26"/>
      <c r="D242" s="26"/>
      <c r="J242" s="26"/>
      <c r="K242" s="26"/>
    </row>
    <row r="243">
      <c r="B243" s="26"/>
      <c r="C243" s="26"/>
      <c r="D243" s="26"/>
      <c r="J243" s="26"/>
      <c r="K243" s="26"/>
    </row>
    <row r="244">
      <c r="B244" s="26"/>
      <c r="C244" s="26"/>
      <c r="D244" s="26"/>
      <c r="J244" s="26"/>
      <c r="K244" s="26"/>
    </row>
    <row r="245">
      <c r="B245" s="26"/>
      <c r="C245" s="26"/>
      <c r="D245" s="26"/>
      <c r="J245" s="26"/>
      <c r="K245" s="26"/>
    </row>
    <row r="246">
      <c r="B246" s="26"/>
      <c r="C246" s="26"/>
      <c r="D246" s="26"/>
      <c r="J246" s="26"/>
      <c r="K246" s="26"/>
    </row>
    <row r="247">
      <c r="B247" s="26"/>
      <c r="C247" s="26"/>
      <c r="D247" s="26"/>
      <c r="J247" s="26"/>
      <c r="K247" s="26"/>
    </row>
    <row r="248">
      <c r="B248" s="26"/>
      <c r="C248" s="26"/>
      <c r="D248" s="26"/>
      <c r="J248" s="26"/>
      <c r="K248" s="26"/>
    </row>
    <row r="249">
      <c r="B249" s="26"/>
      <c r="C249" s="26"/>
      <c r="D249" s="26"/>
      <c r="J249" s="26"/>
      <c r="K249" s="26"/>
    </row>
    <row r="250">
      <c r="B250" s="26"/>
      <c r="C250" s="26"/>
      <c r="D250" s="26"/>
      <c r="J250" s="26"/>
      <c r="K250" s="26"/>
    </row>
    <row r="251">
      <c r="B251" s="26"/>
      <c r="C251" s="26"/>
      <c r="D251" s="26"/>
      <c r="J251" s="26"/>
      <c r="K251" s="26"/>
    </row>
    <row r="252">
      <c r="B252" s="26"/>
      <c r="C252" s="26"/>
      <c r="D252" s="26"/>
      <c r="J252" s="26"/>
      <c r="K252" s="26"/>
    </row>
    <row r="253">
      <c r="B253" s="26"/>
      <c r="C253" s="26"/>
      <c r="D253" s="26"/>
      <c r="J253" s="26"/>
      <c r="K253" s="26"/>
    </row>
    <row r="254">
      <c r="B254" s="26"/>
      <c r="C254" s="26"/>
      <c r="D254" s="26"/>
      <c r="J254" s="26"/>
      <c r="K254" s="26"/>
    </row>
    <row r="255">
      <c r="B255" s="26"/>
      <c r="C255" s="26"/>
      <c r="D255" s="26"/>
      <c r="J255" s="26"/>
      <c r="K255" s="26"/>
    </row>
    <row r="256">
      <c r="B256" s="26"/>
      <c r="C256" s="26"/>
      <c r="D256" s="26"/>
      <c r="J256" s="26"/>
      <c r="K256" s="26"/>
    </row>
    <row r="257">
      <c r="B257" s="26"/>
      <c r="C257" s="26"/>
      <c r="D257" s="26"/>
      <c r="J257" s="26"/>
      <c r="K257" s="26"/>
    </row>
    <row r="258">
      <c r="B258" s="26"/>
      <c r="C258" s="26"/>
      <c r="D258" s="26"/>
      <c r="J258" s="26"/>
      <c r="K258" s="26"/>
    </row>
    <row r="259">
      <c r="B259" s="26"/>
      <c r="C259" s="26"/>
      <c r="D259" s="26"/>
      <c r="J259" s="26"/>
      <c r="K259" s="26"/>
    </row>
    <row r="260">
      <c r="B260" s="26"/>
      <c r="C260" s="26"/>
      <c r="D260" s="26"/>
      <c r="J260" s="26"/>
      <c r="K260" s="26"/>
    </row>
    <row r="261">
      <c r="B261" s="26"/>
      <c r="C261" s="26"/>
      <c r="D261" s="26"/>
      <c r="J261" s="26"/>
      <c r="K261" s="26"/>
    </row>
    <row r="262">
      <c r="B262" s="26"/>
      <c r="C262" s="26"/>
      <c r="D262" s="26"/>
      <c r="J262" s="26"/>
      <c r="K262" s="26"/>
    </row>
    <row r="263">
      <c r="B263" s="26"/>
      <c r="C263" s="26"/>
      <c r="D263" s="26"/>
      <c r="J263" s="26"/>
      <c r="K263" s="26"/>
    </row>
    <row r="264">
      <c r="B264" s="26"/>
      <c r="C264" s="26"/>
      <c r="D264" s="26"/>
      <c r="J264" s="26"/>
      <c r="K264" s="26"/>
    </row>
    <row r="265">
      <c r="B265" s="26"/>
      <c r="C265" s="26"/>
      <c r="D265" s="26"/>
      <c r="J265" s="26"/>
      <c r="K265" s="26"/>
    </row>
    <row r="266">
      <c r="B266" s="26"/>
      <c r="C266" s="26"/>
      <c r="D266" s="26"/>
      <c r="J266" s="26"/>
      <c r="K266" s="26"/>
    </row>
    <row r="267">
      <c r="B267" s="26"/>
      <c r="C267" s="26"/>
      <c r="D267" s="26"/>
      <c r="J267" s="26"/>
      <c r="K267" s="26"/>
    </row>
    <row r="268">
      <c r="B268" s="26"/>
      <c r="C268" s="26"/>
      <c r="D268" s="26"/>
      <c r="J268" s="26"/>
      <c r="K268" s="26"/>
    </row>
    <row r="269">
      <c r="B269" s="26"/>
      <c r="C269" s="26"/>
      <c r="D269" s="26"/>
      <c r="J269" s="26"/>
      <c r="K269" s="26"/>
    </row>
    <row r="270">
      <c r="B270" s="26"/>
      <c r="C270" s="26"/>
      <c r="D270" s="26"/>
      <c r="J270" s="26"/>
      <c r="K270" s="26"/>
    </row>
    <row r="271">
      <c r="B271" s="26"/>
      <c r="C271" s="26"/>
      <c r="D271" s="26"/>
      <c r="J271" s="26"/>
      <c r="K271" s="26"/>
    </row>
    <row r="272">
      <c r="B272" s="26"/>
      <c r="C272" s="26"/>
      <c r="D272" s="26"/>
      <c r="J272" s="26"/>
      <c r="K272" s="26"/>
    </row>
    <row r="273">
      <c r="B273" s="26"/>
      <c r="C273" s="26"/>
      <c r="D273" s="26"/>
      <c r="J273" s="26"/>
      <c r="K273" s="26"/>
    </row>
    <row r="274">
      <c r="B274" s="26"/>
      <c r="C274" s="26"/>
      <c r="D274" s="26"/>
      <c r="J274" s="26"/>
      <c r="K274" s="26"/>
    </row>
    <row r="275">
      <c r="B275" s="26"/>
      <c r="C275" s="26"/>
      <c r="D275" s="26"/>
      <c r="J275" s="26"/>
      <c r="K275" s="26"/>
    </row>
    <row r="276">
      <c r="B276" s="26"/>
      <c r="C276" s="26"/>
      <c r="D276" s="26"/>
      <c r="J276" s="26"/>
      <c r="K276" s="26"/>
    </row>
    <row r="277">
      <c r="B277" s="26"/>
      <c r="C277" s="26"/>
      <c r="D277" s="26"/>
      <c r="J277" s="26"/>
      <c r="K277" s="26"/>
    </row>
    <row r="278">
      <c r="B278" s="26"/>
      <c r="C278" s="26"/>
      <c r="D278" s="26"/>
      <c r="J278" s="26"/>
      <c r="K278" s="26"/>
    </row>
    <row r="279">
      <c r="B279" s="26"/>
      <c r="C279" s="26"/>
      <c r="D279" s="26"/>
      <c r="J279" s="26"/>
      <c r="K279" s="26"/>
    </row>
    <row r="280">
      <c r="B280" s="26"/>
      <c r="C280" s="26"/>
      <c r="D280" s="26"/>
      <c r="J280" s="26"/>
      <c r="K280" s="26"/>
    </row>
    <row r="281">
      <c r="B281" s="26"/>
      <c r="C281" s="26"/>
      <c r="D281" s="26"/>
      <c r="J281" s="26"/>
      <c r="K281" s="26"/>
    </row>
    <row r="282">
      <c r="B282" s="26"/>
      <c r="C282" s="26"/>
      <c r="D282" s="26"/>
      <c r="J282" s="26"/>
      <c r="K282" s="26"/>
    </row>
    <row r="283">
      <c r="B283" s="26"/>
      <c r="C283" s="26"/>
      <c r="D283" s="26"/>
      <c r="J283" s="26"/>
      <c r="K283" s="26"/>
    </row>
    <row r="284">
      <c r="B284" s="26"/>
      <c r="C284" s="26"/>
      <c r="D284" s="26"/>
      <c r="J284" s="26"/>
      <c r="K284" s="26"/>
    </row>
    <row r="285">
      <c r="B285" s="26"/>
      <c r="C285" s="26"/>
      <c r="D285" s="26"/>
      <c r="J285" s="26"/>
      <c r="K285" s="26"/>
    </row>
    <row r="286">
      <c r="B286" s="26"/>
      <c r="C286" s="26"/>
      <c r="D286" s="26"/>
      <c r="J286" s="26"/>
      <c r="K286" s="26"/>
    </row>
    <row r="287">
      <c r="B287" s="26"/>
      <c r="C287" s="26"/>
      <c r="D287" s="26"/>
      <c r="J287" s="26"/>
      <c r="K287" s="26"/>
    </row>
    <row r="288">
      <c r="B288" s="26"/>
      <c r="C288" s="26"/>
      <c r="D288" s="26"/>
      <c r="J288" s="26"/>
      <c r="K288" s="26"/>
    </row>
    <row r="289">
      <c r="B289" s="26"/>
      <c r="C289" s="26"/>
      <c r="D289" s="26"/>
      <c r="J289" s="26"/>
      <c r="K289" s="26"/>
    </row>
    <row r="290">
      <c r="B290" s="26"/>
      <c r="C290" s="26"/>
      <c r="D290" s="26"/>
      <c r="J290" s="26"/>
      <c r="K290" s="26"/>
    </row>
    <row r="291">
      <c r="B291" s="26"/>
      <c r="C291" s="26"/>
      <c r="D291" s="26"/>
      <c r="J291" s="26"/>
      <c r="K291" s="26"/>
    </row>
    <row r="292">
      <c r="B292" s="26"/>
      <c r="C292" s="26"/>
      <c r="D292" s="26"/>
      <c r="J292" s="26"/>
      <c r="K292" s="26"/>
    </row>
    <row r="293">
      <c r="B293" s="26"/>
      <c r="C293" s="26"/>
      <c r="D293" s="26"/>
      <c r="J293" s="26"/>
      <c r="K293" s="26"/>
    </row>
    <row r="294">
      <c r="B294" s="26"/>
      <c r="C294" s="26"/>
      <c r="D294" s="26"/>
      <c r="J294" s="26"/>
      <c r="K294" s="26"/>
    </row>
    <row r="295">
      <c r="B295" s="26"/>
      <c r="C295" s="26"/>
      <c r="D295" s="26"/>
      <c r="J295" s="26"/>
      <c r="K295" s="26"/>
    </row>
    <row r="296">
      <c r="B296" s="26"/>
      <c r="C296" s="26"/>
      <c r="D296" s="26"/>
      <c r="J296" s="26"/>
      <c r="K296" s="26"/>
    </row>
    <row r="297">
      <c r="B297" s="26"/>
      <c r="C297" s="26"/>
      <c r="D297" s="26"/>
      <c r="J297" s="26"/>
      <c r="K297" s="26"/>
    </row>
    <row r="298">
      <c r="B298" s="26"/>
      <c r="C298" s="26"/>
      <c r="D298" s="26"/>
      <c r="J298" s="26"/>
      <c r="K298" s="26"/>
    </row>
    <row r="299">
      <c r="B299" s="26"/>
      <c r="C299" s="26"/>
      <c r="D299" s="26"/>
      <c r="J299" s="26"/>
      <c r="K299" s="26"/>
    </row>
    <row r="300">
      <c r="B300" s="26"/>
      <c r="C300" s="26"/>
      <c r="D300" s="26"/>
      <c r="J300" s="26"/>
      <c r="K300" s="26"/>
    </row>
    <row r="301">
      <c r="B301" s="26"/>
      <c r="C301" s="26"/>
      <c r="D301" s="26"/>
      <c r="J301" s="26"/>
      <c r="K301" s="26"/>
    </row>
    <row r="302">
      <c r="B302" s="26"/>
      <c r="C302" s="26"/>
      <c r="D302" s="26"/>
      <c r="J302" s="26"/>
      <c r="K302" s="26"/>
    </row>
    <row r="303">
      <c r="B303" s="26"/>
      <c r="C303" s="26"/>
      <c r="D303" s="26"/>
      <c r="J303" s="26"/>
      <c r="K303" s="26"/>
    </row>
    <row r="304">
      <c r="B304" s="26"/>
      <c r="C304" s="26"/>
      <c r="D304" s="26"/>
      <c r="J304" s="26"/>
      <c r="K304" s="26"/>
    </row>
    <row r="305">
      <c r="B305" s="26"/>
      <c r="C305" s="26"/>
      <c r="D305" s="26"/>
      <c r="J305" s="26"/>
      <c r="K305" s="26"/>
    </row>
    <row r="306">
      <c r="B306" s="26"/>
      <c r="C306" s="26"/>
      <c r="D306" s="26"/>
      <c r="J306" s="26"/>
      <c r="K306" s="26"/>
    </row>
    <row r="307">
      <c r="B307" s="26"/>
      <c r="C307" s="26"/>
      <c r="D307" s="26"/>
      <c r="J307" s="26"/>
      <c r="K307" s="26"/>
    </row>
    <row r="308">
      <c r="B308" s="26"/>
      <c r="C308" s="26"/>
      <c r="D308" s="26"/>
      <c r="J308" s="26"/>
      <c r="K308" s="26"/>
    </row>
    <row r="309">
      <c r="B309" s="26"/>
      <c r="C309" s="26"/>
      <c r="D309" s="26"/>
      <c r="J309" s="26"/>
      <c r="K309" s="26"/>
    </row>
    <row r="310">
      <c r="B310" s="26"/>
      <c r="C310" s="26"/>
      <c r="D310" s="26"/>
      <c r="J310" s="26"/>
      <c r="K310" s="26"/>
    </row>
    <row r="311">
      <c r="B311" s="26"/>
      <c r="C311" s="26"/>
      <c r="D311" s="26"/>
      <c r="J311" s="26"/>
      <c r="K311" s="26"/>
    </row>
    <row r="312">
      <c r="B312" s="26"/>
      <c r="C312" s="26"/>
      <c r="D312" s="26"/>
      <c r="J312" s="26"/>
      <c r="K312" s="26"/>
    </row>
    <row r="313">
      <c r="B313" s="26"/>
      <c r="C313" s="26"/>
      <c r="D313" s="26"/>
      <c r="J313" s="26"/>
      <c r="K313" s="26"/>
    </row>
    <row r="314">
      <c r="B314" s="26"/>
      <c r="C314" s="26"/>
      <c r="D314" s="26"/>
      <c r="J314" s="26"/>
      <c r="K314" s="26"/>
    </row>
    <row r="315">
      <c r="B315" s="26"/>
      <c r="C315" s="26"/>
      <c r="D315" s="26"/>
      <c r="J315" s="26"/>
      <c r="K315" s="26"/>
    </row>
    <row r="316">
      <c r="B316" s="26"/>
      <c r="C316" s="26"/>
      <c r="D316" s="26"/>
      <c r="J316" s="26"/>
      <c r="K316" s="26"/>
    </row>
    <row r="317">
      <c r="B317" s="26"/>
      <c r="C317" s="26"/>
      <c r="D317" s="26"/>
      <c r="J317" s="26"/>
      <c r="K317" s="26"/>
    </row>
    <row r="318">
      <c r="B318" s="26"/>
      <c r="C318" s="26"/>
      <c r="D318" s="26"/>
      <c r="J318" s="26"/>
      <c r="K318" s="26"/>
    </row>
    <row r="319">
      <c r="B319" s="26"/>
      <c r="C319" s="26"/>
      <c r="D319" s="26"/>
      <c r="J319" s="26"/>
      <c r="K319" s="26"/>
    </row>
    <row r="320">
      <c r="B320" s="26"/>
      <c r="C320" s="26"/>
      <c r="D320" s="26"/>
      <c r="J320" s="26"/>
      <c r="K320" s="26"/>
    </row>
    <row r="321">
      <c r="B321" s="26"/>
      <c r="C321" s="26"/>
      <c r="D321" s="26"/>
      <c r="J321" s="26"/>
      <c r="K321" s="26"/>
    </row>
    <row r="322">
      <c r="B322" s="26"/>
      <c r="C322" s="26"/>
      <c r="D322" s="26"/>
      <c r="J322" s="26"/>
      <c r="K322" s="26"/>
    </row>
    <row r="323">
      <c r="B323" s="26"/>
      <c r="C323" s="26"/>
      <c r="D323" s="26"/>
      <c r="J323" s="26"/>
      <c r="K323" s="26"/>
    </row>
    <row r="324">
      <c r="B324" s="26"/>
      <c r="C324" s="26"/>
      <c r="D324" s="26"/>
      <c r="J324" s="26"/>
      <c r="K324" s="26"/>
    </row>
    <row r="325">
      <c r="B325" s="26"/>
      <c r="C325" s="26"/>
      <c r="D325" s="26"/>
      <c r="J325" s="26"/>
      <c r="K325" s="26"/>
    </row>
    <row r="326">
      <c r="B326" s="26"/>
      <c r="C326" s="26"/>
      <c r="D326" s="26"/>
      <c r="J326" s="26"/>
      <c r="K326" s="26"/>
    </row>
    <row r="327">
      <c r="B327" s="26"/>
      <c r="C327" s="26"/>
      <c r="D327" s="26"/>
      <c r="J327" s="26"/>
      <c r="K327" s="26"/>
    </row>
    <row r="328">
      <c r="B328" s="26"/>
      <c r="C328" s="26"/>
      <c r="D328" s="26"/>
      <c r="J328" s="26"/>
      <c r="K328" s="26"/>
    </row>
    <row r="329">
      <c r="B329" s="26"/>
      <c r="C329" s="26"/>
      <c r="D329" s="26"/>
      <c r="J329" s="26"/>
      <c r="K329" s="26"/>
    </row>
    <row r="330">
      <c r="B330" s="26"/>
      <c r="C330" s="26"/>
      <c r="D330" s="26"/>
      <c r="J330" s="26"/>
      <c r="K330" s="26"/>
    </row>
    <row r="331">
      <c r="B331" s="26"/>
      <c r="C331" s="26"/>
      <c r="D331" s="26"/>
      <c r="J331" s="26"/>
      <c r="K331" s="26"/>
    </row>
    <row r="332">
      <c r="B332" s="26"/>
      <c r="C332" s="26"/>
      <c r="D332" s="26"/>
      <c r="J332" s="26"/>
      <c r="K332" s="26"/>
    </row>
    <row r="333">
      <c r="B333" s="26"/>
      <c r="C333" s="26"/>
      <c r="D333" s="26"/>
      <c r="J333" s="26"/>
      <c r="K333" s="26"/>
    </row>
    <row r="334">
      <c r="B334" s="26"/>
      <c r="C334" s="26"/>
      <c r="D334" s="26"/>
      <c r="J334" s="26"/>
      <c r="K334" s="26"/>
    </row>
    <row r="335">
      <c r="B335" s="26"/>
      <c r="C335" s="26"/>
      <c r="D335" s="26"/>
      <c r="J335" s="26"/>
      <c r="K335" s="26"/>
    </row>
    <row r="336">
      <c r="B336" s="26"/>
      <c r="C336" s="26"/>
      <c r="D336" s="26"/>
      <c r="J336" s="26"/>
      <c r="K336" s="26"/>
    </row>
    <row r="337">
      <c r="B337" s="26"/>
      <c r="C337" s="26"/>
      <c r="D337" s="26"/>
      <c r="J337" s="26"/>
      <c r="K337" s="26"/>
    </row>
    <row r="338">
      <c r="B338" s="26"/>
      <c r="C338" s="26"/>
      <c r="D338" s="26"/>
      <c r="J338" s="26"/>
      <c r="K338" s="26"/>
    </row>
    <row r="339">
      <c r="B339" s="26"/>
      <c r="C339" s="26"/>
      <c r="D339" s="26"/>
      <c r="J339" s="26"/>
      <c r="K339" s="26"/>
    </row>
    <row r="340">
      <c r="B340" s="26"/>
      <c r="C340" s="26"/>
      <c r="D340" s="26"/>
      <c r="J340" s="26"/>
      <c r="K340" s="26"/>
    </row>
    <row r="341">
      <c r="B341" s="26"/>
      <c r="C341" s="26"/>
      <c r="D341" s="26"/>
      <c r="J341" s="26"/>
      <c r="K341" s="26"/>
    </row>
    <row r="342">
      <c r="B342" s="26"/>
      <c r="C342" s="26"/>
      <c r="D342" s="26"/>
      <c r="J342" s="26"/>
      <c r="K342" s="26"/>
    </row>
    <row r="343">
      <c r="B343" s="26"/>
      <c r="C343" s="26"/>
      <c r="D343" s="26"/>
      <c r="J343" s="26"/>
      <c r="K343" s="26"/>
    </row>
    <row r="344">
      <c r="B344" s="26"/>
      <c r="C344" s="26"/>
      <c r="D344" s="26"/>
      <c r="J344" s="26"/>
      <c r="K344" s="26"/>
    </row>
    <row r="345">
      <c r="B345" s="26"/>
      <c r="C345" s="26"/>
      <c r="D345" s="26"/>
      <c r="J345" s="26"/>
      <c r="K345" s="26"/>
    </row>
    <row r="346">
      <c r="B346" s="26"/>
      <c r="C346" s="26"/>
      <c r="D346" s="26"/>
      <c r="J346" s="26"/>
      <c r="K346" s="26"/>
    </row>
    <row r="347">
      <c r="B347" s="26"/>
      <c r="C347" s="26"/>
      <c r="D347" s="26"/>
      <c r="J347" s="26"/>
      <c r="K347" s="26"/>
    </row>
    <row r="348">
      <c r="B348" s="26"/>
      <c r="C348" s="26"/>
      <c r="D348" s="26"/>
      <c r="J348" s="26"/>
      <c r="K348" s="26"/>
    </row>
    <row r="349">
      <c r="B349" s="26"/>
      <c r="C349" s="26"/>
      <c r="D349" s="26"/>
      <c r="J349" s="26"/>
      <c r="K349" s="26"/>
    </row>
    <row r="350">
      <c r="B350" s="26"/>
      <c r="C350" s="26"/>
      <c r="D350" s="26"/>
      <c r="J350" s="26"/>
      <c r="K350" s="26"/>
    </row>
    <row r="351">
      <c r="B351" s="26"/>
      <c r="C351" s="26"/>
      <c r="D351" s="26"/>
      <c r="J351" s="26"/>
      <c r="K351" s="26"/>
    </row>
    <row r="352">
      <c r="B352" s="26"/>
      <c r="C352" s="26"/>
      <c r="D352" s="26"/>
      <c r="J352" s="26"/>
      <c r="K352" s="26"/>
    </row>
    <row r="353">
      <c r="B353" s="26"/>
      <c r="C353" s="26"/>
      <c r="D353" s="26"/>
      <c r="J353" s="26"/>
      <c r="K353" s="26"/>
    </row>
    <row r="354">
      <c r="B354" s="26"/>
      <c r="C354" s="26"/>
      <c r="D354" s="26"/>
      <c r="J354" s="26"/>
      <c r="K354" s="26"/>
    </row>
    <row r="355">
      <c r="B355" s="26"/>
      <c r="C355" s="26"/>
      <c r="D355" s="26"/>
      <c r="J355" s="26"/>
      <c r="K355" s="26"/>
    </row>
    <row r="356">
      <c r="B356" s="26"/>
      <c r="C356" s="26"/>
      <c r="D356" s="26"/>
      <c r="J356" s="26"/>
      <c r="K356" s="26"/>
    </row>
    <row r="357">
      <c r="B357" s="26"/>
      <c r="C357" s="26"/>
      <c r="D357" s="26"/>
      <c r="J357" s="26"/>
      <c r="K357" s="26"/>
    </row>
    <row r="358">
      <c r="B358" s="26"/>
      <c r="C358" s="26"/>
      <c r="D358" s="26"/>
      <c r="J358" s="26"/>
      <c r="K358" s="26"/>
    </row>
    <row r="359">
      <c r="B359" s="26"/>
      <c r="C359" s="26"/>
      <c r="D359" s="26"/>
      <c r="J359" s="26"/>
      <c r="K359" s="26"/>
    </row>
    <row r="360">
      <c r="B360" s="26"/>
      <c r="C360" s="26"/>
      <c r="D360" s="26"/>
      <c r="J360" s="26"/>
      <c r="K360" s="26"/>
    </row>
    <row r="361">
      <c r="B361" s="26"/>
      <c r="C361" s="26"/>
      <c r="D361" s="26"/>
      <c r="J361" s="26"/>
      <c r="K361" s="26"/>
    </row>
    <row r="362">
      <c r="B362" s="26"/>
      <c r="C362" s="26"/>
      <c r="D362" s="26"/>
      <c r="J362" s="26"/>
      <c r="K362" s="26"/>
    </row>
    <row r="363">
      <c r="B363" s="26"/>
      <c r="C363" s="26"/>
      <c r="D363" s="26"/>
      <c r="J363" s="26"/>
      <c r="K363" s="26"/>
    </row>
    <row r="364">
      <c r="B364" s="26"/>
      <c r="C364" s="26"/>
      <c r="D364" s="26"/>
      <c r="J364" s="26"/>
      <c r="K364" s="26"/>
    </row>
    <row r="365">
      <c r="B365" s="26"/>
      <c r="C365" s="26"/>
      <c r="D365" s="26"/>
      <c r="J365" s="26"/>
      <c r="K365" s="26"/>
    </row>
    <row r="366">
      <c r="B366" s="26"/>
      <c r="C366" s="26"/>
      <c r="D366" s="26"/>
      <c r="J366" s="26"/>
      <c r="K366" s="26"/>
    </row>
    <row r="367">
      <c r="B367" s="26"/>
      <c r="C367" s="26"/>
      <c r="D367" s="26"/>
      <c r="J367" s="26"/>
      <c r="K367" s="26"/>
    </row>
    <row r="368">
      <c r="B368" s="26"/>
      <c r="C368" s="26"/>
      <c r="D368" s="26"/>
      <c r="J368" s="26"/>
      <c r="K368" s="26"/>
    </row>
    <row r="369">
      <c r="B369" s="26"/>
      <c r="C369" s="26"/>
      <c r="D369" s="26"/>
      <c r="J369" s="26"/>
      <c r="K369" s="26"/>
    </row>
    <row r="370">
      <c r="B370" s="26"/>
      <c r="C370" s="26"/>
      <c r="D370" s="26"/>
      <c r="J370" s="26"/>
      <c r="K370" s="26"/>
    </row>
    <row r="371">
      <c r="B371" s="26"/>
      <c r="C371" s="26"/>
      <c r="D371" s="26"/>
      <c r="J371" s="26"/>
      <c r="K371" s="26"/>
    </row>
    <row r="372">
      <c r="B372" s="26"/>
      <c r="C372" s="26"/>
      <c r="D372" s="26"/>
      <c r="J372" s="26"/>
      <c r="K372" s="26"/>
    </row>
    <row r="373">
      <c r="B373" s="26"/>
      <c r="C373" s="26"/>
      <c r="D373" s="26"/>
      <c r="J373" s="26"/>
      <c r="K373" s="26"/>
    </row>
    <row r="374">
      <c r="B374" s="26"/>
      <c r="C374" s="26"/>
      <c r="D374" s="26"/>
      <c r="J374" s="26"/>
      <c r="K374" s="26"/>
    </row>
    <row r="375">
      <c r="B375" s="26"/>
      <c r="C375" s="26"/>
      <c r="D375" s="26"/>
      <c r="J375" s="26"/>
      <c r="K375" s="26"/>
    </row>
    <row r="376">
      <c r="B376" s="26"/>
      <c r="C376" s="26"/>
      <c r="D376" s="26"/>
      <c r="J376" s="26"/>
      <c r="K376" s="26"/>
    </row>
    <row r="377">
      <c r="B377" s="26"/>
      <c r="C377" s="26"/>
      <c r="D377" s="26"/>
      <c r="J377" s="26"/>
      <c r="K377" s="26"/>
    </row>
    <row r="378">
      <c r="B378" s="26"/>
      <c r="C378" s="26"/>
      <c r="D378" s="26"/>
      <c r="J378" s="26"/>
      <c r="K378" s="26"/>
    </row>
    <row r="379">
      <c r="B379" s="26"/>
      <c r="C379" s="26"/>
      <c r="D379" s="26"/>
      <c r="J379" s="26"/>
      <c r="K379" s="26"/>
    </row>
    <row r="380">
      <c r="B380" s="26"/>
      <c r="C380" s="26"/>
      <c r="D380" s="26"/>
      <c r="J380" s="26"/>
      <c r="K380" s="26"/>
    </row>
    <row r="381">
      <c r="B381" s="26"/>
      <c r="C381" s="26"/>
      <c r="D381" s="26"/>
      <c r="J381" s="26"/>
      <c r="K381" s="26"/>
    </row>
    <row r="382">
      <c r="B382" s="26"/>
      <c r="C382" s="26"/>
      <c r="D382" s="26"/>
      <c r="J382" s="26"/>
      <c r="K382" s="26"/>
    </row>
    <row r="383">
      <c r="B383" s="26"/>
      <c r="C383" s="26"/>
      <c r="D383" s="26"/>
      <c r="J383" s="26"/>
      <c r="K383" s="26"/>
    </row>
    <row r="384">
      <c r="B384" s="26"/>
      <c r="C384" s="26"/>
      <c r="D384" s="26"/>
      <c r="J384" s="26"/>
      <c r="K384" s="26"/>
    </row>
    <row r="385">
      <c r="B385" s="26"/>
      <c r="C385" s="26"/>
      <c r="D385" s="26"/>
      <c r="J385" s="26"/>
      <c r="K385" s="26"/>
    </row>
    <row r="386">
      <c r="B386" s="26"/>
      <c r="C386" s="26"/>
      <c r="D386" s="26"/>
      <c r="J386" s="26"/>
      <c r="K386" s="26"/>
    </row>
    <row r="387">
      <c r="B387" s="26"/>
      <c r="C387" s="26"/>
      <c r="D387" s="26"/>
      <c r="J387" s="26"/>
      <c r="K387" s="26"/>
    </row>
    <row r="388">
      <c r="B388" s="26"/>
      <c r="C388" s="26"/>
      <c r="D388" s="26"/>
      <c r="J388" s="26"/>
      <c r="K388" s="26"/>
    </row>
    <row r="389">
      <c r="B389" s="26"/>
      <c r="C389" s="26"/>
      <c r="D389" s="26"/>
      <c r="J389" s="26"/>
      <c r="K389" s="26"/>
    </row>
    <row r="390">
      <c r="B390" s="26"/>
      <c r="C390" s="26"/>
      <c r="D390" s="26"/>
      <c r="J390" s="26"/>
      <c r="K390" s="26"/>
    </row>
    <row r="391">
      <c r="B391" s="26"/>
      <c r="C391" s="26"/>
      <c r="D391" s="26"/>
      <c r="J391" s="26"/>
      <c r="K391" s="26"/>
    </row>
    <row r="392">
      <c r="B392" s="26"/>
      <c r="C392" s="26"/>
      <c r="D392" s="26"/>
      <c r="J392" s="26"/>
      <c r="K392" s="26"/>
    </row>
    <row r="393">
      <c r="B393" s="26"/>
      <c r="C393" s="26"/>
      <c r="D393" s="26"/>
      <c r="J393" s="26"/>
      <c r="K393" s="26"/>
    </row>
    <row r="394">
      <c r="B394" s="26"/>
      <c r="C394" s="26"/>
      <c r="D394" s="26"/>
      <c r="J394" s="26"/>
      <c r="K394" s="26"/>
    </row>
    <row r="395">
      <c r="B395" s="26"/>
      <c r="C395" s="26"/>
      <c r="D395" s="26"/>
      <c r="J395" s="26"/>
      <c r="K395" s="26"/>
    </row>
    <row r="396">
      <c r="B396" s="26"/>
      <c r="C396" s="26"/>
      <c r="D396" s="26"/>
      <c r="J396" s="26"/>
      <c r="K396" s="26"/>
    </row>
    <row r="397">
      <c r="B397" s="26"/>
      <c r="C397" s="26"/>
      <c r="D397" s="26"/>
      <c r="J397" s="26"/>
      <c r="K397" s="26"/>
    </row>
    <row r="398">
      <c r="B398" s="26"/>
      <c r="C398" s="26"/>
      <c r="D398" s="26"/>
      <c r="J398" s="26"/>
      <c r="K398" s="26"/>
    </row>
    <row r="399">
      <c r="B399" s="26"/>
      <c r="C399" s="26"/>
      <c r="D399" s="26"/>
      <c r="J399" s="26"/>
      <c r="K399" s="26"/>
    </row>
    <row r="400">
      <c r="B400" s="26"/>
      <c r="C400" s="26"/>
      <c r="D400" s="26"/>
      <c r="J400" s="26"/>
      <c r="K400" s="26"/>
    </row>
    <row r="401">
      <c r="B401" s="26"/>
      <c r="C401" s="26"/>
      <c r="D401" s="26"/>
      <c r="J401" s="26"/>
      <c r="K401" s="26"/>
    </row>
    <row r="402">
      <c r="B402" s="26"/>
      <c r="C402" s="26"/>
      <c r="D402" s="26"/>
      <c r="J402" s="26"/>
      <c r="K402" s="26"/>
    </row>
    <row r="403">
      <c r="B403" s="26"/>
      <c r="C403" s="26"/>
      <c r="D403" s="26"/>
      <c r="J403" s="26"/>
      <c r="K403" s="26"/>
    </row>
    <row r="404">
      <c r="B404" s="26"/>
      <c r="C404" s="26"/>
      <c r="D404" s="26"/>
      <c r="J404" s="26"/>
      <c r="K404" s="26"/>
    </row>
    <row r="405">
      <c r="B405" s="26"/>
      <c r="C405" s="26"/>
      <c r="D405" s="26"/>
      <c r="J405" s="26"/>
      <c r="K405" s="26"/>
    </row>
    <row r="406">
      <c r="B406" s="26"/>
      <c r="C406" s="26"/>
      <c r="D406" s="26"/>
      <c r="J406" s="26"/>
      <c r="K406" s="26"/>
    </row>
    <row r="407">
      <c r="B407" s="26"/>
      <c r="C407" s="26"/>
      <c r="D407" s="26"/>
      <c r="J407" s="26"/>
      <c r="K407" s="26"/>
    </row>
    <row r="408">
      <c r="B408" s="26"/>
      <c r="C408" s="26"/>
      <c r="D408" s="26"/>
      <c r="J408" s="26"/>
      <c r="K408" s="26"/>
    </row>
    <row r="409">
      <c r="B409" s="26"/>
      <c r="C409" s="26"/>
      <c r="D409" s="26"/>
      <c r="J409" s="26"/>
      <c r="K409" s="26"/>
    </row>
    <row r="410">
      <c r="B410" s="26"/>
      <c r="C410" s="26"/>
      <c r="D410" s="26"/>
      <c r="J410" s="26"/>
      <c r="K410" s="26"/>
    </row>
    <row r="411">
      <c r="B411" s="26"/>
      <c r="C411" s="26"/>
      <c r="D411" s="26"/>
      <c r="J411" s="26"/>
      <c r="K411" s="26"/>
    </row>
    <row r="412">
      <c r="B412" s="26"/>
      <c r="C412" s="26"/>
      <c r="D412" s="26"/>
      <c r="J412" s="26"/>
      <c r="K412" s="26"/>
    </row>
    <row r="413">
      <c r="B413" s="26"/>
      <c r="C413" s="26"/>
      <c r="D413" s="26"/>
      <c r="J413" s="26"/>
      <c r="K413" s="26"/>
    </row>
    <row r="414">
      <c r="B414" s="26"/>
      <c r="C414" s="26"/>
      <c r="D414" s="26"/>
      <c r="J414" s="26"/>
      <c r="K414" s="26"/>
    </row>
    <row r="415">
      <c r="B415" s="26"/>
      <c r="C415" s="26"/>
      <c r="D415" s="26"/>
      <c r="J415" s="26"/>
      <c r="K415" s="26"/>
    </row>
    <row r="416">
      <c r="B416" s="26"/>
      <c r="C416" s="26"/>
      <c r="D416" s="26"/>
      <c r="J416" s="26"/>
      <c r="K416" s="26"/>
    </row>
    <row r="417">
      <c r="B417" s="26"/>
      <c r="C417" s="26"/>
      <c r="D417" s="26"/>
      <c r="J417" s="26"/>
      <c r="K417" s="26"/>
    </row>
    <row r="418">
      <c r="B418" s="26"/>
      <c r="C418" s="26"/>
      <c r="D418" s="26"/>
      <c r="J418" s="26"/>
      <c r="K418" s="26"/>
    </row>
    <row r="419">
      <c r="B419" s="26"/>
      <c r="C419" s="26"/>
      <c r="D419" s="26"/>
      <c r="J419" s="26"/>
      <c r="K419" s="26"/>
    </row>
    <row r="420">
      <c r="B420" s="26"/>
      <c r="C420" s="26"/>
      <c r="D420" s="26"/>
      <c r="J420" s="26"/>
      <c r="K420" s="26"/>
    </row>
    <row r="421">
      <c r="B421" s="26"/>
      <c r="C421" s="26"/>
      <c r="D421" s="26"/>
      <c r="J421" s="26"/>
      <c r="K421" s="26"/>
    </row>
    <row r="422">
      <c r="B422" s="26"/>
      <c r="C422" s="26"/>
      <c r="D422" s="26"/>
      <c r="J422" s="26"/>
      <c r="K422" s="26"/>
    </row>
    <row r="423">
      <c r="B423" s="26"/>
      <c r="C423" s="26"/>
      <c r="D423" s="26"/>
      <c r="J423" s="26"/>
      <c r="K423" s="26"/>
    </row>
    <row r="424">
      <c r="B424" s="26"/>
      <c r="C424" s="26"/>
      <c r="D424" s="26"/>
      <c r="J424" s="26"/>
      <c r="K424" s="26"/>
    </row>
    <row r="425">
      <c r="B425" s="26"/>
      <c r="C425" s="26"/>
      <c r="D425" s="26"/>
      <c r="J425" s="26"/>
      <c r="K425" s="26"/>
    </row>
    <row r="426">
      <c r="B426" s="26"/>
      <c r="C426" s="26"/>
      <c r="D426" s="26"/>
      <c r="J426" s="26"/>
      <c r="K426" s="26"/>
    </row>
    <row r="427">
      <c r="B427" s="26"/>
      <c r="C427" s="26"/>
      <c r="D427" s="26"/>
      <c r="J427" s="26"/>
      <c r="K427" s="26"/>
    </row>
    <row r="428">
      <c r="B428" s="26"/>
      <c r="C428" s="26"/>
      <c r="D428" s="26"/>
      <c r="J428" s="26"/>
      <c r="K428" s="26"/>
    </row>
    <row r="429">
      <c r="B429" s="26"/>
      <c r="C429" s="26"/>
      <c r="D429" s="26"/>
      <c r="J429" s="26"/>
      <c r="K429" s="26"/>
    </row>
    <row r="430">
      <c r="B430" s="26"/>
      <c r="C430" s="26"/>
      <c r="D430" s="26"/>
      <c r="J430" s="26"/>
      <c r="K430" s="26"/>
    </row>
    <row r="431">
      <c r="B431" s="26"/>
      <c r="C431" s="26"/>
      <c r="D431" s="26"/>
      <c r="J431" s="26"/>
      <c r="K431" s="26"/>
    </row>
    <row r="432">
      <c r="B432" s="26"/>
      <c r="C432" s="26"/>
      <c r="D432" s="26"/>
      <c r="J432" s="26"/>
      <c r="K432" s="26"/>
    </row>
    <row r="433">
      <c r="B433" s="26"/>
      <c r="C433" s="26"/>
      <c r="D433" s="26"/>
      <c r="J433" s="26"/>
      <c r="K433" s="26"/>
    </row>
    <row r="434">
      <c r="B434" s="26"/>
      <c r="C434" s="26"/>
      <c r="D434" s="26"/>
      <c r="J434" s="26"/>
      <c r="K434" s="26"/>
    </row>
    <row r="435">
      <c r="B435" s="26"/>
      <c r="C435" s="26"/>
      <c r="D435" s="26"/>
      <c r="J435" s="26"/>
      <c r="K435" s="26"/>
    </row>
    <row r="436">
      <c r="B436" s="26"/>
      <c r="C436" s="26"/>
      <c r="D436" s="26"/>
      <c r="J436" s="26"/>
      <c r="K436" s="26"/>
    </row>
    <row r="437">
      <c r="B437" s="26"/>
      <c r="C437" s="26"/>
      <c r="D437" s="26"/>
      <c r="J437" s="26"/>
      <c r="K437" s="26"/>
    </row>
    <row r="438">
      <c r="B438" s="26"/>
      <c r="C438" s="26"/>
      <c r="D438" s="26"/>
      <c r="J438" s="26"/>
      <c r="K438" s="26"/>
    </row>
    <row r="439">
      <c r="B439" s="26"/>
      <c r="C439" s="26"/>
      <c r="D439" s="26"/>
      <c r="J439" s="26"/>
      <c r="K439" s="26"/>
    </row>
    <row r="440">
      <c r="B440" s="26"/>
      <c r="C440" s="26"/>
      <c r="D440" s="26"/>
      <c r="J440" s="26"/>
      <c r="K440" s="26"/>
    </row>
    <row r="441">
      <c r="B441" s="26"/>
      <c r="C441" s="26"/>
      <c r="D441" s="26"/>
      <c r="J441" s="26"/>
      <c r="K441" s="26"/>
    </row>
    <row r="442">
      <c r="B442" s="26"/>
      <c r="C442" s="26"/>
      <c r="D442" s="26"/>
      <c r="J442" s="26"/>
      <c r="K442" s="26"/>
    </row>
    <row r="443">
      <c r="B443" s="26"/>
      <c r="C443" s="26"/>
      <c r="D443" s="26"/>
      <c r="J443" s="26"/>
      <c r="K443" s="26"/>
    </row>
    <row r="444">
      <c r="B444" s="26"/>
      <c r="C444" s="26"/>
      <c r="D444" s="26"/>
      <c r="J444" s="26"/>
      <c r="K444" s="26"/>
    </row>
    <row r="445">
      <c r="B445" s="26"/>
      <c r="C445" s="26"/>
      <c r="D445" s="26"/>
      <c r="J445" s="26"/>
      <c r="K445" s="26"/>
    </row>
    <row r="446">
      <c r="B446" s="26"/>
      <c r="C446" s="26"/>
      <c r="D446" s="26"/>
      <c r="J446" s="26"/>
      <c r="K446" s="26"/>
    </row>
    <row r="447">
      <c r="B447" s="26"/>
      <c r="C447" s="26"/>
      <c r="D447" s="26"/>
      <c r="J447" s="26"/>
      <c r="K447" s="26"/>
    </row>
    <row r="448">
      <c r="B448" s="26"/>
      <c r="C448" s="26"/>
      <c r="D448" s="26"/>
      <c r="J448" s="26"/>
      <c r="K448" s="26"/>
    </row>
    <row r="449">
      <c r="B449" s="26"/>
      <c r="C449" s="26"/>
      <c r="D449" s="26"/>
      <c r="J449" s="26"/>
      <c r="K449" s="26"/>
    </row>
    <row r="450">
      <c r="B450" s="26"/>
      <c r="C450" s="26"/>
      <c r="D450" s="26"/>
      <c r="J450" s="26"/>
      <c r="K450" s="26"/>
    </row>
    <row r="451">
      <c r="B451" s="26"/>
      <c r="C451" s="26"/>
      <c r="D451" s="26"/>
      <c r="J451" s="26"/>
      <c r="K451" s="26"/>
    </row>
    <row r="452">
      <c r="B452" s="26"/>
      <c r="C452" s="26"/>
      <c r="D452" s="26"/>
      <c r="J452" s="26"/>
      <c r="K452" s="26"/>
    </row>
    <row r="453">
      <c r="B453" s="26"/>
      <c r="C453" s="26"/>
      <c r="D453" s="26"/>
      <c r="J453" s="26"/>
      <c r="K453" s="26"/>
    </row>
    <row r="454">
      <c r="B454" s="26"/>
      <c r="C454" s="26"/>
      <c r="D454" s="26"/>
      <c r="J454" s="26"/>
      <c r="K454" s="26"/>
    </row>
    <row r="455">
      <c r="B455" s="26"/>
      <c r="C455" s="26"/>
      <c r="D455" s="26"/>
      <c r="J455" s="26"/>
      <c r="K455" s="26"/>
    </row>
    <row r="456">
      <c r="B456" s="26"/>
      <c r="C456" s="26"/>
      <c r="D456" s="26"/>
      <c r="J456" s="26"/>
      <c r="K456" s="26"/>
    </row>
    <row r="457">
      <c r="B457" s="26"/>
      <c r="C457" s="26"/>
      <c r="D457" s="26"/>
      <c r="J457" s="26"/>
      <c r="K457" s="26"/>
    </row>
    <row r="458">
      <c r="B458" s="26"/>
      <c r="C458" s="26"/>
      <c r="D458" s="26"/>
      <c r="J458" s="26"/>
      <c r="K458" s="26"/>
    </row>
    <row r="459">
      <c r="B459" s="26"/>
      <c r="C459" s="26"/>
      <c r="D459" s="26"/>
      <c r="J459" s="26"/>
      <c r="K459" s="26"/>
    </row>
    <row r="460">
      <c r="B460" s="26"/>
      <c r="C460" s="26"/>
      <c r="D460" s="26"/>
      <c r="J460" s="26"/>
      <c r="K460" s="26"/>
    </row>
    <row r="461">
      <c r="B461" s="26"/>
      <c r="C461" s="26"/>
      <c r="D461" s="26"/>
      <c r="J461" s="26"/>
      <c r="K461" s="26"/>
    </row>
    <row r="462">
      <c r="B462" s="26"/>
      <c r="C462" s="26"/>
      <c r="D462" s="26"/>
      <c r="J462" s="26"/>
      <c r="K462" s="26"/>
    </row>
    <row r="463">
      <c r="B463" s="26"/>
      <c r="C463" s="26"/>
      <c r="D463" s="26"/>
      <c r="J463" s="26"/>
      <c r="K463" s="26"/>
    </row>
    <row r="464">
      <c r="B464" s="26"/>
      <c r="C464" s="26"/>
      <c r="D464" s="26"/>
      <c r="J464" s="26"/>
      <c r="K464" s="26"/>
    </row>
    <row r="465">
      <c r="B465" s="26"/>
      <c r="C465" s="26"/>
      <c r="D465" s="26"/>
      <c r="J465" s="26"/>
      <c r="K465" s="26"/>
    </row>
    <row r="466">
      <c r="B466" s="26"/>
      <c r="C466" s="26"/>
      <c r="D466" s="26"/>
      <c r="J466" s="26"/>
      <c r="K466" s="26"/>
    </row>
    <row r="467">
      <c r="B467" s="26"/>
      <c r="C467" s="26"/>
      <c r="D467" s="26"/>
      <c r="J467" s="26"/>
      <c r="K467" s="26"/>
    </row>
    <row r="468">
      <c r="B468" s="26"/>
      <c r="C468" s="26"/>
      <c r="D468" s="26"/>
      <c r="J468" s="26"/>
      <c r="K468" s="26"/>
    </row>
    <row r="469">
      <c r="B469" s="26"/>
      <c r="C469" s="26"/>
      <c r="D469" s="26"/>
      <c r="J469" s="26"/>
      <c r="K469" s="26"/>
    </row>
    <row r="470">
      <c r="B470" s="26"/>
      <c r="C470" s="26"/>
      <c r="D470" s="26"/>
      <c r="J470" s="26"/>
      <c r="K470" s="26"/>
    </row>
    <row r="471">
      <c r="B471" s="26"/>
      <c r="C471" s="26"/>
      <c r="D471" s="26"/>
      <c r="J471" s="26"/>
      <c r="K471" s="26"/>
    </row>
    <row r="472">
      <c r="B472" s="26"/>
      <c r="C472" s="26"/>
      <c r="D472" s="26"/>
      <c r="J472" s="26"/>
      <c r="K472" s="26"/>
    </row>
    <row r="473">
      <c r="B473" s="26"/>
      <c r="C473" s="26"/>
      <c r="D473" s="26"/>
      <c r="J473" s="26"/>
      <c r="K473" s="26"/>
    </row>
    <row r="474">
      <c r="B474" s="26"/>
      <c r="C474" s="26"/>
      <c r="D474" s="26"/>
      <c r="J474" s="26"/>
      <c r="K474" s="26"/>
    </row>
    <row r="475">
      <c r="B475" s="26"/>
      <c r="C475" s="26"/>
      <c r="D475" s="26"/>
      <c r="J475" s="26"/>
      <c r="K475" s="26"/>
    </row>
    <row r="476">
      <c r="B476" s="26"/>
      <c r="C476" s="26"/>
      <c r="D476" s="26"/>
      <c r="J476" s="26"/>
      <c r="K476" s="26"/>
    </row>
    <row r="477">
      <c r="B477" s="26"/>
      <c r="C477" s="26"/>
      <c r="D477" s="26"/>
      <c r="J477" s="26"/>
      <c r="K477" s="26"/>
    </row>
    <row r="478">
      <c r="B478" s="26"/>
      <c r="C478" s="26"/>
      <c r="D478" s="26"/>
      <c r="J478" s="26"/>
      <c r="K478" s="26"/>
    </row>
    <row r="479">
      <c r="B479" s="26"/>
      <c r="C479" s="26"/>
      <c r="D479" s="26"/>
      <c r="J479" s="26"/>
      <c r="K479" s="26"/>
    </row>
    <row r="480">
      <c r="B480" s="26"/>
      <c r="C480" s="26"/>
      <c r="D480" s="26"/>
      <c r="J480" s="26"/>
      <c r="K480" s="26"/>
    </row>
    <row r="481">
      <c r="B481" s="26"/>
      <c r="C481" s="26"/>
      <c r="D481" s="26"/>
      <c r="J481" s="26"/>
      <c r="K481" s="26"/>
    </row>
    <row r="482">
      <c r="B482" s="26"/>
      <c r="C482" s="26"/>
      <c r="D482" s="26"/>
      <c r="J482" s="26"/>
      <c r="K482" s="26"/>
    </row>
    <row r="483">
      <c r="B483" s="26"/>
      <c r="C483" s="26"/>
      <c r="D483" s="26"/>
      <c r="J483" s="26"/>
      <c r="K483" s="26"/>
    </row>
    <row r="484">
      <c r="B484" s="26"/>
      <c r="C484" s="26"/>
      <c r="D484" s="26"/>
      <c r="J484" s="26"/>
      <c r="K484" s="26"/>
    </row>
    <row r="485">
      <c r="B485" s="26"/>
      <c r="C485" s="26"/>
      <c r="D485" s="26"/>
      <c r="J485" s="26"/>
      <c r="K485" s="26"/>
    </row>
    <row r="486">
      <c r="B486" s="26"/>
      <c r="C486" s="26"/>
      <c r="D486" s="26"/>
      <c r="J486" s="26"/>
      <c r="K486" s="26"/>
    </row>
    <row r="487">
      <c r="B487" s="26"/>
      <c r="C487" s="26"/>
      <c r="D487" s="26"/>
      <c r="J487" s="26"/>
      <c r="K487" s="26"/>
    </row>
    <row r="488">
      <c r="B488" s="26"/>
      <c r="C488" s="26"/>
      <c r="D488" s="26"/>
      <c r="J488" s="26"/>
      <c r="K488" s="26"/>
    </row>
    <row r="489">
      <c r="B489" s="26"/>
      <c r="C489" s="26"/>
      <c r="D489" s="26"/>
      <c r="J489" s="26"/>
      <c r="K489" s="26"/>
    </row>
    <row r="490">
      <c r="B490" s="26"/>
      <c r="C490" s="26"/>
      <c r="D490" s="26"/>
      <c r="J490" s="26"/>
      <c r="K490" s="26"/>
    </row>
    <row r="491">
      <c r="B491" s="26"/>
      <c r="C491" s="26"/>
      <c r="D491" s="26"/>
      <c r="J491" s="26"/>
      <c r="K491" s="26"/>
    </row>
    <row r="492">
      <c r="B492" s="26"/>
      <c r="C492" s="26"/>
      <c r="D492" s="26"/>
      <c r="J492" s="26"/>
      <c r="K492" s="26"/>
    </row>
    <row r="493">
      <c r="B493" s="26"/>
      <c r="C493" s="26"/>
      <c r="D493" s="26"/>
      <c r="J493" s="26"/>
      <c r="K493" s="26"/>
    </row>
    <row r="494">
      <c r="B494" s="26"/>
      <c r="C494" s="26"/>
      <c r="D494" s="26"/>
      <c r="J494" s="26"/>
      <c r="K494" s="26"/>
    </row>
    <row r="495">
      <c r="B495" s="26"/>
      <c r="C495" s="26"/>
      <c r="D495" s="26"/>
      <c r="J495" s="26"/>
      <c r="K495" s="26"/>
    </row>
    <row r="496">
      <c r="B496" s="26"/>
      <c r="C496" s="26"/>
      <c r="D496" s="26"/>
      <c r="J496" s="26"/>
      <c r="K496" s="26"/>
    </row>
    <row r="497">
      <c r="B497" s="26"/>
      <c r="C497" s="26"/>
      <c r="D497" s="26"/>
      <c r="J497" s="26"/>
      <c r="K497" s="26"/>
    </row>
    <row r="498">
      <c r="B498" s="26"/>
      <c r="C498" s="26"/>
      <c r="D498" s="26"/>
      <c r="J498" s="26"/>
      <c r="K498" s="26"/>
    </row>
    <row r="499">
      <c r="B499" s="26"/>
      <c r="C499" s="26"/>
      <c r="D499" s="26"/>
      <c r="J499" s="26"/>
      <c r="K499" s="26"/>
    </row>
    <row r="500">
      <c r="B500" s="26"/>
      <c r="C500" s="26"/>
      <c r="D500" s="26"/>
      <c r="J500" s="26"/>
      <c r="K500" s="26"/>
    </row>
    <row r="501">
      <c r="B501" s="26"/>
      <c r="C501" s="26"/>
      <c r="D501" s="26"/>
      <c r="J501" s="26"/>
      <c r="K501" s="26"/>
    </row>
    <row r="502">
      <c r="B502" s="26"/>
      <c r="C502" s="26"/>
      <c r="D502" s="26"/>
      <c r="J502" s="26"/>
      <c r="K502" s="26"/>
    </row>
    <row r="503">
      <c r="B503" s="26"/>
      <c r="C503" s="26"/>
      <c r="D503" s="26"/>
      <c r="J503" s="26"/>
      <c r="K503" s="26"/>
    </row>
    <row r="504">
      <c r="B504" s="26"/>
      <c r="C504" s="26"/>
      <c r="D504" s="26"/>
      <c r="J504" s="26"/>
      <c r="K504" s="26"/>
    </row>
    <row r="505">
      <c r="B505" s="26"/>
      <c r="C505" s="26"/>
      <c r="D505" s="26"/>
      <c r="J505" s="26"/>
      <c r="K505" s="26"/>
    </row>
    <row r="506">
      <c r="B506" s="26"/>
      <c r="C506" s="26"/>
      <c r="D506" s="26"/>
      <c r="J506" s="26"/>
      <c r="K506" s="26"/>
    </row>
    <row r="507">
      <c r="B507" s="26"/>
      <c r="C507" s="26"/>
      <c r="D507" s="26"/>
      <c r="J507" s="26"/>
      <c r="K507" s="26"/>
    </row>
    <row r="508">
      <c r="B508" s="26"/>
      <c r="C508" s="26"/>
      <c r="D508" s="26"/>
      <c r="J508" s="26"/>
      <c r="K508" s="26"/>
    </row>
    <row r="509">
      <c r="B509" s="26"/>
      <c r="C509" s="26"/>
      <c r="D509" s="26"/>
      <c r="J509" s="26"/>
      <c r="K509" s="26"/>
    </row>
    <row r="510">
      <c r="B510" s="26"/>
      <c r="C510" s="26"/>
      <c r="D510" s="26"/>
      <c r="J510" s="26"/>
      <c r="K510" s="26"/>
    </row>
    <row r="511">
      <c r="B511" s="26"/>
      <c r="C511" s="26"/>
      <c r="D511" s="26"/>
      <c r="J511" s="26"/>
      <c r="K511" s="26"/>
    </row>
    <row r="512">
      <c r="B512" s="26"/>
      <c r="C512" s="26"/>
      <c r="D512" s="26"/>
      <c r="J512" s="26"/>
      <c r="K512" s="26"/>
    </row>
    <row r="513">
      <c r="B513" s="26"/>
      <c r="C513" s="26"/>
      <c r="D513" s="26"/>
      <c r="J513" s="26"/>
      <c r="K513" s="26"/>
    </row>
    <row r="514">
      <c r="B514" s="26"/>
      <c r="C514" s="26"/>
      <c r="D514" s="26"/>
      <c r="J514" s="26"/>
      <c r="K514" s="26"/>
    </row>
    <row r="515">
      <c r="B515" s="26"/>
      <c r="C515" s="26"/>
      <c r="D515" s="26"/>
      <c r="J515" s="26"/>
      <c r="K515" s="26"/>
    </row>
    <row r="516">
      <c r="B516" s="26"/>
      <c r="C516" s="26"/>
      <c r="D516" s="26"/>
      <c r="J516" s="26"/>
      <c r="K516" s="26"/>
    </row>
    <row r="517">
      <c r="B517" s="26"/>
      <c r="C517" s="26"/>
      <c r="D517" s="26"/>
      <c r="J517" s="26"/>
      <c r="K517" s="26"/>
    </row>
    <row r="518">
      <c r="B518" s="26"/>
      <c r="C518" s="26"/>
      <c r="D518" s="26"/>
      <c r="J518" s="26"/>
      <c r="K518" s="26"/>
    </row>
    <row r="519">
      <c r="B519" s="26"/>
      <c r="C519" s="26"/>
      <c r="D519" s="26"/>
      <c r="J519" s="26"/>
      <c r="K519" s="26"/>
    </row>
    <row r="520">
      <c r="B520" s="26"/>
      <c r="C520" s="26"/>
      <c r="D520" s="26"/>
      <c r="J520" s="26"/>
      <c r="K520" s="26"/>
    </row>
    <row r="521">
      <c r="B521" s="26"/>
      <c r="C521" s="26"/>
      <c r="D521" s="26"/>
      <c r="J521" s="26"/>
      <c r="K521" s="26"/>
    </row>
    <row r="522">
      <c r="B522" s="26"/>
      <c r="C522" s="26"/>
      <c r="D522" s="26"/>
      <c r="J522" s="26"/>
      <c r="K522" s="26"/>
    </row>
    <row r="523">
      <c r="B523" s="26"/>
      <c r="C523" s="26"/>
      <c r="D523" s="26"/>
      <c r="J523" s="26"/>
      <c r="K523" s="26"/>
    </row>
    <row r="524">
      <c r="B524" s="26"/>
      <c r="C524" s="26"/>
      <c r="D524" s="26"/>
      <c r="J524" s="26"/>
      <c r="K524" s="26"/>
    </row>
    <row r="525">
      <c r="B525" s="26"/>
      <c r="C525" s="26"/>
      <c r="D525" s="26"/>
      <c r="J525" s="26"/>
      <c r="K525" s="26"/>
    </row>
    <row r="526">
      <c r="B526" s="26"/>
      <c r="C526" s="26"/>
      <c r="D526" s="26"/>
      <c r="J526" s="26"/>
      <c r="K526" s="26"/>
    </row>
    <row r="527">
      <c r="B527" s="26"/>
      <c r="C527" s="26"/>
      <c r="D527" s="26"/>
      <c r="J527" s="26"/>
      <c r="K527" s="26"/>
    </row>
    <row r="528">
      <c r="B528" s="26"/>
      <c r="C528" s="26"/>
      <c r="D528" s="26"/>
      <c r="J528" s="26"/>
      <c r="K528" s="26"/>
    </row>
    <row r="529">
      <c r="B529" s="26"/>
      <c r="C529" s="26"/>
      <c r="D529" s="26"/>
      <c r="J529" s="26"/>
      <c r="K529" s="26"/>
    </row>
    <row r="530">
      <c r="B530" s="26"/>
      <c r="C530" s="26"/>
      <c r="D530" s="26"/>
      <c r="J530" s="26"/>
      <c r="K530" s="26"/>
    </row>
    <row r="531">
      <c r="B531" s="26"/>
      <c r="C531" s="26"/>
      <c r="D531" s="26"/>
      <c r="J531" s="26"/>
      <c r="K531" s="26"/>
    </row>
    <row r="532">
      <c r="B532" s="26"/>
      <c r="C532" s="26"/>
      <c r="D532" s="26"/>
      <c r="J532" s="26"/>
      <c r="K532" s="26"/>
    </row>
    <row r="533">
      <c r="B533" s="26"/>
      <c r="C533" s="26"/>
      <c r="D533" s="26"/>
      <c r="J533" s="26"/>
      <c r="K533" s="26"/>
    </row>
    <row r="534">
      <c r="B534" s="26"/>
      <c r="C534" s="26"/>
      <c r="D534" s="26"/>
      <c r="J534" s="26"/>
      <c r="K534" s="26"/>
    </row>
    <row r="535">
      <c r="B535" s="26"/>
      <c r="C535" s="26"/>
      <c r="D535" s="26"/>
      <c r="J535" s="26"/>
      <c r="K535" s="26"/>
    </row>
    <row r="536">
      <c r="B536" s="26"/>
      <c r="C536" s="26"/>
      <c r="D536" s="26"/>
      <c r="J536" s="26"/>
      <c r="K536" s="26"/>
    </row>
    <row r="537">
      <c r="B537" s="26"/>
      <c r="C537" s="26"/>
      <c r="D537" s="26"/>
      <c r="J537" s="26"/>
      <c r="K537" s="26"/>
    </row>
    <row r="538">
      <c r="B538" s="26"/>
      <c r="C538" s="26"/>
      <c r="D538" s="26"/>
      <c r="J538" s="26"/>
      <c r="K538" s="26"/>
    </row>
    <row r="539">
      <c r="B539" s="26"/>
      <c r="C539" s="26"/>
      <c r="D539" s="26"/>
      <c r="J539" s="26"/>
      <c r="K539" s="26"/>
    </row>
    <row r="540">
      <c r="B540" s="26"/>
      <c r="C540" s="26"/>
      <c r="D540" s="26"/>
      <c r="J540" s="26"/>
      <c r="K540" s="26"/>
    </row>
    <row r="541">
      <c r="B541" s="26"/>
      <c r="C541" s="26"/>
      <c r="D541" s="26"/>
      <c r="J541" s="26"/>
      <c r="K541" s="26"/>
    </row>
    <row r="542">
      <c r="B542" s="26"/>
      <c r="C542" s="26"/>
      <c r="D542" s="26"/>
      <c r="J542" s="26"/>
      <c r="K542" s="26"/>
    </row>
    <row r="543">
      <c r="B543" s="26"/>
      <c r="C543" s="26"/>
      <c r="D543" s="26"/>
      <c r="J543" s="26"/>
      <c r="K543" s="26"/>
    </row>
    <row r="544">
      <c r="B544" s="26"/>
      <c r="C544" s="26"/>
      <c r="D544" s="26"/>
      <c r="J544" s="26"/>
      <c r="K544" s="26"/>
    </row>
    <row r="545">
      <c r="B545" s="26"/>
      <c r="C545" s="26"/>
      <c r="D545" s="26"/>
      <c r="J545" s="26"/>
      <c r="K545" s="26"/>
    </row>
    <row r="546">
      <c r="B546" s="26"/>
      <c r="C546" s="26"/>
      <c r="D546" s="26"/>
      <c r="J546" s="26"/>
      <c r="K546" s="26"/>
    </row>
    <row r="547">
      <c r="B547" s="26"/>
      <c r="C547" s="26"/>
      <c r="D547" s="26"/>
      <c r="J547" s="26"/>
      <c r="K547" s="26"/>
    </row>
    <row r="548">
      <c r="B548" s="26"/>
      <c r="C548" s="26"/>
      <c r="D548" s="26"/>
      <c r="J548" s="26"/>
      <c r="K548" s="26"/>
    </row>
    <row r="549">
      <c r="B549" s="26"/>
      <c r="C549" s="26"/>
      <c r="D549" s="26"/>
      <c r="J549" s="26"/>
      <c r="K549" s="26"/>
    </row>
    <row r="550">
      <c r="B550" s="26"/>
      <c r="C550" s="26"/>
      <c r="D550" s="26"/>
      <c r="J550" s="26"/>
      <c r="K550" s="26"/>
    </row>
    <row r="551">
      <c r="B551" s="26"/>
      <c r="C551" s="26"/>
      <c r="D551" s="26"/>
      <c r="J551" s="26"/>
      <c r="K551" s="26"/>
    </row>
    <row r="552">
      <c r="B552" s="26"/>
      <c r="C552" s="26"/>
      <c r="D552" s="26"/>
      <c r="J552" s="26"/>
      <c r="K552" s="26"/>
    </row>
    <row r="553">
      <c r="B553" s="26"/>
      <c r="C553" s="26"/>
      <c r="D553" s="26"/>
      <c r="J553" s="26"/>
      <c r="K553" s="26"/>
    </row>
    <row r="554">
      <c r="B554" s="26"/>
      <c r="C554" s="26"/>
      <c r="D554" s="26"/>
      <c r="J554" s="26"/>
      <c r="K554" s="26"/>
    </row>
    <row r="555">
      <c r="B555" s="26"/>
      <c r="C555" s="26"/>
      <c r="D555" s="26"/>
      <c r="J555" s="26"/>
      <c r="K555" s="26"/>
    </row>
    <row r="556">
      <c r="B556" s="26"/>
      <c r="C556" s="26"/>
      <c r="D556" s="26"/>
      <c r="J556" s="26"/>
      <c r="K556" s="26"/>
    </row>
    <row r="557">
      <c r="B557" s="26"/>
      <c r="C557" s="26"/>
      <c r="D557" s="26"/>
      <c r="J557" s="26"/>
      <c r="K557" s="26"/>
    </row>
    <row r="558">
      <c r="B558" s="26"/>
      <c r="C558" s="26"/>
      <c r="D558" s="26"/>
      <c r="J558" s="26"/>
      <c r="K558" s="26"/>
    </row>
    <row r="559">
      <c r="B559" s="26"/>
      <c r="C559" s="26"/>
      <c r="D559" s="26"/>
      <c r="J559" s="26"/>
      <c r="K559" s="26"/>
    </row>
    <row r="560">
      <c r="B560" s="26"/>
      <c r="C560" s="26"/>
      <c r="D560" s="26"/>
      <c r="J560" s="26"/>
      <c r="K560" s="26"/>
    </row>
    <row r="561">
      <c r="B561" s="26"/>
      <c r="C561" s="26"/>
      <c r="D561" s="26"/>
      <c r="J561" s="26"/>
      <c r="K561" s="26"/>
    </row>
    <row r="562">
      <c r="B562" s="26"/>
      <c r="C562" s="26"/>
      <c r="D562" s="26"/>
      <c r="J562" s="26"/>
      <c r="K562" s="26"/>
    </row>
    <row r="563">
      <c r="B563" s="26"/>
      <c r="C563" s="26"/>
      <c r="D563" s="26"/>
      <c r="J563" s="26"/>
      <c r="K563" s="26"/>
    </row>
    <row r="564">
      <c r="B564" s="26"/>
      <c r="C564" s="26"/>
      <c r="D564" s="26"/>
      <c r="J564" s="26"/>
      <c r="K564" s="26"/>
    </row>
    <row r="565">
      <c r="B565" s="26"/>
      <c r="C565" s="26"/>
      <c r="D565" s="26"/>
      <c r="J565" s="26"/>
      <c r="K565" s="26"/>
    </row>
    <row r="566">
      <c r="B566" s="26"/>
      <c r="C566" s="26"/>
      <c r="D566" s="26"/>
      <c r="J566" s="26"/>
      <c r="K566" s="26"/>
    </row>
    <row r="567">
      <c r="B567" s="26"/>
      <c r="C567" s="26"/>
      <c r="D567" s="26"/>
      <c r="J567" s="26"/>
      <c r="K567" s="26"/>
    </row>
    <row r="568">
      <c r="B568" s="26"/>
      <c r="C568" s="26"/>
      <c r="D568" s="26"/>
      <c r="J568" s="26"/>
      <c r="K568" s="26"/>
    </row>
    <row r="569">
      <c r="B569" s="26"/>
      <c r="C569" s="26"/>
      <c r="D569" s="26"/>
      <c r="J569" s="26"/>
      <c r="K569" s="26"/>
    </row>
    <row r="570">
      <c r="B570" s="26"/>
      <c r="C570" s="26"/>
      <c r="D570" s="26"/>
      <c r="J570" s="26"/>
      <c r="K570" s="26"/>
    </row>
    <row r="571">
      <c r="B571" s="26"/>
      <c r="C571" s="26"/>
      <c r="D571" s="26"/>
      <c r="J571" s="26"/>
      <c r="K571" s="26"/>
    </row>
    <row r="572">
      <c r="B572" s="26"/>
      <c r="C572" s="26"/>
      <c r="D572" s="26"/>
      <c r="J572" s="26"/>
      <c r="K572" s="26"/>
    </row>
    <row r="573">
      <c r="B573" s="26"/>
      <c r="C573" s="26"/>
      <c r="D573" s="26"/>
      <c r="J573" s="26"/>
      <c r="K573" s="26"/>
    </row>
    <row r="574">
      <c r="B574" s="26"/>
      <c r="C574" s="26"/>
      <c r="D574" s="26"/>
      <c r="J574" s="26"/>
      <c r="K574" s="26"/>
    </row>
    <row r="575">
      <c r="B575" s="26"/>
      <c r="C575" s="26"/>
      <c r="D575" s="26"/>
      <c r="J575" s="26"/>
      <c r="K575" s="26"/>
    </row>
    <row r="576">
      <c r="B576" s="26"/>
      <c r="C576" s="26"/>
      <c r="D576" s="26"/>
      <c r="J576" s="26"/>
      <c r="K576" s="26"/>
    </row>
    <row r="577">
      <c r="B577" s="26"/>
      <c r="C577" s="26"/>
      <c r="D577" s="26"/>
      <c r="J577" s="26"/>
      <c r="K577" s="26"/>
    </row>
    <row r="578">
      <c r="B578" s="26"/>
      <c r="C578" s="26"/>
      <c r="D578" s="26"/>
      <c r="J578" s="26"/>
      <c r="K578" s="26"/>
    </row>
    <row r="579">
      <c r="B579" s="26"/>
      <c r="C579" s="26"/>
      <c r="D579" s="26"/>
      <c r="J579" s="26"/>
      <c r="K579" s="26"/>
    </row>
    <row r="580">
      <c r="B580" s="26"/>
      <c r="C580" s="26"/>
      <c r="D580" s="26"/>
      <c r="J580" s="26"/>
      <c r="K580" s="26"/>
    </row>
    <row r="581">
      <c r="B581" s="26"/>
      <c r="C581" s="26"/>
      <c r="D581" s="26"/>
      <c r="J581" s="26"/>
      <c r="K581" s="26"/>
    </row>
    <row r="582">
      <c r="B582" s="26"/>
      <c r="C582" s="26"/>
      <c r="D582" s="26"/>
      <c r="J582" s="26"/>
      <c r="K582" s="26"/>
    </row>
    <row r="583">
      <c r="B583" s="26"/>
      <c r="C583" s="26"/>
      <c r="D583" s="26"/>
      <c r="J583" s="26"/>
      <c r="K583" s="26"/>
    </row>
    <row r="584">
      <c r="B584" s="26"/>
      <c r="C584" s="26"/>
      <c r="D584" s="26"/>
      <c r="J584" s="26"/>
      <c r="K584" s="26"/>
    </row>
    <row r="585">
      <c r="B585" s="26"/>
      <c r="C585" s="26"/>
      <c r="D585" s="26"/>
      <c r="J585" s="26"/>
      <c r="K585" s="26"/>
    </row>
    <row r="586">
      <c r="B586" s="26"/>
      <c r="C586" s="26"/>
      <c r="D586" s="26"/>
      <c r="J586" s="26"/>
      <c r="K586" s="26"/>
    </row>
    <row r="587">
      <c r="B587" s="26"/>
      <c r="C587" s="26"/>
      <c r="D587" s="26"/>
      <c r="J587" s="26"/>
      <c r="K587" s="26"/>
    </row>
    <row r="588">
      <c r="B588" s="26"/>
      <c r="C588" s="26"/>
      <c r="D588" s="26"/>
      <c r="J588" s="26"/>
      <c r="K588" s="26"/>
    </row>
    <row r="589">
      <c r="B589" s="26"/>
      <c r="C589" s="26"/>
      <c r="D589" s="26"/>
      <c r="J589" s="26"/>
      <c r="K589" s="26"/>
    </row>
    <row r="590">
      <c r="B590" s="26"/>
      <c r="C590" s="26"/>
      <c r="D590" s="26"/>
      <c r="J590" s="26"/>
      <c r="K590" s="26"/>
    </row>
    <row r="591">
      <c r="B591" s="26"/>
      <c r="C591" s="26"/>
      <c r="D591" s="26"/>
      <c r="J591" s="26"/>
      <c r="K591" s="26"/>
    </row>
    <row r="592">
      <c r="B592" s="26"/>
      <c r="C592" s="26"/>
      <c r="D592" s="26"/>
      <c r="J592" s="26"/>
      <c r="K592" s="26"/>
    </row>
    <row r="593">
      <c r="B593" s="26"/>
      <c r="C593" s="26"/>
      <c r="D593" s="26"/>
      <c r="J593" s="26"/>
      <c r="K593" s="26"/>
    </row>
    <row r="594">
      <c r="B594" s="26"/>
      <c r="C594" s="26"/>
      <c r="D594" s="26"/>
      <c r="J594" s="26"/>
      <c r="K594" s="26"/>
    </row>
    <row r="595">
      <c r="B595" s="26"/>
      <c r="C595" s="26"/>
      <c r="D595" s="26"/>
      <c r="J595" s="26"/>
      <c r="K595" s="26"/>
    </row>
    <row r="596">
      <c r="B596" s="26"/>
      <c r="C596" s="26"/>
      <c r="D596" s="26"/>
      <c r="J596" s="26"/>
      <c r="K596" s="26"/>
    </row>
    <row r="597">
      <c r="B597" s="26"/>
      <c r="C597" s="26"/>
      <c r="D597" s="26"/>
      <c r="J597" s="26"/>
      <c r="K597" s="26"/>
    </row>
    <row r="598">
      <c r="B598" s="26"/>
      <c r="C598" s="26"/>
      <c r="D598" s="26"/>
      <c r="J598" s="26"/>
      <c r="K598" s="26"/>
    </row>
    <row r="599">
      <c r="B599" s="26"/>
      <c r="C599" s="26"/>
      <c r="D599" s="26"/>
      <c r="J599" s="26"/>
      <c r="K599" s="26"/>
    </row>
    <row r="600">
      <c r="B600" s="26"/>
      <c r="C600" s="26"/>
      <c r="D600" s="26"/>
      <c r="J600" s="26"/>
      <c r="K600" s="26"/>
    </row>
    <row r="601">
      <c r="B601" s="26"/>
      <c r="C601" s="26"/>
      <c r="D601" s="26"/>
      <c r="J601" s="26"/>
      <c r="K601" s="26"/>
    </row>
    <row r="602">
      <c r="B602" s="26"/>
      <c r="C602" s="26"/>
      <c r="D602" s="26"/>
      <c r="J602" s="26"/>
      <c r="K602" s="26"/>
    </row>
    <row r="603">
      <c r="B603" s="26"/>
      <c r="C603" s="26"/>
      <c r="D603" s="26"/>
      <c r="J603" s="26"/>
      <c r="K603" s="26"/>
    </row>
    <row r="604">
      <c r="B604" s="26"/>
      <c r="C604" s="26"/>
      <c r="D604" s="26"/>
      <c r="J604" s="26"/>
      <c r="K604" s="26"/>
    </row>
    <row r="605">
      <c r="B605" s="26"/>
      <c r="C605" s="26"/>
      <c r="D605" s="26"/>
      <c r="J605" s="26"/>
      <c r="K605" s="26"/>
    </row>
    <row r="606">
      <c r="B606" s="26"/>
      <c r="C606" s="26"/>
      <c r="D606" s="26"/>
      <c r="J606" s="26"/>
      <c r="K606" s="26"/>
    </row>
    <row r="607">
      <c r="B607" s="26"/>
      <c r="C607" s="26"/>
      <c r="D607" s="26"/>
      <c r="J607" s="26"/>
      <c r="K607" s="26"/>
    </row>
    <row r="608">
      <c r="B608" s="26"/>
      <c r="C608" s="26"/>
      <c r="D608" s="26"/>
      <c r="J608" s="26"/>
      <c r="K608" s="26"/>
    </row>
    <row r="609">
      <c r="B609" s="26"/>
      <c r="C609" s="26"/>
      <c r="D609" s="26"/>
      <c r="J609" s="26"/>
      <c r="K609" s="26"/>
    </row>
    <row r="610">
      <c r="B610" s="26"/>
      <c r="C610" s="26"/>
      <c r="D610" s="26"/>
      <c r="J610" s="26"/>
      <c r="K610" s="26"/>
    </row>
    <row r="611">
      <c r="B611" s="26"/>
      <c r="C611" s="26"/>
      <c r="D611" s="26"/>
      <c r="J611" s="26"/>
      <c r="K611" s="26"/>
    </row>
    <row r="612">
      <c r="B612" s="26"/>
      <c r="C612" s="26"/>
      <c r="D612" s="26"/>
      <c r="J612" s="26"/>
      <c r="K612" s="26"/>
    </row>
    <row r="613">
      <c r="B613" s="26"/>
      <c r="C613" s="26"/>
      <c r="D613" s="26"/>
      <c r="J613" s="26"/>
      <c r="K613" s="26"/>
    </row>
    <row r="614">
      <c r="B614" s="26"/>
      <c r="C614" s="26"/>
      <c r="D614" s="26"/>
      <c r="J614" s="26"/>
      <c r="K614" s="26"/>
    </row>
    <row r="615">
      <c r="B615" s="26"/>
      <c r="C615" s="26"/>
      <c r="D615" s="26"/>
      <c r="J615" s="26"/>
      <c r="K615" s="26"/>
    </row>
    <row r="616">
      <c r="B616" s="26"/>
      <c r="C616" s="26"/>
      <c r="D616" s="26"/>
      <c r="J616" s="26"/>
      <c r="K616" s="26"/>
    </row>
    <row r="617">
      <c r="B617" s="26"/>
      <c r="C617" s="26"/>
      <c r="D617" s="26"/>
      <c r="J617" s="26"/>
      <c r="K617" s="26"/>
    </row>
    <row r="618">
      <c r="B618" s="26"/>
      <c r="C618" s="26"/>
      <c r="D618" s="26"/>
      <c r="J618" s="26"/>
      <c r="K618" s="26"/>
    </row>
    <row r="619">
      <c r="B619" s="26"/>
      <c r="C619" s="26"/>
      <c r="D619" s="26"/>
      <c r="J619" s="26"/>
      <c r="K619" s="26"/>
    </row>
    <row r="620">
      <c r="B620" s="26"/>
      <c r="C620" s="26"/>
      <c r="D620" s="26"/>
      <c r="J620" s="26"/>
      <c r="K620" s="26"/>
    </row>
    <row r="621">
      <c r="B621" s="26"/>
      <c r="C621" s="26"/>
      <c r="D621" s="26"/>
      <c r="J621" s="26"/>
      <c r="K621" s="26"/>
    </row>
    <row r="622">
      <c r="B622" s="26"/>
      <c r="C622" s="26"/>
      <c r="D622" s="26"/>
      <c r="J622" s="26"/>
      <c r="K622" s="26"/>
    </row>
    <row r="623">
      <c r="B623" s="26"/>
      <c r="C623" s="26"/>
      <c r="D623" s="26"/>
      <c r="J623" s="26"/>
      <c r="K623" s="26"/>
    </row>
    <row r="624">
      <c r="B624" s="26"/>
      <c r="C624" s="26"/>
      <c r="D624" s="26"/>
      <c r="J624" s="26"/>
      <c r="K624" s="26"/>
    </row>
    <row r="625">
      <c r="B625" s="26"/>
      <c r="C625" s="26"/>
      <c r="D625" s="26"/>
      <c r="J625" s="26"/>
      <c r="K625" s="26"/>
    </row>
    <row r="626">
      <c r="B626" s="26"/>
      <c r="C626" s="26"/>
      <c r="D626" s="26"/>
      <c r="J626" s="26"/>
      <c r="K626" s="26"/>
    </row>
    <row r="627">
      <c r="B627" s="26"/>
      <c r="C627" s="26"/>
      <c r="D627" s="26"/>
      <c r="J627" s="26"/>
      <c r="K627" s="26"/>
    </row>
    <row r="628">
      <c r="B628" s="26"/>
      <c r="C628" s="26"/>
      <c r="D628" s="26"/>
      <c r="J628" s="26"/>
      <c r="K628" s="26"/>
    </row>
    <row r="629">
      <c r="B629" s="26"/>
      <c r="C629" s="26"/>
      <c r="D629" s="26"/>
      <c r="J629" s="26"/>
      <c r="K629" s="26"/>
    </row>
    <row r="630">
      <c r="B630" s="26"/>
      <c r="C630" s="26"/>
      <c r="D630" s="26"/>
      <c r="J630" s="26"/>
      <c r="K630" s="26"/>
    </row>
    <row r="631">
      <c r="B631" s="26"/>
      <c r="C631" s="26"/>
      <c r="D631" s="26"/>
      <c r="J631" s="26"/>
      <c r="K631" s="26"/>
    </row>
    <row r="632">
      <c r="B632" s="26"/>
      <c r="C632" s="26"/>
      <c r="D632" s="26"/>
      <c r="J632" s="26"/>
      <c r="K632" s="26"/>
    </row>
    <row r="633">
      <c r="B633" s="26"/>
      <c r="C633" s="26"/>
      <c r="D633" s="26"/>
      <c r="J633" s="26"/>
      <c r="K633" s="26"/>
    </row>
    <row r="634">
      <c r="B634" s="26"/>
      <c r="C634" s="26"/>
      <c r="D634" s="26"/>
      <c r="J634" s="26"/>
      <c r="K634" s="26"/>
    </row>
    <row r="635">
      <c r="B635" s="26"/>
      <c r="C635" s="26"/>
      <c r="D635" s="26"/>
      <c r="J635" s="26"/>
      <c r="K635" s="26"/>
    </row>
    <row r="636">
      <c r="B636" s="26"/>
      <c r="C636" s="26"/>
      <c r="D636" s="26"/>
      <c r="J636" s="26"/>
      <c r="K636" s="26"/>
    </row>
    <row r="637">
      <c r="B637" s="26"/>
      <c r="C637" s="26"/>
      <c r="D637" s="26"/>
      <c r="J637" s="26"/>
      <c r="K637" s="26"/>
    </row>
    <row r="638">
      <c r="B638" s="26"/>
      <c r="C638" s="26"/>
      <c r="D638" s="26"/>
      <c r="J638" s="26"/>
      <c r="K638" s="26"/>
    </row>
    <row r="639">
      <c r="B639" s="26"/>
      <c r="C639" s="26"/>
      <c r="D639" s="26"/>
      <c r="J639" s="26"/>
      <c r="K639" s="26"/>
    </row>
    <row r="640">
      <c r="B640" s="26"/>
      <c r="C640" s="26"/>
      <c r="D640" s="26"/>
      <c r="J640" s="26"/>
      <c r="K640" s="26"/>
    </row>
    <row r="641">
      <c r="B641" s="26"/>
      <c r="C641" s="26"/>
      <c r="D641" s="26"/>
      <c r="J641" s="26"/>
      <c r="K641" s="26"/>
    </row>
    <row r="642">
      <c r="B642" s="26"/>
      <c r="C642" s="26"/>
      <c r="D642" s="26"/>
      <c r="J642" s="26"/>
      <c r="K642" s="26"/>
    </row>
    <row r="643">
      <c r="B643" s="26"/>
      <c r="C643" s="26"/>
      <c r="D643" s="26"/>
      <c r="J643" s="26"/>
      <c r="K643" s="26"/>
    </row>
    <row r="644">
      <c r="B644" s="26"/>
      <c r="C644" s="26"/>
      <c r="D644" s="26"/>
      <c r="J644" s="26"/>
      <c r="K644" s="26"/>
    </row>
    <row r="645">
      <c r="B645" s="26"/>
      <c r="C645" s="26"/>
      <c r="D645" s="26"/>
      <c r="J645" s="26"/>
      <c r="K645" s="26"/>
    </row>
    <row r="646">
      <c r="B646" s="26"/>
      <c r="C646" s="26"/>
      <c r="D646" s="26"/>
      <c r="J646" s="26"/>
      <c r="K646" s="26"/>
    </row>
    <row r="647">
      <c r="B647" s="26"/>
      <c r="C647" s="26"/>
      <c r="D647" s="26"/>
      <c r="J647" s="26"/>
      <c r="K647" s="26"/>
    </row>
    <row r="648">
      <c r="B648" s="26"/>
      <c r="C648" s="26"/>
      <c r="D648" s="26"/>
      <c r="J648" s="26"/>
      <c r="K648" s="26"/>
    </row>
    <row r="649">
      <c r="B649" s="26"/>
      <c r="C649" s="26"/>
      <c r="D649" s="26"/>
      <c r="J649" s="26"/>
      <c r="K649" s="26"/>
    </row>
    <row r="650">
      <c r="B650" s="26"/>
      <c r="C650" s="26"/>
      <c r="D650" s="26"/>
      <c r="J650" s="26"/>
      <c r="K650" s="26"/>
    </row>
    <row r="651">
      <c r="B651" s="26"/>
      <c r="C651" s="26"/>
      <c r="D651" s="26"/>
      <c r="J651" s="26"/>
      <c r="K651" s="26"/>
    </row>
    <row r="652">
      <c r="B652" s="26"/>
      <c r="C652" s="26"/>
      <c r="D652" s="26"/>
      <c r="J652" s="26"/>
      <c r="K652" s="26"/>
    </row>
    <row r="653">
      <c r="B653" s="26"/>
      <c r="C653" s="26"/>
      <c r="D653" s="26"/>
      <c r="J653" s="26"/>
      <c r="K653" s="26"/>
    </row>
    <row r="654">
      <c r="B654" s="26"/>
      <c r="C654" s="26"/>
      <c r="D654" s="26"/>
      <c r="J654" s="26"/>
      <c r="K654" s="26"/>
    </row>
    <row r="655">
      <c r="B655" s="26"/>
      <c r="C655" s="26"/>
      <c r="D655" s="26"/>
      <c r="J655" s="26"/>
      <c r="K655" s="26"/>
    </row>
    <row r="656">
      <c r="B656" s="26"/>
      <c r="C656" s="26"/>
      <c r="D656" s="26"/>
      <c r="J656" s="26"/>
      <c r="K656" s="26"/>
    </row>
    <row r="657">
      <c r="B657" s="26"/>
      <c r="C657" s="26"/>
      <c r="D657" s="26"/>
      <c r="J657" s="26"/>
      <c r="K657" s="26"/>
    </row>
    <row r="658">
      <c r="B658" s="26"/>
      <c r="C658" s="26"/>
      <c r="D658" s="26"/>
      <c r="J658" s="26"/>
      <c r="K658" s="26"/>
    </row>
    <row r="659">
      <c r="B659" s="26"/>
      <c r="C659" s="26"/>
      <c r="D659" s="26"/>
      <c r="J659" s="26"/>
      <c r="K659" s="26"/>
    </row>
    <row r="660">
      <c r="B660" s="26"/>
      <c r="C660" s="26"/>
      <c r="D660" s="26"/>
      <c r="J660" s="26"/>
      <c r="K660" s="26"/>
    </row>
    <row r="661">
      <c r="B661" s="26"/>
      <c r="C661" s="26"/>
      <c r="D661" s="26"/>
      <c r="J661" s="26"/>
      <c r="K661" s="26"/>
    </row>
    <row r="662">
      <c r="B662" s="26"/>
      <c r="C662" s="26"/>
      <c r="D662" s="26"/>
      <c r="J662" s="26"/>
      <c r="K662" s="26"/>
    </row>
    <row r="663">
      <c r="B663" s="26"/>
      <c r="C663" s="26"/>
      <c r="D663" s="26"/>
      <c r="J663" s="26"/>
      <c r="K663" s="26"/>
    </row>
    <row r="664">
      <c r="B664" s="26"/>
      <c r="C664" s="26"/>
      <c r="D664" s="26"/>
      <c r="J664" s="26"/>
      <c r="K664" s="26"/>
    </row>
    <row r="665">
      <c r="B665" s="26"/>
      <c r="C665" s="26"/>
      <c r="D665" s="26"/>
      <c r="J665" s="26"/>
      <c r="K665" s="26"/>
    </row>
    <row r="666">
      <c r="B666" s="26"/>
      <c r="C666" s="26"/>
      <c r="D666" s="26"/>
      <c r="J666" s="26"/>
      <c r="K666" s="26"/>
    </row>
    <row r="667">
      <c r="B667" s="26"/>
      <c r="C667" s="26"/>
      <c r="D667" s="26"/>
      <c r="J667" s="26"/>
      <c r="K667" s="26"/>
    </row>
    <row r="668">
      <c r="B668" s="26"/>
      <c r="C668" s="26"/>
      <c r="D668" s="26"/>
      <c r="J668" s="26"/>
      <c r="K668" s="26"/>
    </row>
    <row r="669">
      <c r="B669" s="26"/>
      <c r="C669" s="26"/>
      <c r="D669" s="26"/>
      <c r="J669" s="26"/>
      <c r="K669" s="26"/>
    </row>
    <row r="670">
      <c r="B670" s="26"/>
      <c r="C670" s="26"/>
      <c r="D670" s="26"/>
      <c r="J670" s="26"/>
      <c r="K670" s="26"/>
    </row>
    <row r="671">
      <c r="B671" s="26"/>
      <c r="C671" s="26"/>
      <c r="D671" s="26"/>
      <c r="J671" s="26"/>
      <c r="K671" s="26"/>
    </row>
    <row r="672">
      <c r="B672" s="26"/>
      <c r="C672" s="26"/>
      <c r="D672" s="26"/>
      <c r="J672" s="26"/>
      <c r="K672" s="26"/>
    </row>
    <row r="673">
      <c r="B673" s="26"/>
      <c r="C673" s="26"/>
      <c r="D673" s="26"/>
      <c r="J673" s="26"/>
      <c r="K673" s="26"/>
    </row>
    <row r="674">
      <c r="B674" s="26"/>
      <c r="C674" s="26"/>
      <c r="D674" s="26"/>
      <c r="J674" s="26"/>
      <c r="K674" s="26"/>
    </row>
    <row r="675">
      <c r="B675" s="26"/>
      <c r="C675" s="26"/>
      <c r="D675" s="26"/>
      <c r="J675" s="26"/>
      <c r="K675" s="26"/>
    </row>
    <row r="676">
      <c r="B676" s="26"/>
      <c r="C676" s="26"/>
      <c r="D676" s="26"/>
      <c r="J676" s="26"/>
      <c r="K676" s="26"/>
    </row>
    <row r="677">
      <c r="B677" s="26"/>
      <c r="C677" s="26"/>
      <c r="D677" s="26"/>
      <c r="J677" s="26"/>
      <c r="K677" s="26"/>
    </row>
    <row r="678">
      <c r="B678" s="26"/>
      <c r="C678" s="26"/>
      <c r="D678" s="26"/>
      <c r="J678" s="26"/>
      <c r="K678" s="26"/>
    </row>
    <row r="679">
      <c r="B679" s="26"/>
      <c r="C679" s="26"/>
      <c r="D679" s="26"/>
      <c r="J679" s="26"/>
      <c r="K679" s="26"/>
    </row>
    <row r="680">
      <c r="B680" s="26"/>
      <c r="C680" s="26"/>
      <c r="D680" s="26"/>
      <c r="J680" s="26"/>
      <c r="K680" s="26"/>
    </row>
    <row r="681">
      <c r="B681" s="26"/>
      <c r="C681" s="26"/>
      <c r="D681" s="26"/>
      <c r="J681" s="26"/>
      <c r="K681" s="26"/>
    </row>
    <row r="682">
      <c r="B682" s="26"/>
      <c r="C682" s="26"/>
      <c r="D682" s="26"/>
      <c r="J682" s="26"/>
      <c r="K682" s="26"/>
    </row>
    <row r="683">
      <c r="B683" s="26"/>
      <c r="C683" s="26"/>
      <c r="D683" s="26"/>
      <c r="J683" s="26"/>
      <c r="K683" s="26"/>
    </row>
    <row r="684">
      <c r="B684" s="26"/>
      <c r="C684" s="26"/>
      <c r="D684" s="26"/>
      <c r="J684" s="26"/>
      <c r="K684" s="26"/>
    </row>
    <row r="685">
      <c r="B685" s="26"/>
      <c r="C685" s="26"/>
      <c r="D685" s="26"/>
      <c r="J685" s="26"/>
      <c r="K685" s="26"/>
    </row>
    <row r="686">
      <c r="B686" s="26"/>
      <c r="C686" s="26"/>
      <c r="D686" s="26"/>
      <c r="J686" s="26"/>
      <c r="K686" s="26"/>
    </row>
    <row r="687">
      <c r="B687" s="26"/>
      <c r="C687" s="26"/>
      <c r="D687" s="26"/>
      <c r="J687" s="26"/>
      <c r="K687" s="26"/>
    </row>
    <row r="688">
      <c r="B688" s="26"/>
      <c r="C688" s="26"/>
      <c r="D688" s="26"/>
      <c r="J688" s="26"/>
      <c r="K688" s="26"/>
    </row>
    <row r="689">
      <c r="B689" s="26"/>
      <c r="C689" s="26"/>
      <c r="D689" s="26"/>
      <c r="J689" s="26"/>
      <c r="K689" s="26"/>
    </row>
    <row r="690">
      <c r="B690" s="26"/>
      <c r="C690" s="26"/>
      <c r="D690" s="26"/>
      <c r="J690" s="26"/>
      <c r="K690" s="26"/>
    </row>
    <row r="691">
      <c r="B691" s="26"/>
      <c r="C691" s="26"/>
      <c r="D691" s="26"/>
      <c r="J691" s="26"/>
      <c r="K691" s="26"/>
    </row>
    <row r="692">
      <c r="B692" s="26"/>
      <c r="C692" s="26"/>
      <c r="D692" s="26"/>
      <c r="J692" s="26"/>
      <c r="K692" s="26"/>
    </row>
    <row r="693">
      <c r="B693" s="26"/>
      <c r="C693" s="26"/>
      <c r="D693" s="26"/>
      <c r="J693" s="26"/>
      <c r="K693" s="26"/>
    </row>
    <row r="694">
      <c r="B694" s="26"/>
      <c r="C694" s="26"/>
      <c r="D694" s="26"/>
      <c r="J694" s="26"/>
      <c r="K694" s="26"/>
    </row>
    <row r="695">
      <c r="B695" s="26"/>
      <c r="C695" s="26"/>
      <c r="D695" s="26"/>
      <c r="J695" s="26"/>
      <c r="K695" s="26"/>
    </row>
    <row r="696">
      <c r="B696" s="26"/>
      <c r="C696" s="26"/>
      <c r="D696" s="26"/>
      <c r="J696" s="26"/>
      <c r="K696" s="26"/>
    </row>
    <row r="697">
      <c r="B697" s="26"/>
      <c r="C697" s="26"/>
      <c r="D697" s="26"/>
      <c r="J697" s="26"/>
      <c r="K697" s="26"/>
    </row>
    <row r="698">
      <c r="B698" s="26"/>
      <c r="C698" s="26"/>
      <c r="D698" s="26"/>
      <c r="J698" s="26"/>
      <c r="K698" s="26"/>
    </row>
    <row r="699">
      <c r="B699" s="26"/>
      <c r="C699" s="26"/>
      <c r="D699" s="26"/>
      <c r="J699" s="26"/>
      <c r="K699" s="26"/>
    </row>
    <row r="700">
      <c r="B700" s="26"/>
      <c r="C700" s="26"/>
      <c r="D700" s="26"/>
      <c r="J700" s="26"/>
      <c r="K700" s="26"/>
    </row>
    <row r="701">
      <c r="B701" s="26"/>
      <c r="C701" s="26"/>
      <c r="D701" s="26"/>
      <c r="J701" s="26"/>
      <c r="K701" s="26"/>
    </row>
    <row r="702">
      <c r="B702" s="26"/>
      <c r="C702" s="26"/>
      <c r="D702" s="26"/>
      <c r="J702" s="26"/>
      <c r="K702" s="26"/>
    </row>
    <row r="703">
      <c r="B703" s="26"/>
      <c r="C703" s="26"/>
      <c r="D703" s="26"/>
      <c r="J703" s="26"/>
      <c r="K703" s="26"/>
    </row>
    <row r="704">
      <c r="B704" s="26"/>
      <c r="C704" s="26"/>
      <c r="D704" s="26"/>
      <c r="J704" s="26"/>
      <c r="K704" s="26"/>
    </row>
    <row r="705">
      <c r="B705" s="26"/>
      <c r="C705" s="26"/>
      <c r="D705" s="26"/>
      <c r="J705" s="26"/>
      <c r="K705" s="26"/>
    </row>
    <row r="706">
      <c r="B706" s="26"/>
      <c r="C706" s="26"/>
      <c r="D706" s="26"/>
      <c r="J706" s="26"/>
      <c r="K706" s="26"/>
    </row>
    <row r="707">
      <c r="B707" s="26"/>
      <c r="C707" s="26"/>
      <c r="D707" s="26"/>
      <c r="J707" s="26"/>
      <c r="K707" s="26"/>
    </row>
    <row r="708">
      <c r="B708" s="26"/>
      <c r="C708" s="26"/>
      <c r="D708" s="26"/>
      <c r="J708" s="26"/>
      <c r="K708" s="26"/>
    </row>
    <row r="709">
      <c r="B709" s="26"/>
      <c r="C709" s="26"/>
      <c r="D709" s="26"/>
      <c r="J709" s="26"/>
      <c r="K709" s="26"/>
    </row>
    <row r="710">
      <c r="B710" s="26"/>
      <c r="C710" s="26"/>
      <c r="D710" s="26"/>
      <c r="J710" s="26"/>
      <c r="K710" s="26"/>
    </row>
    <row r="711">
      <c r="B711" s="26"/>
      <c r="C711" s="26"/>
      <c r="D711" s="26"/>
      <c r="J711" s="26"/>
      <c r="K711" s="26"/>
    </row>
    <row r="712">
      <c r="B712" s="26"/>
      <c r="C712" s="26"/>
      <c r="D712" s="26"/>
      <c r="J712" s="26"/>
      <c r="K712" s="26"/>
    </row>
    <row r="713">
      <c r="B713" s="26"/>
      <c r="C713" s="26"/>
      <c r="D713" s="26"/>
      <c r="J713" s="26"/>
      <c r="K713" s="26"/>
    </row>
    <row r="714">
      <c r="B714" s="26"/>
      <c r="C714" s="26"/>
      <c r="D714" s="26"/>
      <c r="J714" s="26"/>
      <c r="K714" s="26"/>
    </row>
    <row r="715">
      <c r="B715" s="26"/>
      <c r="C715" s="26"/>
      <c r="D715" s="26"/>
      <c r="J715" s="26"/>
      <c r="K715" s="26"/>
    </row>
    <row r="716">
      <c r="B716" s="26"/>
      <c r="C716" s="26"/>
      <c r="D716" s="26"/>
      <c r="J716" s="26"/>
      <c r="K716" s="26"/>
    </row>
    <row r="717">
      <c r="B717" s="26"/>
      <c r="C717" s="26"/>
      <c r="D717" s="26"/>
      <c r="J717" s="26"/>
      <c r="K717" s="26"/>
    </row>
    <row r="718">
      <c r="B718" s="26"/>
      <c r="C718" s="26"/>
      <c r="D718" s="26"/>
      <c r="J718" s="26"/>
      <c r="K718" s="26"/>
    </row>
    <row r="719">
      <c r="B719" s="26"/>
      <c r="C719" s="26"/>
      <c r="D719" s="26"/>
      <c r="J719" s="26"/>
      <c r="K719" s="26"/>
    </row>
    <row r="720">
      <c r="B720" s="26"/>
      <c r="C720" s="26"/>
      <c r="D720" s="26"/>
      <c r="J720" s="26"/>
      <c r="K720" s="26"/>
    </row>
    <row r="721">
      <c r="B721" s="26"/>
      <c r="C721" s="26"/>
      <c r="D721" s="26"/>
      <c r="J721" s="26"/>
      <c r="K721" s="26"/>
    </row>
    <row r="722">
      <c r="B722" s="26"/>
      <c r="C722" s="26"/>
      <c r="D722" s="26"/>
      <c r="J722" s="26"/>
      <c r="K722" s="26"/>
    </row>
    <row r="723">
      <c r="B723" s="26"/>
      <c r="C723" s="26"/>
      <c r="D723" s="26"/>
      <c r="J723" s="26"/>
      <c r="K723" s="26"/>
    </row>
    <row r="724">
      <c r="B724" s="26"/>
      <c r="C724" s="26"/>
      <c r="D724" s="26"/>
      <c r="J724" s="26"/>
      <c r="K724" s="26"/>
    </row>
    <row r="725">
      <c r="B725" s="26"/>
      <c r="C725" s="26"/>
      <c r="D725" s="26"/>
      <c r="J725" s="26"/>
      <c r="K725" s="26"/>
    </row>
    <row r="726">
      <c r="B726" s="26"/>
      <c r="C726" s="26"/>
      <c r="D726" s="26"/>
      <c r="J726" s="26"/>
      <c r="K726" s="26"/>
    </row>
    <row r="727">
      <c r="B727" s="26"/>
      <c r="C727" s="26"/>
      <c r="D727" s="26"/>
      <c r="J727" s="26"/>
      <c r="K727" s="26"/>
    </row>
    <row r="728">
      <c r="B728" s="26"/>
      <c r="C728" s="26"/>
      <c r="D728" s="26"/>
      <c r="J728" s="26"/>
      <c r="K728" s="26"/>
    </row>
    <row r="729">
      <c r="B729" s="26"/>
      <c r="C729" s="26"/>
      <c r="D729" s="26"/>
      <c r="J729" s="26"/>
      <c r="K729" s="26"/>
    </row>
    <row r="730">
      <c r="B730" s="26"/>
      <c r="C730" s="26"/>
      <c r="D730" s="26"/>
      <c r="J730" s="26"/>
      <c r="K730" s="26"/>
    </row>
    <row r="731">
      <c r="B731" s="26"/>
      <c r="C731" s="26"/>
      <c r="D731" s="26"/>
      <c r="J731" s="26"/>
      <c r="K731" s="26"/>
    </row>
    <row r="732">
      <c r="B732" s="26"/>
      <c r="C732" s="26"/>
      <c r="D732" s="26"/>
      <c r="J732" s="26"/>
      <c r="K732" s="26"/>
    </row>
    <row r="733">
      <c r="B733" s="26"/>
      <c r="C733" s="26"/>
      <c r="D733" s="26"/>
      <c r="J733" s="26"/>
      <c r="K733" s="26"/>
    </row>
    <row r="734">
      <c r="B734" s="26"/>
      <c r="C734" s="26"/>
      <c r="D734" s="26"/>
      <c r="J734" s="26"/>
      <c r="K734" s="26"/>
    </row>
    <row r="735">
      <c r="B735" s="26"/>
      <c r="C735" s="26"/>
      <c r="D735" s="26"/>
      <c r="J735" s="26"/>
      <c r="K735" s="26"/>
    </row>
    <row r="736">
      <c r="B736" s="26"/>
      <c r="C736" s="26"/>
      <c r="D736" s="26"/>
      <c r="J736" s="26"/>
      <c r="K736" s="26"/>
    </row>
    <row r="737">
      <c r="B737" s="26"/>
      <c r="C737" s="26"/>
      <c r="D737" s="26"/>
      <c r="J737" s="26"/>
      <c r="K737" s="26"/>
    </row>
    <row r="738">
      <c r="B738" s="26"/>
      <c r="C738" s="26"/>
      <c r="D738" s="26"/>
      <c r="J738" s="26"/>
      <c r="K738" s="26"/>
    </row>
    <row r="739">
      <c r="B739" s="26"/>
      <c r="C739" s="26"/>
      <c r="D739" s="26"/>
      <c r="J739" s="26"/>
      <c r="K739" s="26"/>
    </row>
    <row r="740">
      <c r="B740" s="26"/>
      <c r="C740" s="26"/>
      <c r="D740" s="26"/>
      <c r="J740" s="26"/>
      <c r="K740" s="26"/>
    </row>
    <row r="741">
      <c r="B741" s="26"/>
      <c r="C741" s="26"/>
      <c r="D741" s="26"/>
      <c r="J741" s="26"/>
      <c r="K741" s="26"/>
    </row>
    <row r="742">
      <c r="B742" s="26"/>
      <c r="C742" s="26"/>
      <c r="D742" s="26"/>
      <c r="J742" s="26"/>
      <c r="K742" s="26"/>
    </row>
    <row r="743">
      <c r="B743" s="26"/>
      <c r="C743" s="26"/>
      <c r="D743" s="26"/>
      <c r="J743" s="26"/>
      <c r="K743" s="26"/>
    </row>
    <row r="744">
      <c r="B744" s="26"/>
      <c r="C744" s="26"/>
      <c r="D744" s="26"/>
      <c r="J744" s="26"/>
      <c r="K744" s="26"/>
    </row>
    <row r="745">
      <c r="B745" s="26"/>
      <c r="C745" s="26"/>
      <c r="D745" s="26"/>
      <c r="J745" s="26"/>
      <c r="K745" s="26"/>
    </row>
    <row r="746">
      <c r="B746" s="26"/>
      <c r="C746" s="26"/>
      <c r="D746" s="26"/>
      <c r="J746" s="26"/>
      <c r="K746" s="26"/>
    </row>
    <row r="747">
      <c r="B747" s="26"/>
      <c r="C747" s="26"/>
      <c r="D747" s="26"/>
      <c r="J747" s="26"/>
      <c r="K747" s="26"/>
    </row>
    <row r="748">
      <c r="B748" s="26"/>
      <c r="C748" s="26"/>
      <c r="D748" s="26"/>
      <c r="J748" s="26"/>
      <c r="K748" s="26"/>
    </row>
    <row r="749">
      <c r="B749" s="26"/>
      <c r="C749" s="26"/>
      <c r="D749" s="26"/>
      <c r="J749" s="26"/>
      <c r="K749" s="26"/>
    </row>
    <row r="750">
      <c r="B750" s="26"/>
      <c r="C750" s="26"/>
      <c r="D750" s="26"/>
      <c r="J750" s="26"/>
      <c r="K750" s="26"/>
    </row>
    <row r="751">
      <c r="B751" s="26"/>
      <c r="C751" s="26"/>
      <c r="D751" s="26"/>
      <c r="J751" s="26"/>
      <c r="K751" s="26"/>
    </row>
    <row r="752">
      <c r="B752" s="26"/>
      <c r="C752" s="26"/>
      <c r="D752" s="26"/>
      <c r="J752" s="26"/>
      <c r="K752" s="26"/>
    </row>
    <row r="753">
      <c r="B753" s="26"/>
      <c r="C753" s="26"/>
      <c r="D753" s="26"/>
      <c r="J753" s="26"/>
      <c r="K753" s="26"/>
    </row>
    <row r="754">
      <c r="B754" s="26"/>
      <c r="C754" s="26"/>
      <c r="D754" s="26"/>
      <c r="J754" s="26"/>
      <c r="K754" s="26"/>
    </row>
    <row r="755">
      <c r="B755" s="26"/>
      <c r="C755" s="26"/>
      <c r="D755" s="26"/>
      <c r="J755" s="26"/>
      <c r="K755" s="26"/>
    </row>
    <row r="756">
      <c r="B756" s="26"/>
      <c r="C756" s="26"/>
      <c r="D756" s="26"/>
      <c r="J756" s="26"/>
      <c r="K756" s="26"/>
    </row>
    <row r="757">
      <c r="B757" s="26"/>
      <c r="C757" s="26"/>
      <c r="D757" s="26"/>
      <c r="J757" s="26"/>
      <c r="K757" s="26"/>
    </row>
    <row r="758">
      <c r="B758" s="26"/>
      <c r="C758" s="26"/>
      <c r="D758" s="26"/>
      <c r="J758" s="26"/>
      <c r="K758" s="26"/>
    </row>
    <row r="759">
      <c r="B759" s="26"/>
      <c r="C759" s="26"/>
      <c r="D759" s="26"/>
      <c r="J759" s="26"/>
      <c r="K759" s="26"/>
    </row>
    <row r="760">
      <c r="B760" s="26"/>
      <c r="C760" s="26"/>
      <c r="D760" s="26"/>
      <c r="J760" s="26"/>
      <c r="K760" s="26"/>
    </row>
    <row r="761">
      <c r="B761" s="26"/>
      <c r="C761" s="26"/>
      <c r="D761" s="26"/>
      <c r="J761" s="26"/>
      <c r="K761" s="26"/>
    </row>
    <row r="762">
      <c r="B762" s="26"/>
      <c r="C762" s="26"/>
      <c r="D762" s="26"/>
      <c r="J762" s="26"/>
      <c r="K762" s="26"/>
    </row>
    <row r="763">
      <c r="B763" s="26"/>
      <c r="C763" s="26"/>
      <c r="D763" s="26"/>
      <c r="J763" s="26"/>
      <c r="K763" s="26"/>
    </row>
    <row r="764">
      <c r="B764" s="26"/>
      <c r="C764" s="26"/>
      <c r="D764" s="26"/>
      <c r="J764" s="26"/>
      <c r="K764" s="26"/>
    </row>
    <row r="765">
      <c r="B765" s="26"/>
      <c r="C765" s="26"/>
      <c r="D765" s="26"/>
      <c r="J765" s="26"/>
      <c r="K765" s="26"/>
    </row>
    <row r="766">
      <c r="B766" s="26"/>
      <c r="C766" s="26"/>
      <c r="D766" s="26"/>
      <c r="J766" s="26"/>
      <c r="K766" s="26"/>
    </row>
    <row r="767">
      <c r="B767" s="26"/>
      <c r="C767" s="26"/>
      <c r="D767" s="26"/>
      <c r="J767" s="26"/>
      <c r="K767" s="26"/>
    </row>
    <row r="768">
      <c r="B768" s="26"/>
      <c r="C768" s="26"/>
      <c r="D768" s="26"/>
      <c r="J768" s="26"/>
      <c r="K768" s="26"/>
    </row>
    <row r="769">
      <c r="B769" s="26"/>
      <c r="C769" s="26"/>
      <c r="D769" s="26"/>
      <c r="J769" s="26"/>
      <c r="K769" s="26"/>
    </row>
    <row r="770">
      <c r="B770" s="26"/>
      <c r="C770" s="26"/>
      <c r="D770" s="26"/>
      <c r="J770" s="26"/>
      <c r="K770" s="26"/>
    </row>
    <row r="771">
      <c r="B771" s="26"/>
      <c r="C771" s="26"/>
      <c r="D771" s="26"/>
      <c r="J771" s="26"/>
      <c r="K771" s="26"/>
    </row>
    <row r="772">
      <c r="B772" s="26"/>
      <c r="C772" s="26"/>
      <c r="D772" s="26"/>
      <c r="J772" s="26"/>
      <c r="K772" s="26"/>
    </row>
    <row r="773">
      <c r="B773" s="26"/>
      <c r="C773" s="26"/>
      <c r="D773" s="26"/>
      <c r="J773" s="26"/>
      <c r="K773" s="26"/>
    </row>
    <row r="774">
      <c r="B774" s="26"/>
      <c r="C774" s="26"/>
      <c r="D774" s="26"/>
      <c r="J774" s="26"/>
      <c r="K774" s="26"/>
    </row>
    <row r="775">
      <c r="B775" s="26"/>
      <c r="C775" s="26"/>
      <c r="D775" s="26"/>
      <c r="J775" s="26"/>
      <c r="K775" s="26"/>
    </row>
    <row r="776">
      <c r="B776" s="26"/>
      <c r="C776" s="26"/>
      <c r="D776" s="26"/>
      <c r="J776" s="26"/>
      <c r="K776" s="26"/>
    </row>
    <row r="777">
      <c r="B777" s="26"/>
      <c r="C777" s="26"/>
      <c r="D777" s="26"/>
      <c r="J777" s="26"/>
      <c r="K777" s="26"/>
    </row>
    <row r="778">
      <c r="B778" s="26"/>
      <c r="C778" s="26"/>
      <c r="D778" s="26"/>
      <c r="J778" s="26"/>
      <c r="K778" s="26"/>
    </row>
    <row r="779">
      <c r="B779" s="26"/>
      <c r="C779" s="26"/>
      <c r="D779" s="26"/>
      <c r="J779" s="26"/>
      <c r="K779" s="26"/>
    </row>
    <row r="780">
      <c r="B780" s="26"/>
      <c r="C780" s="26"/>
      <c r="D780" s="26"/>
      <c r="J780" s="26"/>
      <c r="K780" s="26"/>
    </row>
    <row r="781">
      <c r="B781" s="26"/>
      <c r="C781" s="26"/>
      <c r="D781" s="26"/>
      <c r="J781" s="26"/>
      <c r="K781" s="26"/>
    </row>
    <row r="782">
      <c r="B782" s="26"/>
      <c r="C782" s="26"/>
      <c r="D782" s="26"/>
      <c r="J782" s="26"/>
      <c r="K782" s="26"/>
    </row>
    <row r="783">
      <c r="B783" s="26"/>
      <c r="C783" s="26"/>
      <c r="D783" s="26"/>
      <c r="J783" s="26"/>
      <c r="K783" s="26"/>
    </row>
    <row r="784">
      <c r="B784" s="26"/>
      <c r="C784" s="26"/>
      <c r="D784" s="26"/>
      <c r="J784" s="26"/>
      <c r="K784" s="26"/>
    </row>
    <row r="785">
      <c r="B785" s="26"/>
      <c r="C785" s="26"/>
      <c r="D785" s="26"/>
      <c r="J785" s="26"/>
      <c r="K785" s="26"/>
    </row>
    <row r="786">
      <c r="B786" s="26"/>
      <c r="C786" s="26"/>
      <c r="D786" s="26"/>
      <c r="J786" s="26"/>
      <c r="K786" s="26"/>
    </row>
    <row r="787">
      <c r="B787" s="26"/>
      <c r="C787" s="26"/>
      <c r="D787" s="26"/>
      <c r="J787" s="26"/>
      <c r="K787" s="26"/>
    </row>
    <row r="788">
      <c r="B788" s="26"/>
      <c r="C788" s="26"/>
      <c r="D788" s="26"/>
      <c r="J788" s="26"/>
      <c r="K788" s="26"/>
    </row>
    <row r="789">
      <c r="B789" s="26"/>
      <c r="C789" s="26"/>
      <c r="D789" s="26"/>
      <c r="J789" s="26"/>
      <c r="K789" s="26"/>
    </row>
    <row r="790">
      <c r="B790" s="26"/>
      <c r="C790" s="26"/>
      <c r="D790" s="26"/>
      <c r="J790" s="26"/>
      <c r="K790" s="26"/>
    </row>
    <row r="791">
      <c r="B791" s="26"/>
      <c r="C791" s="26"/>
      <c r="D791" s="26"/>
      <c r="J791" s="26"/>
      <c r="K791" s="26"/>
    </row>
    <row r="792">
      <c r="B792" s="26"/>
      <c r="C792" s="26"/>
      <c r="D792" s="26"/>
      <c r="J792" s="26"/>
      <c r="K792" s="26"/>
    </row>
    <row r="793">
      <c r="B793" s="26"/>
      <c r="C793" s="26"/>
      <c r="D793" s="26"/>
      <c r="J793" s="26"/>
      <c r="K793" s="26"/>
    </row>
    <row r="794">
      <c r="B794" s="26"/>
      <c r="C794" s="26"/>
      <c r="D794" s="26"/>
      <c r="J794" s="26"/>
      <c r="K794" s="26"/>
    </row>
    <row r="795">
      <c r="B795" s="26"/>
      <c r="C795" s="26"/>
      <c r="D795" s="26"/>
      <c r="J795" s="26"/>
      <c r="K795" s="26"/>
    </row>
    <row r="796">
      <c r="B796" s="26"/>
      <c r="C796" s="26"/>
      <c r="D796" s="26"/>
      <c r="J796" s="26"/>
      <c r="K796" s="26"/>
    </row>
    <row r="797">
      <c r="B797" s="26"/>
      <c r="C797" s="26"/>
      <c r="D797" s="26"/>
      <c r="J797" s="26"/>
      <c r="K797" s="26"/>
    </row>
    <row r="798">
      <c r="B798" s="26"/>
      <c r="C798" s="26"/>
      <c r="D798" s="26"/>
      <c r="J798" s="26"/>
      <c r="K798" s="26"/>
    </row>
    <row r="799">
      <c r="B799" s="26"/>
      <c r="C799" s="26"/>
      <c r="D799" s="26"/>
      <c r="J799" s="26"/>
      <c r="K799" s="26"/>
    </row>
    <row r="800">
      <c r="B800" s="26"/>
      <c r="C800" s="26"/>
      <c r="D800" s="26"/>
      <c r="J800" s="26"/>
      <c r="K800" s="26"/>
    </row>
    <row r="801">
      <c r="B801" s="26"/>
      <c r="C801" s="26"/>
      <c r="D801" s="26"/>
      <c r="J801" s="26"/>
      <c r="K801" s="26"/>
    </row>
    <row r="802">
      <c r="B802" s="26"/>
      <c r="C802" s="26"/>
      <c r="D802" s="26"/>
      <c r="J802" s="26"/>
      <c r="K802" s="26"/>
    </row>
    <row r="803">
      <c r="B803" s="26"/>
      <c r="C803" s="26"/>
      <c r="D803" s="26"/>
      <c r="J803" s="26"/>
      <c r="K803" s="26"/>
    </row>
    <row r="804">
      <c r="B804" s="26"/>
      <c r="C804" s="26"/>
      <c r="D804" s="26"/>
      <c r="J804" s="26"/>
      <c r="K804" s="26"/>
    </row>
    <row r="805">
      <c r="B805" s="26"/>
      <c r="C805" s="26"/>
      <c r="D805" s="26"/>
      <c r="J805" s="26"/>
      <c r="K805" s="26"/>
    </row>
    <row r="806">
      <c r="B806" s="26"/>
      <c r="C806" s="26"/>
      <c r="D806" s="26"/>
      <c r="J806" s="26"/>
      <c r="K806" s="26"/>
    </row>
    <row r="807">
      <c r="B807" s="26"/>
      <c r="C807" s="26"/>
      <c r="D807" s="26"/>
      <c r="J807" s="26"/>
      <c r="K807" s="26"/>
    </row>
    <row r="808">
      <c r="B808" s="26"/>
      <c r="C808" s="26"/>
      <c r="D808" s="26"/>
      <c r="J808" s="26"/>
      <c r="K808" s="26"/>
    </row>
    <row r="809">
      <c r="B809" s="26"/>
      <c r="C809" s="26"/>
      <c r="D809" s="26"/>
      <c r="J809" s="26"/>
      <c r="K809" s="26"/>
    </row>
    <row r="810">
      <c r="B810" s="26"/>
      <c r="C810" s="26"/>
      <c r="D810" s="26"/>
      <c r="J810" s="26"/>
      <c r="K810" s="26"/>
    </row>
    <row r="811">
      <c r="B811" s="26"/>
      <c r="C811" s="26"/>
      <c r="D811" s="26"/>
      <c r="J811" s="26"/>
      <c r="K811" s="26"/>
    </row>
    <row r="812">
      <c r="B812" s="26"/>
      <c r="C812" s="26"/>
      <c r="D812" s="26"/>
      <c r="J812" s="26"/>
      <c r="K812" s="26"/>
    </row>
    <row r="813">
      <c r="B813" s="26"/>
      <c r="C813" s="26"/>
      <c r="D813" s="26"/>
      <c r="J813" s="26"/>
      <c r="K813" s="26"/>
    </row>
    <row r="814">
      <c r="B814" s="26"/>
      <c r="C814" s="26"/>
      <c r="D814" s="26"/>
      <c r="J814" s="26"/>
      <c r="K814" s="26"/>
    </row>
    <row r="815">
      <c r="B815" s="26"/>
      <c r="C815" s="26"/>
      <c r="D815" s="26"/>
      <c r="J815" s="26"/>
      <c r="K815" s="26"/>
    </row>
    <row r="816">
      <c r="B816" s="26"/>
      <c r="C816" s="26"/>
      <c r="D816" s="26"/>
      <c r="J816" s="26"/>
      <c r="K816" s="26"/>
    </row>
    <row r="817">
      <c r="B817" s="26"/>
      <c r="C817" s="26"/>
      <c r="D817" s="26"/>
      <c r="J817" s="26"/>
      <c r="K817" s="26"/>
    </row>
    <row r="818">
      <c r="B818" s="26"/>
      <c r="C818" s="26"/>
      <c r="D818" s="26"/>
      <c r="J818" s="26"/>
      <c r="K818" s="26"/>
    </row>
    <row r="819">
      <c r="B819" s="26"/>
      <c r="C819" s="26"/>
      <c r="D819" s="26"/>
      <c r="J819" s="26"/>
      <c r="K819" s="26"/>
    </row>
    <row r="820">
      <c r="B820" s="26"/>
      <c r="C820" s="26"/>
      <c r="D820" s="26"/>
      <c r="J820" s="26"/>
      <c r="K820" s="26"/>
    </row>
    <row r="821">
      <c r="B821" s="26"/>
      <c r="C821" s="26"/>
      <c r="D821" s="26"/>
      <c r="J821" s="26"/>
      <c r="K821" s="26"/>
    </row>
    <row r="822">
      <c r="B822" s="26"/>
      <c r="C822" s="26"/>
      <c r="D822" s="26"/>
      <c r="J822" s="26"/>
      <c r="K822" s="26"/>
    </row>
    <row r="823">
      <c r="B823" s="26"/>
      <c r="C823" s="26"/>
      <c r="D823" s="26"/>
      <c r="J823" s="26"/>
      <c r="K823" s="26"/>
    </row>
    <row r="824">
      <c r="B824" s="26"/>
      <c r="C824" s="26"/>
      <c r="D824" s="26"/>
      <c r="J824" s="26"/>
      <c r="K824" s="26"/>
    </row>
    <row r="825">
      <c r="B825" s="26"/>
      <c r="C825" s="26"/>
      <c r="D825" s="26"/>
      <c r="J825" s="26"/>
      <c r="K825" s="26"/>
    </row>
    <row r="826">
      <c r="B826" s="26"/>
      <c r="C826" s="26"/>
      <c r="D826" s="26"/>
      <c r="J826" s="26"/>
      <c r="K826" s="26"/>
    </row>
    <row r="827">
      <c r="B827" s="26"/>
      <c r="C827" s="26"/>
      <c r="D827" s="26"/>
      <c r="J827" s="26"/>
      <c r="K827" s="26"/>
    </row>
    <row r="828">
      <c r="B828" s="26"/>
      <c r="C828" s="26"/>
      <c r="D828" s="26"/>
      <c r="J828" s="26"/>
      <c r="K828" s="26"/>
    </row>
    <row r="829">
      <c r="B829" s="26"/>
      <c r="C829" s="26"/>
      <c r="D829" s="26"/>
      <c r="J829" s="26"/>
      <c r="K829" s="26"/>
    </row>
    <row r="830">
      <c r="B830" s="26"/>
      <c r="C830" s="26"/>
      <c r="D830" s="26"/>
      <c r="J830" s="26"/>
      <c r="K830" s="26"/>
    </row>
    <row r="831">
      <c r="B831" s="26"/>
      <c r="C831" s="26"/>
      <c r="D831" s="26"/>
      <c r="J831" s="26"/>
      <c r="K831" s="26"/>
    </row>
    <row r="832">
      <c r="B832" s="26"/>
      <c r="C832" s="26"/>
      <c r="D832" s="26"/>
      <c r="J832" s="26"/>
      <c r="K832" s="26"/>
    </row>
    <row r="833">
      <c r="B833" s="26"/>
      <c r="C833" s="26"/>
      <c r="D833" s="26"/>
      <c r="J833" s="26"/>
      <c r="K833" s="26"/>
    </row>
    <row r="834">
      <c r="B834" s="26"/>
      <c r="C834" s="26"/>
      <c r="D834" s="26"/>
      <c r="J834" s="26"/>
      <c r="K834" s="26"/>
    </row>
    <row r="835">
      <c r="B835" s="26"/>
      <c r="C835" s="26"/>
      <c r="D835" s="26"/>
      <c r="J835" s="26"/>
      <c r="K835" s="26"/>
    </row>
    <row r="836">
      <c r="B836" s="26"/>
      <c r="C836" s="26"/>
      <c r="D836" s="26"/>
      <c r="J836" s="26"/>
      <c r="K836" s="26"/>
    </row>
    <row r="837">
      <c r="B837" s="26"/>
      <c r="C837" s="26"/>
      <c r="D837" s="26"/>
      <c r="J837" s="26"/>
      <c r="K837" s="26"/>
    </row>
    <row r="838">
      <c r="B838" s="26"/>
      <c r="C838" s="26"/>
      <c r="D838" s="26"/>
      <c r="J838" s="26"/>
      <c r="K838" s="26"/>
    </row>
    <row r="839">
      <c r="B839" s="26"/>
      <c r="C839" s="26"/>
      <c r="D839" s="26"/>
      <c r="J839" s="26"/>
      <c r="K839" s="26"/>
    </row>
    <row r="840">
      <c r="B840" s="26"/>
      <c r="C840" s="26"/>
      <c r="D840" s="26"/>
      <c r="J840" s="26"/>
      <c r="K840" s="26"/>
    </row>
    <row r="841">
      <c r="B841" s="26"/>
      <c r="C841" s="26"/>
      <c r="D841" s="26"/>
      <c r="J841" s="26"/>
      <c r="K841" s="26"/>
    </row>
    <row r="842">
      <c r="B842" s="26"/>
      <c r="C842" s="26"/>
      <c r="D842" s="26"/>
      <c r="J842" s="26"/>
      <c r="K842" s="26"/>
    </row>
    <row r="843">
      <c r="B843" s="26"/>
      <c r="C843" s="26"/>
      <c r="D843" s="26"/>
      <c r="J843" s="26"/>
      <c r="K843" s="26"/>
    </row>
    <row r="844">
      <c r="B844" s="26"/>
      <c r="C844" s="26"/>
      <c r="D844" s="26"/>
      <c r="J844" s="26"/>
      <c r="K844" s="26"/>
    </row>
    <row r="845">
      <c r="B845" s="26"/>
      <c r="C845" s="26"/>
      <c r="D845" s="26"/>
      <c r="J845" s="26"/>
      <c r="K845" s="26"/>
    </row>
    <row r="846">
      <c r="B846" s="26"/>
      <c r="C846" s="26"/>
      <c r="D846" s="26"/>
      <c r="J846" s="26"/>
      <c r="K846" s="26"/>
    </row>
    <row r="847">
      <c r="B847" s="26"/>
      <c r="C847" s="26"/>
      <c r="D847" s="26"/>
      <c r="J847" s="26"/>
      <c r="K847" s="26"/>
    </row>
    <row r="848">
      <c r="B848" s="26"/>
      <c r="C848" s="26"/>
      <c r="D848" s="26"/>
      <c r="J848" s="26"/>
      <c r="K848" s="26"/>
    </row>
    <row r="849">
      <c r="B849" s="26"/>
      <c r="C849" s="26"/>
      <c r="D849" s="26"/>
      <c r="J849" s="26"/>
      <c r="K849" s="26"/>
    </row>
    <row r="850">
      <c r="B850" s="26"/>
      <c r="C850" s="26"/>
      <c r="D850" s="26"/>
      <c r="J850" s="26"/>
      <c r="K850" s="26"/>
    </row>
    <row r="851">
      <c r="B851" s="26"/>
      <c r="C851" s="26"/>
      <c r="D851" s="26"/>
      <c r="J851" s="26"/>
      <c r="K851" s="26"/>
    </row>
    <row r="852">
      <c r="B852" s="26"/>
      <c r="C852" s="26"/>
      <c r="D852" s="26"/>
      <c r="J852" s="26"/>
      <c r="K852" s="26"/>
    </row>
    <row r="853">
      <c r="B853" s="26"/>
      <c r="C853" s="26"/>
      <c r="D853" s="26"/>
      <c r="J853" s="26"/>
      <c r="K853" s="26"/>
    </row>
    <row r="854">
      <c r="B854" s="26"/>
      <c r="C854" s="26"/>
      <c r="D854" s="26"/>
      <c r="J854" s="26"/>
      <c r="K854" s="26"/>
    </row>
    <row r="855">
      <c r="B855" s="26"/>
      <c r="C855" s="26"/>
      <c r="D855" s="26"/>
      <c r="J855" s="26"/>
      <c r="K855" s="26"/>
    </row>
    <row r="856">
      <c r="B856" s="26"/>
      <c r="C856" s="26"/>
      <c r="D856" s="26"/>
      <c r="J856" s="26"/>
      <c r="K856" s="26"/>
    </row>
    <row r="857">
      <c r="B857" s="26"/>
      <c r="C857" s="26"/>
      <c r="D857" s="26"/>
      <c r="J857" s="26"/>
      <c r="K857" s="26"/>
    </row>
    <row r="858">
      <c r="B858" s="26"/>
      <c r="C858" s="26"/>
      <c r="D858" s="26"/>
      <c r="J858" s="26"/>
      <c r="K858" s="26"/>
    </row>
    <row r="859">
      <c r="B859" s="26"/>
      <c r="C859" s="26"/>
      <c r="D859" s="26"/>
      <c r="J859" s="26"/>
      <c r="K859" s="26"/>
    </row>
    <row r="860">
      <c r="B860" s="26"/>
      <c r="C860" s="26"/>
      <c r="D860" s="26"/>
      <c r="J860" s="26"/>
      <c r="K860" s="26"/>
    </row>
    <row r="861">
      <c r="B861" s="26"/>
      <c r="C861" s="26"/>
      <c r="D861" s="26"/>
      <c r="J861" s="26"/>
      <c r="K861" s="26"/>
    </row>
    <row r="862">
      <c r="B862" s="26"/>
      <c r="C862" s="26"/>
      <c r="D862" s="26"/>
      <c r="J862" s="26"/>
      <c r="K862" s="26"/>
    </row>
    <row r="863">
      <c r="B863" s="26"/>
      <c r="C863" s="26"/>
      <c r="D863" s="26"/>
      <c r="J863" s="26"/>
      <c r="K863" s="26"/>
    </row>
    <row r="864">
      <c r="B864" s="26"/>
      <c r="C864" s="26"/>
      <c r="D864" s="26"/>
      <c r="J864" s="26"/>
      <c r="K864" s="26"/>
    </row>
    <row r="865">
      <c r="B865" s="26"/>
      <c r="C865" s="26"/>
      <c r="D865" s="26"/>
      <c r="J865" s="26"/>
      <c r="K865" s="26"/>
    </row>
    <row r="866">
      <c r="B866" s="26"/>
      <c r="C866" s="26"/>
      <c r="D866" s="26"/>
      <c r="J866" s="26"/>
      <c r="K866" s="26"/>
    </row>
    <row r="867">
      <c r="B867" s="26"/>
      <c r="C867" s="26"/>
      <c r="D867" s="26"/>
      <c r="J867" s="26"/>
      <c r="K867" s="26"/>
    </row>
    <row r="868">
      <c r="B868" s="26"/>
      <c r="C868" s="26"/>
      <c r="D868" s="26"/>
      <c r="J868" s="26"/>
      <c r="K868" s="26"/>
    </row>
    <row r="869">
      <c r="B869" s="26"/>
      <c r="C869" s="26"/>
      <c r="D869" s="26"/>
      <c r="J869" s="26"/>
      <c r="K869" s="26"/>
    </row>
    <row r="870">
      <c r="B870" s="26"/>
      <c r="C870" s="26"/>
      <c r="D870" s="26"/>
      <c r="J870" s="26"/>
      <c r="K870" s="26"/>
    </row>
    <row r="871">
      <c r="B871" s="26"/>
      <c r="C871" s="26"/>
      <c r="D871" s="26"/>
      <c r="J871" s="26"/>
      <c r="K871" s="26"/>
    </row>
    <row r="872">
      <c r="B872" s="26"/>
      <c r="C872" s="26"/>
      <c r="D872" s="26"/>
      <c r="J872" s="26"/>
      <c r="K872" s="26"/>
    </row>
    <row r="873">
      <c r="B873" s="26"/>
      <c r="C873" s="26"/>
      <c r="D873" s="26"/>
      <c r="J873" s="26"/>
      <c r="K873" s="26"/>
    </row>
    <row r="874">
      <c r="B874" s="26"/>
      <c r="C874" s="26"/>
      <c r="D874" s="26"/>
      <c r="J874" s="26"/>
      <c r="K874" s="26"/>
    </row>
    <row r="875">
      <c r="B875" s="26"/>
      <c r="C875" s="26"/>
      <c r="D875" s="26"/>
      <c r="J875" s="26"/>
      <c r="K875" s="26"/>
    </row>
    <row r="876">
      <c r="B876" s="26"/>
      <c r="C876" s="26"/>
      <c r="D876" s="26"/>
      <c r="J876" s="26"/>
      <c r="K876" s="26"/>
    </row>
    <row r="877">
      <c r="B877" s="26"/>
      <c r="C877" s="26"/>
      <c r="D877" s="26"/>
      <c r="J877" s="26"/>
      <c r="K877" s="26"/>
    </row>
    <row r="878">
      <c r="B878" s="26"/>
      <c r="C878" s="26"/>
      <c r="D878" s="26"/>
      <c r="J878" s="26"/>
      <c r="K878" s="26"/>
    </row>
    <row r="879">
      <c r="B879" s="26"/>
      <c r="C879" s="26"/>
      <c r="D879" s="26"/>
      <c r="J879" s="26"/>
      <c r="K879" s="26"/>
    </row>
    <row r="880">
      <c r="B880" s="26"/>
      <c r="C880" s="26"/>
      <c r="D880" s="26"/>
      <c r="J880" s="26"/>
      <c r="K880" s="26"/>
    </row>
    <row r="881">
      <c r="B881" s="26"/>
      <c r="C881" s="26"/>
      <c r="D881" s="26"/>
      <c r="J881" s="26"/>
      <c r="K881" s="26"/>
    </row>
    <row r="882">
      <c r="B882" s="26"/>
      <c r="C882" s="26"/>
      <c r="D882" s="26"/>
      <c r="J882" s="26"/>
      <c r="K882" s="26"/>
    </row>
    <row r="883">
      <c r="B883" s="26"/>
      <c r="C883" s="26"/>
      <c r="D883" s="26"/>
      <c r="J883" s="26"/>
      <c r="K883" s="26"/>
    </row>
    <row r="884">
      <c r="B884" s="26"/>
      <c r="C884" s="26"/>
      <c r="D884" s="26"/>
      <c r="J884" s="26"/>
      <c r="K884" s="26"/>
    </row>
    <row r="885">
      <c r="B885" s="26"/>
      <c r="C885" s="26"/>
      <c r="D885" s="26"/>
      <c r="J885" s="26"/>
      <c r="K885" s="26"/>
    </row>
    <row r="886">
      <c r="B886" s="26"/>
      <c r="C886" s="26"/>
      <c r="D886" s="26"/>
      <c r="J886" s="26"/>
      <c r="K886" s="26"/>
    </row>
    <row r="887">
      <c r="B887" s="26"/>
      <c r="C887" s="26"/>
      <c r="D887" s="26"/>
      <c r="J887" s="26"/>
      <c r="K887" s="26"/>
    </row>
    <row r="888">
      <c r="B888" s="26"/>
      <c r="C888" s="26"/>
      <c r="D888" s="26"/>
      <c r="J888" s="26"/>
      <c r="K888" s="26"/>
    </row>
    <row r="889">
      <c r="B889" s="26"/>
      <c r="C889" s="26"/>
      <c r="D889" s="26"/>
      <c r="J889" s="26"/>
      <c r="K889" s="26"/>
    </row>
    <row r="890">
      <c r="B890" s="26"/>
      <c r="C890" s="26"/>
      <c r="D890" s="26"/>
      <c r="J890" s="26"/>
      <c r="K890" s="26"/>
    </row>
    <row r="891">
      <c r="B891" s="26"/>
      <c r="C891" s="26"/>
      <c r="D891" s="26"/>
      <c r="J891" s="26"/>
      <c r="K891" s="26"/>
    </row>
    <row r="892">
      <c r="B892" s="26"/>
      <c r="C892" s="26"/>
      <c r="D892" s="26"/>
      <c r="J892" s="26"/>
      <c r="K892" s="26"/>
    </row>
    <row r="893">
      <c r="B893" s="26"/>
      <c r="C893" s="26"/>
      <c r="D893" s="26"/>
      <c r="J893" s="26"/>
      <c r="K893" s="26"/>
    </row>
    <row r="894">
      <c r="B894" s="26"/>
      <c r="C894" s="26"/>
      <c r="D894" s="26"/>
      <c r="J894" s="26"/>
      <c r="K894" s="26"/>
    </row>
    <row r="895">
      <c r="B895" s="26"/>
      <c r="C895" s="26"/>
      <c r="D895" s="26"/>
      <c r="J895" s="26"/>
      <c r="K895" s="26"/>
    </row>
    <row r="896">
      <c r="B896" s="26"/>
      <c r="C896" s="26"/>
      <c r="D896" s="26"/>
      <c r="J896" s="26"/>
      <c r="K896" s="26"/>
    </row>
    <row r="897">
      <c r="B897" s="26"/>
      <c r="C897" s="26"/>
      <c r="D897" s="26"/>
      <c r="J897" s="26"/>
      <c r="K897" s="26"/>
    </row>
    <row r="898">
      <c r="B898" s="26"/>
      <c r="C898" s="26"/>
      <c r="D898" s="26"/>
      <c r="J898" s="26"/>
      <c r="K898" s="26"/>
    </row>
    <row r="899">
      <c r="B899" s="26"/>
      <c r="C899" s="26"/>
      <c r="D899" s="26"/>
      <c r="J899" s="26"/>
      <c r="K899" s="26"/>
    </row>
    <row r="900">
      <c r="B900" s="26"/>
      <c r="C900" s="26"/>
      <c r="D900" s="26"/>
      <c r="J900" s="26"/>
      <c r="K900" s="26"/>
    </row>
    <row r="901">
      <c r="B901" s="26"/>
      <c r="C901" s="26"/>
      <c r="D901" s="26"/>
      <c r="J901" s="26"/>
      <c r="K901" s="26"/>
    </row>
    <row r="902">
      <c r="B902" s="26"/>
      <c r="C902" s="26"/>
      <c r="D902" s="26"/>
      <c r="J902" s="26"/>
      <c r="K902" s="26"/>
    </row>
    <row r="903">
      <c r="B903" s="26"/>
      <c r="C903" s="26"/>
      <c r="D903" s="26"/>
      <c r="J903" s="26"/>
      <c r="K903" s="26"/>
    </row>
    <row r="904">
      <c r="B904" s="26"/>
      <c r="C904" s="26"/>
      <c r="D904" s="26"/>
      <c r="J904" s="26"/>
      <c r="K904" s="26"/>
    </row>
    <row r="905">
      <c r="B905" s="26"/>
      <c r="C905" s="26"/>
      <c r="D905" s="26"/>
      <c r="J905" s="26"/>
      <c r="K905" s="26"/>
    </row>
    <row r="906">
      <c r="B906" s="26"/>
      <c r="C906" s="26"/>
      <c r="D906" s="26"/>
      <c r="J906" s="26"/>
      <c r="K906" s="26"/>
    </row>
    <row r="907">
      <c r="B907" s="26"/>
      <c r="C907" s="26"/>
      <c r="D907" s="26"/>
      <c r="J907" s="26"/>
      <c r="K907" s="26"/>
    </row>
    <row r="908">
      <c r="B908" s="26"/>
      <c r="C908" s="26"/>
      <c r="D908" s="26"/>
      <c r="J908" s="26"/>
      <c r="K908" s="26"/>
    </row>
    <row r="909">
      <c r="B909" s="26"/>
      <c r="C909" s="26"/>
      <c r="D909" s="26"/>
      <c r="J909" s="26"/>
      <c r="K909" s="26"/>
    </row>
    <row r="910">
      <c r="B910" s="26"/>
      <c r="C910" s="26"/>
      <c r="D910" s="26"/>
      <c r="J910" s="26"/>
      <c r="K910" s="26"/>
    </row>
    <row r="911">
      <c r="B911" s="26"/>
      <c r="C911" s="26"/>
      <c r="D911" s="26"/>
      <c r="J911" s="26"/>
      <c r="K911" s="26"/>
    </row>
    <row r="912">
      <c r="B912" s="26"/>
      <c r="C912" s="26"/>
      <c r="D912" s="26"/>
      <c r="J912" s="26"/>
      <c r="K912" s="26"/>
    </row>
    <row r="913">
      <c r="B913" s="26"/>
      <c r="C913" s="26"/>
      <c r="D913" s="26"/>
      <c r="J913" s="26"/>
      <c r="K913" s="26"/>
    </row>
    <row r="914">
      <c r="B914" s="26"/>
      <c r="C914" s="26"/>
      <c r="D914" s="26"/>
      <c r="J914" s="26"/>
      <c r="K914" s="26"/>
    </row>
    <row r="915">
      <c r="B915" s="26"/>
      <c r="C915" s="26"/>
      <c r="D915" s="26"/>
      <c r="J915" s="26"/>
      <c r="K915" s="26"/>
    </row>
    <row r="916">
      <c r="B916" s="26"/>
      <c r="C916" s="26"/>
      <c r="D916" s="26"/>
      <c r="J916" s="26"/>
      <c r="K916" s="26"/>
    </row>
    <row r="917">
      <c r="B917" s="26"/>
      <c r="C917" s="26"/>
      <c r="D917" s="26"/>
      <c r="J917" s="26"/>
      <c r="K917" s="26"/>
    </row>
    <row r="918">
      <c r="B918" s="26"/>
      <c r="C918" s="26"/>
      <c r="D918" s="26"/>
      <c r="J918" s="26"/>
      <c r="K918" s="26"/>
    </row>
    <row r="919">
      <c r="B919" s="26"/>
      <c r="C919" s="26"/>
      <c r="D919" s="26"/>
      <c r="J919" s="26"/>
      <c r="K919" s="26"/>
    </row>
    <row r="920">
      <c r="B920" s="26"/>
      <c r="C920" s="26"/>
      <c r="D920" s="26"/>
      <c r="J920" s="26"/>
      <c r="K920" s="26"/>
    </row>
    <row r="921">
      <c r="B921" s="26"/>
      <c r="C921" s="26"/>
      <c r="D921" s="26"/>
      <c r="J921" s="26"/>
      <c r="K921" s="26"/>
    </row>
    <row r="922">
      <c r="B922" s="26"/>
      <c r="C922" s="26"/>
      <c r="D922" s="26"/>
      <c r="J922" s="26"/>
      <c r="K922" s="26"/>
    </row>
    <row r="923">
      <c r="B923" s="26"/>
      <c r="C923" s="26"/>
      <c r="D923" s="26"/>
      <c r="J923" s="26"/>
      <c r="K923" s="26"/>
    </row>
    <row r="924">
      <c r="B924" s="26"/>
      <c r="C924" s="26"/>
      <c r="D924" s="26"/>
      <c r="J924" s="26"/>
      <c r="K924" s="26"/>
    </row>
    <row r="925">
      <c r="B925" s="26"/>
      <c r="C925" s="26"/>
      <c r="D925" s="26"/>
      <c r="J925" s="26"/>
      <c r="K925" s="26"/>
    </row>
    <row r="926">
      <c r="B926" s="26"/>
      <c r="C926" s="26"/>
      <c r="D926" s="26"/>
      <c r="J926" s="26"/>
      <c r="K926" s="26"/>
    </row>
    <row r="927">
      <c r="B927" s="26"/>
      <c r="C927" s="26"/>
      <c r="D927" s="26"/>
      <c r="J927" s="26"/>
      <c r="K927" s="26"/>
    </row>
    <row r="928">
      <c r="B928" s="26"/>
      <c r="C928" s="26"/>
      <c r="D928" s="26"/>
      <c r="J928" s="26"/>
      <c r="K928" s="26"/>
    </row>
    <row r="929">
      <c r="B929" s="26"/>
      <c r="C929" s="26"/>
      <c r="D929" s="26"/>
      <c r="J929" s="26"/>
      <c r="K929" s="26"/>
    </row>
    <row r="930">
      <c r="B930" s="26"/>
      <c r="C930" s="26"/>
      <c r="D930" s="26"/>
      <c r="J930" s="26"/>
      <c r="K930" s="26"/>
    </row>
    <row r="931">
      <c r="B931" s="26"/>
      <c r="C931" s="26"/>
      <c r="D931" s="26"/>
      <c r="J931" s="26"/>
      <c r="K931" s="26"/>
    </row>
    <row r="932">
      <c r="B932" s="26"/>
      <c r="C932" s="26"/>
      <c r="D932" s="26"/>
      <c r="J932" s="26"/>
      <c r="K932" s="26"/>
    </row>
    <row r="933">
      <c r="B933" s="26"/>
      <c r="C933" s="26"/>
      <c r="D933" s="26"/>
      <c r="J933" s="26"/>
      <c r="K933" s="26"/>
    </row>
    <row r="934">
      <c r="B934" s="26"/>
      <c r="C934" s="26"/>
      <c r="D934" s="26"/>
      <c r="J934" s="26"/>
      <c r="K934" s="26"/>
    </row>
    <row r="935">
      <c r="B935" s="26"/>
      <c r="C935" s="26"/>
      <c r="D935" s="26"/>
      <c r="J935" s="26"/>
      <c r="K935" s="26"/>
    </row>
    <row r="936">
      <c r="B936" s="26"/>
      <c r="C936" s="26"/>
      <c r="D936" s="26"/>
      <c r="J936" s="26"/>
      <c r="K936" s="26"/>
    </row>
    <row r="937">
      <c r="B937" s="26"/>
      <c r="C937" s="26"/>
      <c r="D937" s="26"/>
      <c r="J937" s="26"/>
      <c r="K937" s="26"/>
    </row>
    <row r="938">
      <c r="B938" s="26"/>
      <c r="C938" s="26"/>
      <c r="D938" s="26"/>
      <c r="J938" s="26"/>
      <c r="K938" s="26"/>
    </row>
    <row r="939">
      <c r="B939" s="26"/>
      <c r="C939" s="26"/>
      <c r="D939" s="26"/>
      <c r="J939" s="26"/>
      <c r="K939" s="26"/>
    </row>
    <row r="940">
      <c r="B940" s="26"/>
      <c r="C940" s="26"/>
      <c r="D940" s="26"/>
      <c r="J940" s="26"/>
      <c r="K940" s="26"/>
    </row>
    <row r="941">
      <c r="B941" s="26"/>
      <c r="C941" s="26"/>
      <c r="D941" s="26"/>
      <c r="J941" s="26"/>
      <c r="K941" s="26"/>
    </row>
    <row r="942">
      <c r="B942" s="26"/>
      <c r="C942" s="26"/>
      <c r="D942" s="26"/>
      <c r="J942" s="26"/>
      <c r="K942" s="26"/>
    </row>
    <row r="943">
      <c r="B943" s="26"/>
      <c r="C943" s="26"/>
      <c r="D943" s="26"/>
      <c r="J943" s="26"/>
      <c r="K943" s="26"/>
    </row>
    <row r="944">
      <c r="B944" s="26"/>
      <c r="C944" s="26"/>
      <c r="D944" s="26"/>
      <c r="J944" s="26"/>
      <c r="K944" s="26"/>
    </row>
    <row r="945">
      <c r="B945" s="26"/>
      <c r="C945" s="26"/>
      <c r="D945" s="26"/>
      <c r="J945" s="26"/>
      <c r="K945" s="26"/>
    </row>
    <row r="946">
      <c r="B946" s="26"/>
      <c r="C946" s="26"/>
      <c r="D946" s="26"/>
      <c r="J946" s="26"/>
      <c r="K946" s="26"/>
    </row>
    <row r="947">
      <c r="B947" s="26"/>
      <c r="C947" s="26"/>
      <c r="D947" s="26"/>
      <c r="J947" s="26"/>
      <c r="K947" s="26"/>
    </row>
    <row r="948">
      <c r="B948" s="26"/>
      <c r="C948" s="26"/>
      <c r="D948" s="26"/>
      <c r="J948" s="26"/>
      <c r="K948" s="26"/>
    </row>
    <row r="949">
      <c r="B949" s="26"/>
      <c r="C949" s="26"/>
      <c r="D949" s="26"/>
      <c r="J949" s="26"/>
      <c r="K949" s="26"/>
    </row>
    <row r="950">
      <c r="B950" s="26"/>
      <c r="C950" s="26"/>
      <c r="D950" s="26"/>
      <c r="J950" s="26"/>
      <c r="K950" s="26"/>
    </row>
    <row r="951">
      <c r="B951" s="26"/>
      <c r="C951" s="26"/>
      <c r="D951" s="26"/>
      <c r="J951" s="26"/>
      <c r="K951" s="26"/>
    </row>
    <row r="952">
      <c r="B952" s="26"/>
      <c r="C952" s="26"/>
      <c r="D952" s="26"/>
      <c r="J952" s="26"/>
      <c r="K952" s="26"/>
    </row>
    <row r="953">
      <c r="B953" s="26"/>
      <c r="C953" s="26"/>
      <c r="D953" s="26"/>
      <c r="J953" s="26"/>
      <c r="K953" s="26"/>
    </row>
    <row r="954">
      <c r="B954" s="26"/>
      <c r="C954" s="26"/>
      <c r="D954" s="26"/>
      <c r="J954" s="26"/>
      <c r="K954" s="26"/>
    </row>
    <row r="955">
      <c r="B955" s="26"/>
      <c r="C955" s="26"/>
      <c r="D955" s="26"/>
      <c r="J955" s="26"/>
      <c r="K955" s="26"/>
    </row>
    <row r="956">
      <c r="B956" s="26"/>
      <c r="C956" s="26"/>
      <c r="D956" s="26"/>
      <c r="J956" s="26"/>
      <c r="K956" s="26"/>
    </row>
    <row r="957">
      <c r="B957" s="26"/>
      <c r="C957" s="26"/>
      <c r="D957" s="26"/>
      <c r="J957" s="26"/>
      <c r="K957" s="26"/>
    </row>
    <row r="958">
      <c r="B958" s="26"/>
      <c r="C958" s="26"/>
      <c r="D958" s="26"/>
      <c r="J958" s="26"/>
      <c r="K958" s="26"/>
    </row>
    <row r="959">
      <c r="B959" s="26"/>
      <c r="C959" s="26"/>
      <c r="D959" s="26"/>
      <c r="J959" s="26"/>
      <c r="K959" s="26"/>
    </row>
    <row r="960">
      <c r="B960" s="26"/>
      <c r="C960" s="26"/>
      <c r="D960" s="26"/>
      <c r="J960" s="26"/>
      <c r="K960" s="26"/>
    </row>
    <row r="961">
      <c r="B961" s="26"/>
      <c r="C961" s="26"/>
      <c r="D961" s="26"/>
      <c r="J961" s="26"/>
      <c r="K961" s="26"/>
    </row>
    <row r="962">
      <c r="B962" s="26"/>
      <c r="C962" s="26"/>
      <c r="D962" s="26"/>
      <c r="J962" s="26"/>
      <c r="K962" s="26"/>
    </row>
    <row r="963">
      <c r="B963" s="26"/>
      <c r="C963" s="26"/>
      <c r="D963" s="26"/>
      <c r="J963" s="26"/>
      <c r="K963" s="26"/>
    </row>
    <row r="964">
      <c r="B964" s="26"/>
      <c r="C964" s="26"/>
      <c r="D964" s="26"/>
      <c r="J964" s="26"/>
      <c r="K964" s="26"/>
    </row>
    <row r="965">
      <c r="B965" s="26"/>
      <c r="C965" s="26"/>
      <c r="D965" s="26"/>
      <c r="J965" s="26"/>
      <c r="K965" s="26"/>
    </row>
    <row r="966">
      <c r="B966" s="26"/>
      <c r="C966" s="26"/>
      <c r="D966" s="26"/>
      <c r="J966" s="26"/>
      <c r="K966" s="26"/>
    </row>
    <row r="967">
      <c r="B967" s="26"/>
      <c r="C967" s="26"/>
      <c r="D967" s="26"/>
      <c r="J967" s="26"/>
      <c r="K967" s="26"/>
    </row>
    <row r="968">
      <c r="B968" s="26"/>
      <c r="C968" s="26"/>
      <c r="D968" s="26"/>
      <c r="J968" s="26"/>
      <c r="K968" s="26"/>
    </row>
    <row r="969">
      <c r="B969" s="26"/>
      <c r="C969" s="26"/>
      <c r="D969" s="26"/>
      <c r="J969" s="26"/>
      <c r="K969" s="26"/>
    </row>
    <row r="970">
      <c r="B970" s="26"/>
      <c r="C970" s="26"/>
      <c r="D970" s="26"/>
      <c r="J970" s="26"/>
      <c r="K970" s="26"/>
    </row>
    <row r="971">
      <c r="B971" s="26"/>
      <c r="C971" s="26"/>
      <c r="D971" s="26"/>
      <c r="J971" s="26"/>
      <c r="K971" s="26"/>
    </row>
    <row r="972">
      <c r="B972" s="26"/>
      <c r="C972" s="26"/>
      <c r="D972" s="26"/>
      <c r="J972" s="26"/>
      <c r="K972" s="26"/>
    </row>
    <row r="973">
      <c r="B973" s="26"/>
      <c r="C973" s="26"/>
      <c r="D973" s="26"/>
      <c r="J973" s="26"/>
      <c r="K973" s="26"/>
    </row>
    <row r="974">
      <c r="B974" s="26"/>
      <c r="C974" s="26"/>
      <c r="D974" s="26"/>
      <c r="J974" s="26"/>
      <c r="K974" s="26"/>
    </row>
    <row r="975">
      <c r="B975" s="26"/>
      <c r="C975" s="26"/>
      <c r="D975" s="26"/>
      <c r="J975" s="26"/>
      <c r="K975" s="26"/>
    </row>
    <row r="976">
      <c r="B976" s="26"/>
      <c r="C976" s="26"/>
      <c r="D976" s="26"/>
      <c r="J976" s="26"/>
      <c r="K976" s="26"/>
    </row>
    <row r="977">
      <c r="B977" s="26"/>
      <c r="C977" s="26"/>
      <c r="D977" s="26"/>
      <c r="J977" s="26"/>
      <c r="K977" s="26"/>
    </row>
    <row r="978">
      <c r="B978" s="26"/>
      <c r="C978" s="26"/>
      <c r="D978" s="26"/>
      <c r="J978" s="26"/>
      <c r="K978" s="26"/>
    </row>
    <row r="979">
      <c r="B979" s="26"/>
      <c r="C979" s="26"/>
      <c r="D979" s="26"/>
      <c r="J979" s="26"/>
      <c r="K979" s="26"/>
    </row>
    <row r="980">
      <c r="B980" s="26"/>
      <c r="C980" s="26"/>
      <c r="D980" s="26"/>
      <c r="J980" s="26"/>
      <c r="K980" s="26"/>
    </row>
    <row r="981">
      <c r="B981" s="26"/>
      <c r="C981" s="26"/>
      <c r="D981" s="26"/>
      <c r="J981" s="26"/>
      <c r="K981" s="26"/>
    </row>
    <row r="982">
      <c r="B982" s="26"/>
      <c r="C982" s="26"/>
      <c r="D982" s="26"/>
      <c r="J982" s="26"/>
      <c r="K982" s="26"/>
    </row>
    <row r="983">
      <c r="B983" s="26"/>
      <c r="C983" s="26"/>
      <c r="D983" s="26"/>
      <c r="J983" s="26"/>
      <c r="K983" s="26"/>
    </row>
    <row r="984">
      <c r="B984" s="26"/>
      <c r="C984" s="26"/>
      <c r="D984" s="26"/>
      <c r="J984" s="26"/>
      <c r="K984" s="26"/>
    </row>
    <row r="985">
      <c r="B985" s="26"/>
      <c r="C985" s="26"/>
      <c r="D985" s="26"/>
      <c r="J985" s="26"/>
      <c r="K985" s="26"/>
    </row>
    <row r="986">
      <c r="B986" s="26"/>
      <c r="C986" s="26"/>
      <c r="D986" s="26"/>
      <c r="J986" s="26"/>
      <c r="K986" s="26"/>
    </row>
    <row r="987">
      <c r="B987" s="26"/>
      <c r="C987" s="26"/>
      <c r="D987" s="26"/>
      <c r="J987" s="26"/>
      <c r="K987" s="26"/>
    </row>
    <row r="988">
      <c r="B988" s="26"/>
      <c r="C988" s="26"/>
      <c r="D988" s="26"/>
      <c r="J988" s="26"/>
      <c r="K988" s="26"/>
    </row>
    <row r="989">
      <c r="B989" s="26"/>
      <c r="C989" s="26"/>
      <c r="D989" s="26"/>
      <c r="J989" s="26"/>
      <c r="K989" s="26"/>
    </row>
    <row r="990">
      <c r="B990" s="26"/>
      <c r="C990" s="26"/>
      <c r="D990" s="26"/>
      <c r="J990" s="26"/>
      <c r="K990" s="26"/>
    </row>
    <row r="991">
      <c r="B991" s="26"/>
      <c r="C991" s="26"/>
      <c r="D991" s="26"/>
      <c r="J991" s="26"/>
      <c r="K991" s="26"/>
    </row>
    <row r="992">
      <c r="B992" s="26"/>
      <c r="C992" s="26"/>
      <c r="D992" s="26"/>
      <c r="J992" s="26"/>
      <c r="K992" s="26"/>
    </row>
    <row r="993">
      <c r="B993" s="26"/>
      <c r="C993" s="26"/>
      <c r="D993" s="26"/>
      <c r="J993" s="26"/>
      <c r="K993" s="26"/>
    </row>
    <row r="994">
      <c r="B994" s="26"/>
      <c r="C994" s="26"/>
      <c r="D994" s="26"/>
      <c r="J994" s="26"/>
      <c r="K994" s="26"/>
    </row>
    <row r="995">
      <c r="B995" s="26"/>
      <c r="C995" s="26"/>
      <c r="D995" s="26"/>
      <c r="J995" s="26"/>
      <c r="K995" s="26"/>
    </row>
    <row r="996">
      <c r="B996" s="26"/>
      <c r="C996" s="26"/>
      <c r="D996" s="26"/>
      <c r="J996" s="26"/>
      <c r="K996" s="26"/>
    </row>
    <row r="997">
      <c r="B997" s="26"/>
      <c r="C997" s="26"/>
      <c r="D997" s="26"/>
      <c r="J997" s="26"/>
      <c r="K997" s="26"/>
    </row>
    <row r="998">
      <c r="B998" s="26"/>
      <c r="C998" s="26"/>
      <c r="D998" s="26"/>
      <c r="J998" s="26"/>
      <c r="K998" s="26"/>
    </row>
    <row r="999">
      <c r="B999" s="26"/>
      <c r="C999" s="26"/>
      <c r="D999" s="26"/>
      <c r="J999" s="26"/>
      <c r="K999" s="26"/>
    </row>
    <row r="1000">
      <c r="B1000" s="26"/>
      <c r="C1000" s="26"/>
      <c r="D1000" s="26"/>
      <c r="J1000" s="26"/>
      <c r="K1000" s="26"/>
    </row>
    <row r="1001">
      <c r="B1001" s="26"/>
      <c r="C1001" s="26"/>
      <c r="D1001" s="26"/>
      <c r="J1001" s="26"/>
      <c r="K1001" s="26"/>
    </row>
    <row r="1002">
      <c r="B1002" s="26"/>
      <c r="C1002" s="26"/>
      <c r="D1002" s="26"/>
      <c r="J1002" s="26"/>
      <c r="K1002" s="26"/>
    </row>
    <row r="1003">
      <c r="B1003" s="26"/>
      <c r="C1003" s="26"/>
      <c r="D1003" s="26"/>
      <c r="J1003" s="26"/>
      <c r="K1003" s="26"/>
    </row>
    <row r="1004">
      <c r="B1004" s="26"/>
      <c r="C1004" s="26"/>
      <c r="D1004" s="26"/>
      <c r="J1004" s="26"/>
      <c r="K1004" s="26"/>
    </row>
    <row r="1005">
      <c r="B1005" s="26"/>
      <c r="C1005" s="26"/>
      <c r="D1005" s="26"/>
      <c r="J1005" s="26"/>
      <c r="K1005" s="26"/>
    </row>
    <row r="1006">
      <c r="B1006" s="26"/>
      <c r="C1006" s="26"/>
      <c r="D1006" s="26"/>
      <c r="J1006" s="26"/>
      <c r="K1006" s="26"/>
    </row>
    <row r="1007">
      <c r="B1007" s="26"/>
      <c r="C1007" s="26"/>
      <c r="D1007" s="26"/>
      <c r="J1007" s="26"/>
      <c r="K1007" s="26"/>
    </row>
    <row r="1008">
      <c r="B1008" s="26"/>
      <c r="C1008" s="26"/>
      <c r="D1008" s="26"/>
      <c r="J1008" s="26"/>
      <c r="K1008" s="26"/>
    </row>
    <row r="1009">
      <c r="B1009" s="26"/>
      <c r="C1009" s="26"/>
      <c r="D1009" s="26"/>
      <c r="J1009" s="26"/>
      <c r="K1009" s="26"/>
    </row>
    <row r="1010">
      <c r="B1010" s="26"/>
      <c r="C1010" s="26"/>
      <c r="D1010" s="26"/>
      <c r="J1010" s="26"/>
      <c r="K1010" s="26"/>
    </row>
    <row r="1011">
      <c r="B1011" s="26"/>
      <c r="C1011" s="26"/>
      <c r="D1011" s="26"/>
      <c r="J1011" s="26"/>
      <c r="K1011" s="26"/>
    </row>
    <row r="1012">
      <c r="B1012" s="26"/>
      <c r="C1012" s="26"/>
      <c r="D1012" s="26"/>
      <c r="J1012" s="26"/>
      <c r="K1012" s="26"/>
    </row>
    <row r="1013">
      <c r="B1013" s="26"/>
      <c r="C1013" s="26"/>
      <c r="D1013" s="26"/>
      <c r="J1013" s="26"/>
      <c r="K1013" s="26"/>
    </row>
    <row r="1014">
      <c r="B1014" s="26"/>
      <c r="C1014" s="26"/>
      <c r="D1014" s="26"/>
      <c r="J1014" s="26"/>
      <c r="K1014" s="26"/>
    </row>
    <row r="1015">
      <c r="B1015" s="26"/>
      <c r="C1015" s="26"/>
      <c r="D1015" s="26"/>
      <c r="J1015" s="26"/>
      <c r="K1015" s="26"/>
    </row>
    <row r="1016">
      <c r="B1016" s="26"/>
      <c r="C1016" s="26"/>
      <c r="D1016" s="26"/>
      <c r="J1016" s="26"/>
      <c r="K1016" s="26"/>
    </row>
    <row r="1017">
      <c r="B1017" s="26"/>
      <c r="C1017" s="26"/>
      <c r="D1017" s="26"/>
      <c r="J1017" s="26"/>
      <c r="K1017" s="26"/>
    </row>
    <row r="1018">
      <c r="B1018" s="26"/>
      <c r="C1018" s="26"/>
      <c r="D1018" s="26"/>
      <c r="J1018" s="26"/>
      <c r="K1018" s="26"/>
    </row>
    <row r="1019">
      <c r="B1019" s="26"/>
      <c r="C1019" s="26"/>
      <c r="D1019" s="26"/>
      <c r="J1019" s="26"/>
      <c r="K1019" s="26"/>
    </row>
    <row r="1020">
      <c r="B1020" s="26"/>
      <c r="C1020" s="26"/>
      <c r="D1020" s="26"/>
      <c r="J1020" s="26"/>
      <c r="K1020" s="26"/>
    </row>
    <row r="1021">
      <c r="B1021" s="26"/>
      <c r="C1021" s="26"/>
      <c r="D1021" s="26"/>
      <c r="J1021" s="26"/>
      <c r="K1021" s="26"/>
    </row>
    <row r="1022">
      <c r="B1022" s="26"/>
      <c r="C1022" s="26"/>
      <c r="D1022" s="26"/>
      <c r="J1022" s="26"/>
      <c r="K1022" s="26"/>
    </row>
    <row r="1023">
      <c r="B1023" s="26"/>
      <c r="C1023" s="26"/>
      <c r="D1023" s="26"/>
      <c r="J1023" s="26"/>
      <c r="K1023" s="26"/>
    </row>
    <row r="1024">
      <c r="B1024" s="26"/>
      <c r="C1024" s="26"/>
      <c r="D1024" s="26"/>
      <c r="J1024" s="26"/>
      <c r="K1024" s="26"/>
    </row>
    <row r="1025">
      <c r="B1025" s="26"/>
      <c r="C1025" s="26"/>
      <c r="D1025" s="26"/>
      <c r="J1025" s="26"/>
      <c r="K1025" s="26"/>
    </row>
    <row r="1026">
      <c r="B1026" s="26"/>
      <c r="C1026" s="26"/>
      <c r="D1026" s="26"/>
      <c r="J1026" s="26"/>
      <c r="K1026" s="26"/>
    </row>
    <row r="1027">
      <c r="B1027" s="26"/>
      <c r="C1027" s="26"/>
      <c r="D1027" s="26"/>
      <c r="J1027" s="26"/>
      <c r="K1027" s="26"/>
    </row>
    <row r="1028">
      <c r="B1028" s="26"/>
      <c r="C1028" s="26"/>
      <c r="D1028" s="26"/>
      <c r="J1028" s="26"/>
      <c r="K1028" s="26"/>
    </row>
    <row r="1029">
      <c r="B1029" s="26"/>
      <c r="C1029" s="26"/>
      <c r="D1029" s="26"/>
      <c r="J1029" s="26"/>
      <c r="K1029" s="26"/>
    </row>
    <row r="1030">
      <c r="B1030" s="26"/>
      <c r="C1030" s="26"/>
      <c r="D1030" s="26"/>
      <c r="J1030" s="26"/>
      <c r="K1030" s="26"/>
    </row>
    <row r="1031">
      <c r="B1031" s="26"/>
      <c r="C1031" s="26"/>
      <c r="D1031" s="26"/>
      <c r="J1031" s="26"/>
      <c r="K1031" s="26"/>
    </row>
    <row r="1032">
      <c r="B1032" s="26"/>
      <c r="C1032" s="26"/>
      <c r="D1032" s="26"/>
      <c r="J1032" s="26"/>
      <c r="K1032" s="26"/>
    </row>
    <row r="1033">
      <c r="B1033" s="26"/>
      <c r="C1033" s="26"/>
      <c r="D1033" s="26"/>
      <c r="J1033" s="26"/>
      <c r="K1033" s="26"/>
    </row>
    <row r="1034">
      <c r="B1034" s="26"/>
      <c r="C1034" s="26"/>
      <c r="D1034" s="26"/>
      <c r="J1034" s="26"/>
      <c r="K1034" s="26"/>
    </row>
    <row r="1035">
      <c r="B1035" s="26"/>
      <c r="C1035" s="26"/>
      <c r="D1035" s="26"/>
      <c r="J1035" s="26"/>
      <c r="K1035" s="26"/>
    </row>
    <row r="1036">
      <c r="B1036" s="26"/>
      <c r="C1036" s="26"/>
      <c r="D1036" s="26"/>
      <c r="J1036" s="26"/>
      <c r="K1036" s="26"/>
    </row>
    <row r="1037">
      <c r="B1037" s="26"/>
      <c r="C1037" s="26"/>
      <c r="D1037" s="26"/>
      <c r="J1037" s="26"/>
      <c r="K1037" s="26"/>
    </row>
    <row r="1038">
      <c r="B1038" s="26"/>
      <c r="C1038" s="26"/>
      <c r="D1038" s="26"/>
      <c r="J1038" s="26"/>
      <c r="K1038" s="26"/>
    </row>
    <row r="1039">
      <c r="B1039" s="26"/>
      <c r="C1039" s="26"/>
      <c r="D1039" s="26"/>
      <c r="J1039" s="26"/>
      <c r="K1039" s="26"/>
    </row>
    <row r="1040">
      <c r="B1040" s="26"/>
      <c r="C1040" s="26"/>
      <c r="D1040" s="26"/>
      <c r="J1040" s="26"/>
      <c r="K1040" s="26"/>
    </row>
    <row r="1041">
      <c r="B1041" s="26"/>
      <c r="C1041" s="26"/>
      <c r="D1041" s="26"/>
      <c r="J1041" s="26"/>
      <c r="K1041" s="26"/>
    </row>
    <row r="1042">
      <c r="B1042" s="26"/>
      <c r="C1042" s="26"/>
      <c r="D1042" s="26"/>
      <c r="J1042" s="26"/>
      <c r="K1042" s="26"/>
    </row>
    <row r="1043">
      <c r="B1043" s="26"/>
      <c r="C1043" s="26"/>
      <c r="D1043" s="26"/>
      <c r="J1043" s="26"/>
      <c r="K1043" s="26"/>
    </row>
    <row r="1044">
      <c r="B1044" s="26"/>
      <c r="C1044" s="26"/>
      <c r="D1044" s="26"/>
      <c r="J1044" s="26"/>
      <c r="K1044" s="26"/>
    </row>
    <row r="1045">
      <c r="B1045" s="26"/>
      <c r="C1045" s="26"/>
      <c r="D1045" s="26"/>
      <c r="J1045" s="26"/>
      <c r="K1045" s="26"/>
    </row>
    <row r="1046">
      <c r="B1046" s="26"/>
      <c r="C1046" s="26"/>
      <c r="D1046" s="26"/>
      <c r="J1046" s="26"/>
      <c r="K1046" s="26"/>
    </row>
    <row r="1047">
      <c r="B1047" s="26"/>
      <c r="C1047" s="26"/>
      <c r="D1047" s="26"/>
      <c r="J1047" s="26"/>
      <c r="K1047" s="26"/>
    </row>
    <row r="1048">
      <c r="B1048" s="26"/>
      <c r="C1048" s="26"/>
      <c r="D1048" s="26"/>
      <c r="J1048" s="26"/>
      <c r="K1048" s="26"/>
    </row>
    <row r="1049">
      <c r="B1049" s="26"/>
      <c r="C1049" s="26"/>
      <c r="D1049" s="26"/>
      <c r="J1049" s="26"/>
      <c r="K1049" s="26"/>
    </row>
    <row r="1050">
      <c r="B1050" s="26"/>
      <c r="C1050" s="26"/>
      <c r="D1050" s="26"/>
      <c r="J1050" s="26"/>
      <c r="K1050" s="26"/>
    </row>
    <row r="1051">
      <c r="B1051" s="26"/>
      <c r="C1051" s="26"/>
      <c r="D1051" s="26"/>
      <c r="J1051" s="26"/>
      <c r="K1051" s="26"/>
    </row>
    <row r="1052">
      <c r="B1052" s="26"/>
      <c r="C1052" s="26"/>
      <c r="D1052" s="26"/>
      <c r="J1052" s="26"/>
      <c r="K1052" s="26"/>
    </row>
    <row r="1053">
      <c r="B1053" s="26"/>
      <c r="C1053" s="26"/>
      <c r="D1053" s="26"/>
      <c r="J1053" s="26"/>
      <c r="K1053" s="26"/>
    </row>
    <row r="1054">
      <c r="B1054" s="26"/>
      <c r="C1054" s="26"/>
      <c r="D1054" s="26"/>
      <c r="J1054" s="26"/>
      <c r="K1054" s="26"/>
    </row>
    <row r="1055">
      <c r="B1055" s="26"/>
      <c r="C1055" s="26"/>
      <c r="D1055" s="26"/>
      <c r="J1055" s="26"/>
      <c r="K1055" s="26"/>
    </row>
    <row r="1056">
      <c r="B1056" s="26"/>
      <c r="C1056" s="26"/>
      <c r="D1056" s="26"/>
      <c r="J1056" s="26"/>
      <c r="K1056" s="26"/>
    </row>
    <row r="1057">
      <c r="B1057" s="26"/>
      <c r="C1057" s="26"/>
      <c r="D1057" s="26"/>
      <c r="J1057" s="26"/>
      <c r="K1057" s="26"/>
    </row>
    <row r="1058">
      <c r="B1058" s="26"/>
      <c r="C1058" s="26"/>
      <c r="D1058" s="26"/>
      <c r="J1058" s="26"/>
      <c r="K1058" s="26"/>
    </row>
    <row r="1059">
      <c r="B1059" s="26"/>
      <c r="C1059" s="26"/>
      <c r="D1059" s="26"/>
      <c r="J1059" s="26"/>
      <c r="K1059" s="26"/>
    </row>
    <row r="1060">
      <c r="B1060" s="26"/>
      <c r="C1060" s="26"/>
      <c r="D1060" s="26"/>
      <c r="J1060" s="26"/>
      <c r="K1060" s="26"/>
    </row>
    <row r="1061">
      <c r="B1061" s="26"/>
      <c r="C1061" s="26"/>
      <c r="D1061" s="26"/>
      <c r="J1061" s="26"/>
      <c r="K1061" s="26"/>
    </row>
    <row r="1062">
      <c r="B1062" s="26"/>
      <c r="C1062" s="26"/>
      <c r="D1062" s="26"/>
      <c r="J1062" s="26"/>
      <c r="K1062" s="26"/>
    </row>
    <row r="1063">
      <c r="B1063" s="26"/>
      <c r="C1063" s="26"/>
      <c r="D1063" s="26"/>
      <c r="J1063" s="26"/>
      <c r="K1063" s="26"/>
    </row>
    <row r="1064">
      <c r="B1064" s="26"/>
      <c r="C1064" s="26"/>
      <c r="D1064" s="26"/>
      <c r="J1064" s="26"/>
      <c r="K1064" s="26"/>
    </row>
    <row r="1065">
      <c r="B1065" s="26"/>
      <c r="C1065" s="26"/>
      <c r="D1065" s="26"/>
      <c r="J1065" s="26"/>
      <c r="K1065" s="26"/>
    </row>
    <row r="1066">
      <c r="B1066" s="26"/>
      <c r="C1066" s="26"/>
      <c r="D1066" s="26"/>
      <c r="J1066" s="26"/>
      <c r="K1066" s="26"/>
    </row>
    <row r="1067">
      <c r="B1067" s="26"/>
      <c r="C1067" s="26"/>
      <c r="D1067" s="26"/>
      <c r="J1067" s="26"/>
      <c r="K1067" s="26"/>
    </row>
    <row r="1068">
      <c r="B1068" s="26"/>
      <c r="C1068" s="26"/>
      <c r="D1068" s="26"/>
      <c r="J1068" s="26"/>
      <c r="K1068" s="26"/>
    </row>
    <row r="1069">
      <c r="B1069" s="26"/>
      <c r="C1069" s="26"/>
      <c r="D1069" s="26"/>
      <c r="J1069" s="26"/>
      <c r="K1069" s="26"/>
    </row>
    <row r="1070">
      <c r="B1070" s="26"/>
      <c r="C1070" s="26"/>
      <c r="D1070" s="26"/>
      <c r="J1070" s="26"/>
      <c r="K1070" s="26"/>
    </row>
    <row r="1071">
      <c r="B1071" s="26"/>
      <c r="C1071" s="26"/>
      <c r="D1071" s="26"/>
      <c r="J1071" s="26"/>
      <c r="K1071" s="26"/>
    </row>
    <row r="1072">
      <c r="B1072" s="26"/>
      <c r="C1072" s="26"/>
      <c r="D1072" s="26"/>
      <c r="J1072" s="26"/>
      <c r="K1072" s="26"/>
    </row>
    <row r="1073">
      <c r="B1073" s="26"/>
      <c r="C1073" s="26"/>
      <c r="D1073" s="26"/>
      <c r="J1073" s="26"/>
      <c r="K1073" s="26"/>
    </row>
    <row r="1074">
      <c r="B1074" s="26"/>
      <c r="C1074" s="26"/>
      <c r="D1074" s="26"/>
      <c r="J1074" s="26"/>
      <c r="K1074" s="26"/>
    </row>
    <row r="1075">
      <c r="B1075" s="26"/>
      <c r="C1075" s="26"/>
      <c r="D1075" s="26"/>
      <c r="J1075" s="26"/>
      <c r="K1075" s="26"/>
    </row>
    <row r="1076">
      <c r="B1076" s="26"/>
      <c r="C1076" s="26"/>
      <c r="D1076" s="26"/>
      <c r="J1076" s="26"/>
      <c r="K1076" s="26"/>
    </row>
    <row r="1077">
      <c r="B1077" s="26"/>
      <c r="C1077" s="26"/>
      <c r="D1077" s="26"/>
      <c r="J1077" s="26"/>
      <c r="K1077" s="26"/>
    </row>
    <row r="1078">
      <c r="B1078" s="26"/>
      <c r="C1078" s="26"/>
      <c r="D1078" s="26"/>
      <c r="J1078" s="26"/>
      <c r="K1078" s="26"/>
    </row>
    <row r="1079">
      <c r="B1079" s="26"/>
      <c r="C1079" s="26"/>
      <c r="D1079" s="26"/>
      <c r="J1079" s="26"/>
      <c r="K1079" s="26"/>
    </row>
    <row r="1080">
      <c r="B1080" s="26"/>
      <c r="C1080" s="26"/>
      <c r="D1080" s="26"/>
      <c r="J1080" s="26"/>
      <c r="K1080" s="26"/>
    </row>
    <row r="1081">
      <c r="B1081" s="26"/>
      <c r="C1081" s="26"/>
      <c r="D1081" s="26"/>
      <c r="J1081" s="26"/>
      <c r="K1081" s="26"/>
    </row>
    <row r="1082">
      <c r="B1082" s="26"/>
      <c r="C1082" s="26"/>
      <c r="D1082" s="26"/>
      <c r="J1082" s="26"/>
      <c r="K1082" s="26"/>
    </row>
    <row r="1083">
      <c r="B1083" s="26"/>
      <c r="C1083" s="26"/>
      <c r="D1083" s="26"/>
      <c r="J1083" s="26"/>
      <c r="K1083" s="26"/>
    </row>
    <row r="1084">
      <c r="B1084" s="26"/>
      <c r="C1084" s="26"/>
      <c r="D1084" s="26"/>
      <c r="J1084" s="26"/>
      <c r="K1084" s="26"/>
    </row>
    <row r="1085">
      <c r="B1085" s="26"/>
      <c r="C1085" s="26"/>
      <c r="D1085" s="26"/>
      <c r="J1085" s="26"/>
      <c r="K1085" s="26"/>
    </row>
    <row r="1086">
      <c r="B1086" s="26"/>
      <c r="C1086" s="26"/>
      <c r="D1086" s="26"/>
      <c r="J1086" s="26"/>
      <c r="K1086" s="26"/>
    </row>
    <row r="1087">
      <c r="B1087" s="26"/>
      <c r="C1087" s="26"/>
      <c r="D1087" s="26"/>
      <c r="J1087" s="26"/>
      <c r="K1087" s="26"/>
    </row>
    <row r="1088">
      <c r="B1088" s="26"/>
      <c r="C1088" s="26"/>
      <c r="D1088" s="26"/>
      <c r="J1088" s="26"/>
      <c r="K1088" s="26"/>
    </row>
    <row r="1089">
      <c r="B1089" s="26"/>
      <c r="C1089" s="26"/>
      <c r="D1089" s="26"/>
      <c r="J1089" s="26"/>
      <c r="K1089" s="26"/>
    </row>
    <row r="1090">
      <c r="B1090" s="26"/>
      <c r="C1090" s="26"/>
      <c r="D1090" s="26"/>
      <c r="J1090" s="26"/>
      <c r="K1090" s="26"/>
    </row>
    <row r="1091">
      <c r="B1091" s="26"/>
      <c r="C1091" s="26"/>
      <c r="D1091" s="26"/>
      <c r="J1091" s="26"/>
      <c r="K1091" s="26"/>
    </row>
    <row r="1092">
      <c r="B1092" s="26"/>
      <c r="C1092" s="26"/>
      <c r="D1092" s="26"/>
      <c r="J1092" s="26"/>
      <c r="K1092" s="26"/>
    </row>
    <row r="1093">
      <c r="B1093" s="26"/>
      <c r="C1093" s="26"/>
      <c r="D1093" s="26"/>
      <c r="J1093" s="26"/>
      <c r="K1093" s="26"/>
    </row>
    <row r="1094">
      <c r="B1094" s="26"/>
      <c r="C1094" s="26"/>
      <c r="D1094" s="26"/>
      <c r="J1094" s="26"/>
      <c r="K1094" s="26"/>
    </row>
    <row r="1095">
      <c r="B1095" s="26"/>
      <c r="C1095" s="26"/>
      <c r="D1095" s="26"/>
      <c r="J1095" s="26"/>
      <c r="K1095" s="26"/>
    </row>
    <row r="1096">
      <c r="B1096" s="26"/>
      <c r="C1096" s="26"/>
      <c r="D1096" s="26"/>
      <c r="J1096" s="26"/>
      <c r="K1096" s="26"/>
    </row>
    <row r="1097">
      <c r="B1097" s="26"/>
      <c r="C1097" s="26"/>
      <c r="D1097" s="26"/>
      <c r="J1097" s="26"/>
      <c r="K1097" s="26"/>
    </row>
    <row r="1098">
      <c r="B1098" s="26"/>
      <c r="C1098" s="26"/>
      <c r="D1098" s="26"/>
      <c r="J1098" s="26"/>
      <c r="K1098" s="26"/>
    </row>
    <row r="1099">
      <c r="B1099" s="26"/>
      <c r="C1099" s="26"/>
      <c r="D1099" s="26"/>
      <c r="J1099" s="26"/>
      <c r="K1099" s="26"/>
    </row>
    <row r="1100">
      <c r="B1100" s="26"/>
      <c r="C1100" s="26"/>
      <c r="D1100" s="26"/>
      <c r="J1100" s="26"/>
      <c r="K1100" s="26"/>
    </row>
    <row r="1101">
      <c r="B1101" s="26"/>
      <c r="C1101" s="26"/>
      <c r="D1101" s="26"/>
      <c r="J1101" s="26"/>
      <c r="K1101" s="26"/>
    </row>
    <row r="1102">
      <c r="B1102" s="26"/>
      <c r="C1102" s="26"/>
      <c r="D1102" s="26"/>
      <c r="J1102" s="26"/>
      <c r="K1102" s="26"/>
    </row>
    <row r="1103">
      <c r="B1103" s="26"/>
      <c r="C1103" s="26"/>
      <c r="D1103" s="26"/>
      <c r="J1103" s="26"/>
      <c r="K1103" s="26"/>
    </row>
    <row r="1104">
      <c r="B1104" s="26"/>
      <c r="C1104" s="26"/>
      <c r="D1104" s="26"/>
      <c r="J1104" s="26"/>
      <c r="K1104" s="26"/>
    </row>
    <row r="1105">
      <c r="B1105" s="26"/>
      <c r="C1105" s="26"/>
      <c r="D1105" s="26"/>
      <c r="J1105" s="26"/>
      <c r="K1105" s="26"/>
    </row>
    <row r="1106">
      <c r="B1106" s="26"/>
      <c r="C1106" s="26"/>
      <c r="D1106" s="26"/>
      <c r="J1106" s="26"/>
      <c r="K1106" s="26"/>
    </row>
    <row r="1107">
      <c r="B1107" s="26"/>
      <c r="C1107" s="26"/>
      <c r="D1107" s="26"/>
      <c r="J1107" s="26"/>
      <c r="K1107" s="26"/>
    </row>
    <row r="1108">
      <c r="B1108" s="26"/>
      <c r="C1108" s="26"/>
      <c r="D1108" s="26"/>
      <c r="J1108" s="26"/>
      <c r="K1108" s="26"/>
    </row>
    <row r="1109">
      <c r="B1109" s="26"/>
      <c r="C1109" s="26"/>
      <c r="D1109" s="26"/>
      <c r="J1109" s="26"/>
      <c r="K1109" s="26"/>
    </row>
    <row r="1110">
      <c r="B1110" s="26"/>
      <c r="C1110" s="26"/>
      <c r="D1110" s="26"/>
      <c r="J1110" s="26"/>
      <c r="K1110" s="26"/>
    </row>
    <row r="1111">
      <c r="B1111" s="26"/>
      <c r="C1111" s="26"/>
      <c r="D1111" s="26"/>
      <c r="J1111" s="26"/>
      <c r="K1111" s="26"/>
    </row>
    <row r="1112">
      <c r="B1112" s="26"/>
      <c r="C1112" s="26"/>
      <c r="D1112" s="26"/>
      <c r="J1112" s="26"/>
      <c r="K1112" s="26"/>
    </row>
    <row r="1113">
      <c r="B1113" s="26"/>
      <c r="C1113" s="26"/>
      <c r="D1113" s="26"/>
      <c r="J1113" s="26"/>
      <c r="K1113" s="26"/>
    </row>
    <row r="1114">
      <c r="B1114" s="26"/>
      <c r="C1114" s="26"/>
      <c r="D1114" s="26"/>
      <c r="J1114" s="26"/>
      <c r="K1114" s="26"/>
    </row>
    <row r="1115">
      <c r="B1115" s="26"/>
      <c r="C1115" s="26"/>
      <c r="D1115" s="26"/>
      <c r="J1115" s="26"/>
      <c r="K1115" s="26"/>
    </row>
    <row r="1116">
      <c r="B1116" s="26"/>
      <c r="C1116" s="26"/>
      <c r="D1116" s="26"/>
      <c r="J1116" s="26"/>
      <c r="K1116" s="26"/>
    </row>
    <row r="1117">
      <c r="B1117" s="26"/>
      <c r="C1117" s="26"/>
      <c r="D1117" s="26"/>
      <c r="J1117" s="26"/>
      <c r="K1117" s="26"/>
    </row>
    <row r="1118">
      <c r="B1118" s="26"/>
      <c r="C1118" s="26"/>
      <c r="D1118" s="26"/>
      <c r="J1118" s="26"/>
      <c r="K1118" s="26"/>
    </row>
    <row r="1119">
      <c r="B1119" s="26"/>
      <c r="C1119" s="26"/>
      <c r="D1119" s="26"/>
      <c r="J1119" s="26"/>
      <c r="K1119" s="26"/>
    </row>
    <row r="1120">
      <c r="B1120" s="26"/>
      <c r="C1120" s="26"/>
      <c r="D1120" s="26"/>
      <c r="J1120" s="26"/>
      <c r="K1120" s="26"/>
    </row>
    <row r="1121">
      <c r="B1121" s="26"/>
      <c r="C1121" s="26"/>
      <c r="D1121" s="26"/>
      <c r="J1121" s="26"/>
      <c r="K1121" s="26"/>
    </row>
    <row r="1122">
      <c r="B1122" s="26"/>
      <c r="C1122" s="26"/>
      <c r="D1122" s="26"/>
      <c r="J1122" s="26"/>
      <c r="K1122" s="26"/>
    </row>
    <row r="1123">
      <c r="B1123" s="26"/>
      <c r="C1123" s="26"/>
      <c r="D1123" s="26"/>
      <c r="J1123" s="26"/>
      <c r="K1123" s="26"/>
    </row>
    <row r="1124">
      <c r="B1124" s="26"/>
      <c r="C1124" s="26"/>
      <c r="D1124" s="26"/>
      <c r="J1124" s="26"/>
      <c r="K1124" s="26"/>
    </row>
    <row r="1125">
      <c r="B1125" s="26"/>
      <c r="C1125" s="26"/>
      <c r="D1125" s="26"/>
      <c r="J1125" s="26"/>
      <c r="K1125" s="26"/>
    </row>
    <row r="1126">
      <c r="B1126" s="26"/>
      <c r="C1126" s="26"/>
      <c r="D1126" s="26"/>
      <c r="J1126" s="26"/>
      <c r="K1126" s="26"/>
    </row>
    <row r="1127">
      <c r="B1127" s="26"/>
      <c r="C1127" s="26"/>
      <c r="D1127" s="26"/>
      <c r="J1127" s="26"/>
      <c r="K1127" s="26"/>
    </row>
    <row r="1128">
      <c r="B1128" s="26"/>
      <c r="C1128" s="26"/>
      <c r="D1128" s="26"/>
      <c r="J1128" s="26"/>
      <c r="K1128" s="26"/>
    </row>
    <row r="1129">
      <c r="B1129" s="26"/>
      <c r="C1129" s="26"/>
      <c r="D1129" s="26"/>
      <c r="J1129" s="26"/>
      <c r="K1129" s="26"/>
    </row>
    <row r="1130">
      <c r="B1130" s="26"/>
      <c r="C1130" s="26"/>
      <c r="D1130" s="26"/>
      <c r="J1130" s="26"/>
      <c r="K1130" s="26"/>
    </row>
    <row r="1131">
      <c r="B1131" s="26"/>
      <c r="C1131" s="26"/>
      <c r="D1131" s="26"/>
      <c r="J1131" s="26"/>
      <c r="K1131" s="26"/>
    </row>
    <row r="1132">
      <c r="B1132" s="26"/>
      <c r="C1132" s="26"/>
      <c r="D1132" s="26"/>
      <c r="J1132" s="26"/>
      <c r="K1132" s="26"/>
    </row>
    <row r="1133">
      <c r="B1133" s="26"/>
      <c r="C1133" s="26"/>
      <c r="D1133" s="26"/>
      <c r="J1133" s="26"/>
      <c r="K1133" s="26"/>
    </row>
    <row r="1134">
      <c r="B1134" s="26"/>
      <c r="C1134" s="26"/>
      <c r="D1134" s="26"/>
      <c r="J1134" s="26"/>
      <c r="K1134" s="26"/>
    </row>
    <row r="1135">
      <c r="B1135" s="26"/>
      <c r="C1135" s="26"/>
      <c r="D1135" s="26"/>
      <c r="J1135" s="26"/>
      <c r="K1135" s="26"/>
    </row>
    <row r="1136">
      <c r="B1136" s="26"/>
      <c r="C1136" s="26"/>
      <c r="D1136" s="26"/>
      <c r="J1136" s="26"/>
      <c r="K1136" s="26"/>
    </row>
    <row r="1137">
      <c r="B1137" s="26"/>
      <c r="C1137" s="26"/>
      <c r="D1137" s="26"/>
      <c r="J1137" s="26"/>
      <c r="K1137" s="26"/>
    </row>
    <row r="1138">
      <c r="B1138" s="26"/>
      <c r="C1138" s="26"/>
      <c r="D1138" s="26"/>
      <c r="J1138" s="26"/>
      <c r="K1138" s="26"/>
    </row>
    <row r="1139">
      <c r="B1139" s="26"/>
      <c r="C1139" s="26"/>
      <c r="D1139" s="26"/>
      <c r="J1139" s="26"/>
      <c r="K1139" s="26"/>
    </row>
    <row r="1140">
      <c r="B1140" s="26"/>
      <c r="C1140" s="26"/>
      <c r="D1140" s="26"/>
      <c r="J1140" s="26"/>
      <c r="K1140" s="26"/>
    </row>
    <row r="1141">
      <c r="B1141" s="26"/>
      <c r="C1141" s="26"/>
      <c r="D1141" s="26"/>
      <c r="J1141" s="26"/>
      <c r="K1141" s="26"/>
    </row>
    <row r="1142">
      <c r="B1142" s="26"/>
      <c r="C1142" s="26"/>
      <c r="D1142" s="26"/>
      <c r="J1142" s="26"/>
      <c r="K1142" s="26"/>
    </row>
    <row r="1143">
      <c r="B1143" s="26"/>
      <c r="C1143" s="26"/>
      <c r="D1143" s="26"/>
      <c r="J1143" s="26"/>
      <c r="K1143" s="26"/>
    </row>
    <row r="1144">
      <c r="B1144" s="26"/>
      <c r="C1144" s="26"/>
      <c r="D1144" s="26"/>
      <c r="J1144" s="26"/>
      <c r="K1144" s="26"/>
    </row>
    <row r="1145">
      <c r="B1145" s="26"/>
      <c r="C1145" s="26"/>
      <c r="D1145" s="26"/>
      <c r="J1145" s="26"/>
      <c r="K1145" s="26"/>
    </row>
    <row r="1146">
      <c r="B1146" s="26"/>
      <c r="C1146" s="26"/>
      <c r="D1146" s="26"/>
      <c r="J1146" s="26"/>
      <c r="K1146" s="26"/>
    </row>
    <row r="1147">
      <c r="B1147" s="26"/>
      <c r="C1147" s="26"/>
      <c r="D1147" s="26"/>
      <c r="J1147" s="26"/>
      <c r="K1147" s="26"/>
    </row>
    <row r="1148">
      <c r="B1148" s="26"/>
      <c r="C1148" s="26"/>
      <c r="D1148" s="26"/>
      <c r="J1148" s="26"/>
      <c r="K1148" s="26"/>
    </row>
    <row r="1149">
      <c r="B1149" s="26"/>
      <c r="C1149" s="26"/>
      <c r="D1149" s="26"/>
      <c r="J1149" s="26"/>
      <c r="K1149" s="26"/>
    </row>
    <row r="1150">
      <c r="B1150" s="26"/>
      <c r="C1150" s="26"/>
      <c r="D1150" s="26"/>
      <c r="J1150" s="26"/>
      <c r="K1150" s="26"/>
    </row>
    <row r="1151">
      <c r="B1151" s="26"/>
      <c r="C1151" s="26"/>
      <c r="D1151" s="26"/>
      <c r="J1151" s="26"/>
      <c r="K1151" s="26"/>
    </row>
    <row r="1152">
      <c r="B1152" s="26"/>
      <c r="C1152" s="26"/>
      <c r="D1152" s="26"/>
      <c r="J1152" s="26"/>
      <c r="K1152" s="26"/>
    </row>
    <row r="1153">
      <c r="B1153" s="26"/>
      <c r="C1153" s="26"/>
      <c r="D1153" s="26"/>
      <c r="J1153" s="26"/>
      <c r="K1153" s="26"/>
    </row>
    <row r="1154">
      <c r="B1154" s="26"/>
      <c r="C1154" s="26"/>
      <c r="D1154" s="26"/>
      <c r="J1154" s="26"/>
      <c r="K1154" s="26"/>
    </row>
    <row r="1155">
      <c r="B1155" s="26"/>
      <c r="C1155" s="26"/>
      <c r="D1155" s="26"/>
      <c r="J1155" s="26"/>
      <c r="K1155" s="26"/>
    </row>
    <row r="1156">
      <c r="B1156" s="26"/>
      <c r="C1156" s="26"/>
      <c r="D1156" s="26"/>
      <c r="J1156" s="26"/>
      <c r="K1156" s="26"/>
    </row>
    <row r="1157">
      <c r="B1157" s="26"/>
      <c r="C1157" s="26"/>
      <c r="D1157" s="26"/>
      <c r="J1157" s="26"/>
      <c r="K1157" s="26"/>
    </row>
    <row r="1158">
      <c r="B1158" s="26"/>
      <c r="C1158" s="26"/>
      <c r="D1158" s="26"/>
      <c r="J1158" s="26"/>
      <c r="K1158" s="26"/>
    </row>
    <row r="1159">
      <c r="B1159" s="26"/>
      <c r="C1159" s="26"/>
      <c r="D1159" s="26"/>
      <c r="J1159" s="26"/>
      <c r="K1159" s="26"/>
    </row>
    <row r="1160">
      <c r="B1160" s="26"/>
      <c r="C1160" s="26"/>
      <c r="D1160" s="26"/>
      <c r="J1160" s="26"/>
      <c r="K1160" s="26"/>
    </row>
    <row r="1161">
      <c r="B1161" s="26"/>
      <c r="C1161" s="26"/>
      <c r="D1161" s="26"/>
      <c r="J1161" s="26"/>
      <c r="K1161" s="26"/>
    </row>
    <row r="1162">
      <c r="B1162" s="26"/>
      <c r="C1162" s="26"/>
      <c r="D1162" s="26"/>
      <c r="J1162" s="26"/>
      <c r="K1162" s="26"/>
    </row>
    <row r="1163">
      <c r="B1163" s="26"/>
      <c r="C1163" s="26"/>
      <c r="D1163" s="26"/>
      <c r="J1163" s="26"/>
      <c r="K1163" s="26"/>
    </row>
    <row r="1164">
      <c r="B1164" s="26"/>
      <c r="C1164" s="26"/>
      <c r="D1164" s="26"/>
      <c r="J1164" s="26"/>
      <c r="K1164" s="26"/>
    </row>
    <row r="1165">
      <c r="B1165" s="26"/>
      <c r="C1165" s="26"/>
      <c r="D1165" s="26"/>
      <c r="J1165" s="26"/>
      <c r="K1165" s="26"/>
    </row>
    <row r="1166">
      <c r="B1166" s="26"/>
      <c r="C1166" s="26"/>
      <c r="D1166" s="26"/>
      <c r="J1166" s="26"/>
      <c r="K1166" s="26"/>
    </row>
    <row r="1167">
      <c r="B1167" s="26"/>
      <c r="C1167" s="26"/>
      <c r="D1167" s="26"/>
      <c r="J1167" s="26"/>
      <c r="K1167" s="26"/>
    </row>
    <row r="1168">
      <c r="B1168" s="26"/>
      <c r="C1168" s="26"/>
      <c r="D1168" s="26"/>
      <c r="J1168" s="26"/>
      <c r="K1168" s="26"/>
    </row>
    <row r="1169">
      <c r="B1169" s="26"/>
      <c r="C1169" s="26"/>
      <c r="D1169" s="26"/>
      <c r="J1169" s="26"/>
      <c r="K1169" s="26"/>
    </row>
    <row r="1170">
      <c r="B1170" s="26"/>
      <c r="C1170" s="26"/>
      <c r="D1170" s="26"/>
      <c r="J1170" s="26"/>
      <c r="K1170" s="26"/>
    </row>
    <row r="1171">
      <c r="B1171" s="26"/>
      <c r="C1171" s="26"/>
      <c r="D1171" s="26"/>
      <c r="J1171" s="26"/>
      <c r="K1171" s="26"/>
    </row>
    <row r="1172">
      <c r="B1172" s="26"/>
      <c r="C1172" s="26"/>
      <c r="D1172" s="26"/>
      <c r="J1172" s="26"/>
      <c r="K1172" s="26"/>
    </row>
    <row r="1173">
      <c r="B1173" s="26"/>
      <c r="C1173" s="26"/>
      <c r="D1173" s="26"/>
      <c r="J1173" s="26"/>
      <c r="K1173" s="26"/>
    </row>
    <row r="1174">
      <c r="B1174" s="26"/>
      <c r="C1174" s="26"/>
      <c r="D1174" s="26"/>
      <c r="J1174" s="26"/>
      <c r="K1174" s="26"/>
    </row>
    <row r="1175">
      <c r="B1175" s="26"/>
      <c r="C1175" s="26"/>
      <c r="D1175" s="26"/>
      <c r="J1175" s="26"/>
      <c r="K1175" s="26"/>
    </row>
    <row r="1176">
      <c r="B1176" s="26"/>
      <c r="C1176" s="26"/>
      <c r="D1176" s="26"/>
      <c r="J1176" s="26"/>
      <c r="K1176" s="26"/>
    </row>
    <row r="1177">
      <c r="B1177" s="26"/>
      <c r="C1177" s="26"/>
      <c r="D1177" s="26"/>
      <c r="J1177" s="26"/>
      <c r="K1177" s="26"/>
    </row>
    <row r="1178">
      <c r="B1178" s="26"/>
      <c r="C1178" s="26"/>
      <c r="D1178" s="26"/>
      <c r="J1178" s="26"/>
      <c r="K1178" s="26"/>
    </row>
    <row r="1179">
      <c r="B1179" s="26"/>
      <c r="C1179" s="26"/>
      <c r="D1179" s="26"/>
      <c r="J1179" s="26"/>
      <c r="K1179" s="26"/>
    </row>
    <row r="1180">
      <c r="B1180" s="26"/>
      <c r="C1180" s="26"/>
      <c r="D1180" s="26"/>
      <c r="J1180" s="26"/>
      <c r="K1180" s="26"/>
    </row>
    <row r="1181">
      <c r="B1181" s="26"/>
      <c r="C1181" s="26"/>
      <c r="D1181" s="26"/>
      <c r="J1181" s="26"/>
      <c r="K1181" s="26"/>
    </row>
    <row r="1182">
      <c r="B1182" s="26"/>
      <c r="C1182" s="26"/>
      <c r="D1182" s="26"/>
      <c r="J1182" s="26"/>
      <c r="K1182" s="26"/>
    </row>
    <row r="1183">
      <c r="B1183" s="26"/>
      <c r="C1183" s="26"/>
      <c r="D1183" s="26"/>
      <c r="J1183" s="26"/>
      <c r="K1183" s="26"/>
    </row>
    <row r="1184">
      <c r="B1184" s="26"/>
      <c r="C1184" s="26"/>
      <c r="D1184" s="26"/>
      <c r="J1184" s="26"/>
      <c r="K1184" s="26"/>
    </row>
    <row r="1185">
      <c r="B1185" s="26"/>
      <c r="C1185" s="26"/>
      <c r="D1185" s="26"/>
      <c r="J1185" s="26"/>
      <c r="K1185" s="26"/>
    </row>
    <row r="1186">
      <c r="B1186" s="26"/>
      <c r="C1186" s="26"/>
      <c r="D1186" s="26"/>
      <c r="J1186" s="26"/>
      <c r="K1186" s="26"/>
    </row>
    <row r="1187">
      <c r="B1187" s="26"/>
      <c r="C1187" s="26"/>
      <c r="D1187" s="26"/>
      <c r="J1187" s="26"/>
      <c r="K1187" s="26"/>
    </row>
    <row r="1188">
      <c r="B1188" s="26"/>
      <c r="C1188" s="26"/>
      <c r="D1188" s="26"/>
      <c r="J1188" s="26"/>
      <c r="K1188" s="26"/>
    </row>
    <row r="1189">
      <c r="B1189" s="26"/>
      <c r="C1189" s="26"/>
      <c r="D1189" s="26"/>
      <c r="J1189" s="26"/>
      <c r="K1189" s="26"/>
    </row>
    <row r="1190">
      <c r="B1190" s="26"/>
      <c r="C1190" s="26"/>
      <c r="D1190" s="26"/>
      <c r="J1190" s="26"/>
      <c r="K1190" s="26"/>
    </row>
    <row r="1191">
      <c r="B1191" s="26"/>
      <c r="C1191" s="26"/>
      <c r="D1191" s="26"/>
      <c r="J1191" s="26"/>
      <c r="K1191" s="26"/>
    </row>
    <row r="1192">
      <c r="B1192" s="26"/>
      <c r="C1192" s="26"/>
      <c r="D1192" s="26"/>
      <c r="J1192" s="26"/>
      <c r="K1192" s="26"/>
    </row>
    <row r="1193">
      <c r="B1193" s="26"/>
      <c r="C1193" s="26"/>
      <c r="D1193" s="26"/>
      <c r="J1193" s="26"/>
      <c r="K1193" s="26"/>
    </row>
    <row r="1194">
      <c r="B1194" s="26"/>
      <c r="C1194" s="26"/>
      <c r="D1194" s="26"/>
      <c r="J1194" s="26"/>
      <c r="K1194" s="26"/>
    </row>
    <row r="1195">
      <c r="B1195" s="26"/>
      <c r="C1195" s="26"/>
      <c r="D1195" s="26"/>
      <c r="J1195" s="26"/>
      <c r="K1195" s="26"/>
    </row>
    <row r="1196">
      <c r="B1196" s="26"/>
      <c r="C1196" s="26"/>
      <c r="D1196" s="26"/>
      <c r="J1196" s="26"/>
      <c r="K1196" s="26"/>
    </row>
    <row r="1197">
      <c r="B1197" s="26"/>
      <c r="C1197" s="26"/>
      <c r="D1197" s="26"/>
      <c r="J1197" s="26"/>
      <c r="K1197" s="26"/>
    </row>
    <row r="1198">
      <c r="B1198" s="26"/>
      <c r="C1198" s="26"/>
      <c r="D1198" s="26"/>
      <c r="J1198" s="26"/>
      <c r="K1198" s="26"/>
    </row>
    <row r="1199">
      <c r="B1199" s="26"/>
      <c r="C1199" s="26"/>
      <c r="D1199" s="26"/>
      <c r="J1199" s="26"/>
      <c r="K1199" s="26"/>
    </row>
    <row r="1200">
      <c r="B1200" s="26"/>
      <c r="C1200" s="26"/>
      <c r="D1200" s="26"/>
      <c r="J1200" s="26"/>
      <c r="K1200" s="26"/>
    </row>
    <row r="1201">
      <c r="B1201" s="26"/>
      <c r="C1201" s="26"/>
      <c r="D1201" s="26"/>
      <c r="J1201" s="26"/>
      <c r="K1201" s="26"/>
    </row>
    <row r="1202">
      <c r="B1202" s="26"/>
      <c r="C1202" s="26"/>
      <c r="D1202" s="26"/>
      <c r="J1202" s="26"/>
      <c r="K1202" s="26"/>
    </row>
    <row r="1203">
      <c r="B1203" s="26"/>
      <c r="C1203" s="26"/>
      <c r="D1203" s="26"/>
      <c r="J1203" s="26"/>
      <c r="K1203" s="26"/>
    </row>
    <row r="1204">
      <c r="B1204" s="26"/>
      <c r="C1204" s="26"/>
      <c r="D1204" s="26"/>
      <c r="J1204" s="26"/>
      <c r="K1204" s="26"/>
    </row>
    <row r="1205">
      <c r="B1205" s="26"/>
      <c r="C1205" s="26"/>
      <c r="D1205" s="26"/>
      <c r="J1205" s="26"/>
      <c r="K1205" s="26"/>
    </row>
    <row r="1206">
      <c r="B1206" s="26"/>
      <c r="C1206" s="26"/>
      <c r="D1206" s="26"/>
      <c r="J1206" s="26"/>
      <c r="K1206" s="26"/>
    </row>
    <row r="1207">
      <c r="B1207" s="26"/>
      <c r="C1207" s="26"/>
      <c r="D1207" s="26"/>
      <c r="J1207" s="26"/>
      <c r="K1207" s="26"/>
    </row>
    <row r="1208">
      <c r="B1208" s="26"/>
      <c r="C1208" s="26"/>
      <c r="D1208" s="26"/>
      <c r="J1208" s="26"/>
      <c r="K1208" s="26"/>
    </row>
    <row r="1209">
      <c r="B1209" s="26"/>
      <c r="C1209" s="26"/>
      <c r="D1209" s="26"/>
      <c r="J1209" s="26"/>
      <c r="K1209" s="26"/>
    </row>
    <row r="1210">
      <c r="B1210" s="26"/>
      <c r="C1210" s="26"/>
      <c r="D1210" s="26"/>
      <c r="J1210" s="26"/>
      <c r="K1210" s="26"/>
    </row>
    <row r="1211">
      <c r="B1211" s="26"/>
      <c r="C1211" s="26"/>
      <c r="D1211" s="26"/>
      <c r="J1211" s="26"/>
      <c r="K1211" s="26"/>
    </row>
    <row r="1212">
      <c r="B1212" s="26"/>
      <c r="C1212" s="26"/>
      <c r="D1212" s="26"/>
      <c r="J1212" s="26"/>
      <c r="K1212" s="26"/>
    </row>
    <row r="1213">
      <c r="B1213" s="26"/>
      <c r="C1213" s="26"/>
      <c r="D1213" s="26"/>
      <c r="J1213" s="26"/>
      <c r="K1213" s="26"/>
    </row>
    <row r="1214">
      <c r="B1214" s="26"/>
      <c r="C1214" s="26"/>
      <c r="D1214" s="26"/>
      <c r="J1214" s="26"/>
      <c r="K1214" s="26"/>
    </row>
    <row r="1215">
      <c r="B1215" s="26"/>
      <c r="C1215" s="26"/>
      <c r="D1215" s="26"/>
      <c r="J1215" s="26"/>
      <c r="K1215" s="26"/>
    </row>
    <row r="1216">
      <c r="B1216" s="26"/>
      <c r="C1216" s="26"/>
      <c r="D1216" s="26"/>
      <c r="J1216" s="26"/>
      <c r="K1216" s="26"/>
    </row>
    <row r="1217">
      <c r="B1217" s="26"/>
      <c r="C1217" s="26"/>
      <c r="D1217" s="26"/>
      <c r="J1217" s="26"/>
      <c r="K1217" s="26"/>
    </row>
    <row r="1218">
      <c r="B1218" s="26"/>
      <c r="C1218" s="26"/>
      <c r="D1218" s="26"/>
      <c r="J1218" s="26"/>
      <c r="K1218" s="26"/>
    </row>
    <row r="1219">
      <c r="B1219" s="26"/>
      <c r="C1219" s="26"/>
      <c r="D1219" s="26"/>
      <c r="J1219" s="26"/>
      <c r="K1219" s="26"/>
    </row>
    <row r="1220">
      <c r="B1220" s="26"/>
      <c r="C1220" s="26"/>
      <c r="D1220" s="26"/>
      <c r="J1220" s="26"/>
      <c r="K1220" s="26"/>
    </row>
    <row r="1221">
      <c r="B1221" s="26"/>
      <c r="C1221" s="26"/>
      <c r="D1221" s="26"/>
      <c r="J1221" s="26"/>
      <c r="K1221" s="26"/>
    </row>
    <row r="1222">
      <c r="B1222" s="26"/>
      <c r="C1222" s="26"/>
      <c r="D1222" s="26"/>
      <c r="J1222" s="26"/>
      <c r="K1222" s="26"/>
    </row>
    <row r="1223">
      <c r="B1223" s="26"/>
      <c r="C1223" s="26"/>
      <c r="D1223" s="26"/>
      <c r="J1223" s="26"/>
      <c r="K1223" s="26"/>
    </row>
    <row r="1224">
      <c r="B1224" s="26"/>
      <c r="C1224" s="26"/>
      <c r="D1224" s="26"/>
      <c r="J1224" s="26"/>
      <c r="K1224" s="26"/>
    </row>
    <row r="1225">
      <c r="B1225" s="26"/>
      <c r="C1225" s="26"/>
      <c r="D1225" s="26"/>
      <c r="J1225" s="26"/>
      <c r="K1225" s="26"/>
    </row>
    <row r="1226">
      <c r="B1226" s="26"/>
      <c r="C1226" s="26"/>
      <c r="D1226" s="26"/>
      <c r="J1226" s="26"/>
      <c r="K1226" s="26"/>
    </row>
    <row r="1227">
      <c r="B1227" s="26"/>
      <c r="C1227" s="26"/>
      <c r="D1227" s="26"/>
      <c r="J1227" s="26"/>
      <c r="K1227" s="26"/>
    </row>
    <row r="1228">
      <c r="B1228" s="26"/>
      <c r="C1228" s="26"/>
      <c r="D1228" s="26"/>
      <c r="J1228" s="26"/>
      <c r="K1228" s="26"/>
    </row>
    <row r="1229">
      <c r="B1229" s="26"/>
      <c r="C1229" s="26"/>
      <c r="D1229" s="26"/>
      <c r="J1229" s="26"/>
      <c r="K1229" s="26"/>
    </row>
    <row r="1230">
      <c r="B1230" s="26"/>
      <c r="C1230" s="26"/>
      <c r="D1230" s="26"/>
      <c r="J1230" s="26"/>
      <c r="K1230" s="26"/>
    </row>
    <row r="1231">
      <c r="B1231" s="26"/>
      <c r="C1231" s="26"/>
      <c r="D1231" s="26"/>
      <c r="J1231" s="26"/>
      <c r="K1231" s="26"/>
    </row>
    <row r="1232">
      <c r="B1232" s="26"/>
      <c r="C1232" s="26"/>
      <c r="D1232" s="26"/>
      <c r="J1232" s="26"/>
      <c r="K1232" s="26"/>
    </row>
    <row r="1233">
      <c r="B1233" s="26"/>
      <c r="C1233" s="26"/>
      <c r="D1233" s="26"/>
      <c r="J1233" s="26"/>
      <c r="K1233" s="26"/>
    </row>
    <row r="1234">
      <c r="B1234" s="26"/>
      <c r="C1234" s="26"/>
      <c r="D1234" s="26"/>
      <c r="J1234" s="26"/>
      <c r="K1234" s="26"/>
    </row>
    <row r="1235">
      <c r="B1235" s="26"/>
      <c r="C1235" s="26"/>
      <c r="D1235" s="26"/>
      <c r="J1235" s="26"/>
      <c r="K1235" s="26"/>
    </row>
    <row r="1236">
      <c r="B1236" s="26"/>
      <c r="C1236" s="26"/>
      <c r="D1236" s="26"/>
      <c r="J1236" s="26"/>
      <c r="K1236" s="26"/>
    </row>
    <row r="1237">
      <c r="B1237" s="26"/>
      <c r="C1237" s="26"/>
      <c r="D1237" s="26"/>
      <c r="J1237" s="26"/>
      <c r="K1237" s="26"/>
    </row>
    <row r="1238">
      <c r="B1238" s="26"/>
      <c r="C1238" s="26"/>
      <c r="D1238" s="26"/>
      <c r="J1238" s="26"/>
      <c r="K1238" s="26"/>
    </row>
    <row r="1239">
      <c r="B1239" s="26"/>
      <c r="C1239" s="26"/>
      <c r="D1239" s="26"/>
      <c r="J1239" s="26"/>
      <c r="K1239" s="26"/>
    </row>
    <row r="1240">
      <c r="B1240" s="26"/>
      <c r="C1240" s="26"/>
      <c r="D1240" s="26"/>
      <c r="J1240" s="26"/>
      <c r="K1240" s="26"/>
    </row>
    <row r="1241">
      <c r="B1241" s="26"/>
      <c r="C1241" s="26"/>
      <c r="D1241" s="26"/>
      <c r="J1241" s="26"/>
      <c r="K1241" s="26"/>
    </row>
    <row r="1242">
      <c r="B1242" s="26"/>
      <c r="C1242" s="26"/>
      <c r="D1242" s="26"/>
      <c r="J1242" s="26"/>
      <c r="K1242" s="26"/>
    </row>
    <row r="1243">
      <c r="B1243" s="26"/>
      <c r="C1243" s="26"/>
      <c r="D1243" s="26"/>
      <c r="J1243" s="26"/>
      <c r="K1243" s="26"/>
    </row>
    <row r="1244">
      <c r="B1244" s="26"/>
      <c r="C1244" s="26"/>
      <c r="D1244" s="26"/>
      <c r="J1244" s="26"/>
      <c r="K1244" s="26"/>
    </row>
    <row r="1245">
      <c r="B1245" s="26"/>
      <c r="C1245" s="26"/>
      <c r="D1245" s="26"/>
      <c r="J1245" s="26"/>
      <c r="K1245" s="26"/>
    </row>
    <row r="1246">
      <c r="B1246" s="26"/>
      <c r="C1246" s="26"/>
      <c r="D1246" s="26"/>
      <c r="J1246" s="26"/>
      <c r="K1246" s="26"/>
    </row>
    <row r="1247">
      <c r="B1247" s="26"/>
      <c r="C1247" s="26"/>
      <c r="D1247" s="26"/>
      <c r="J1247" s="26"/>
      <c r="K1247" s="26"/>
    </row>
    <row r="1248">
      <c r="B1248" s="26"/>
      <c r="C1248" s="26"/>
      <c r="D1248" s="26"/>
      <c r="J1248" s="26"/>
      <c r="K1248" s="26"/>
    </row>
    <row r="1249">
      <c r="B1249" s="26"/>
      <c r="C1249" s="26"/>
      <c r="D1249" s="26"/>
      <c r="J1249" s="26"/>
      <c r="K1249" s="26"/>
    </row>
    <row r="1250">
      <c r="B1250" s="26"/>
      <c r="C1250" s="26"/>
      <c r="D1250" s="26"/>
      <c r="J1250" s="26"/>
      <c r="K1250" s="26"/>
    </row>
    <row r="1251">
      <c r="B1251" s="26"/>
      <c r="C1251" s="26"/>
      <c r="D1251" s="26"/>
      <c r="J1251" s="26"/>
      <c r="K1251" s="26"/>
    </row>
    <row r="1252">
      <c r="B1252" s="26"/>
      <c r="C1252" s="26"/>
      <c r="D1252" s="26"/>
      <c r="J1252" s="26"/>
      <c r="K1252" s="26"/>
    </row>
    <row r="1253">
      <c r="B1253" s="26"/>
      <c r="C1253" s="26"/>
      <c r="D1253" s="26"/>
      <c r="J1253" s="26"/>
      <c r="K1253" s="26"/>
    </row>
    <row r="1254">
      <c r="B1254" s="26"/>
      <c r="C1254" s="26"/>
      <c r="D1254" s="26"/>
      <c r="J1254" s="26"/>
      <c r="K1254" s="26"/>
    </row>
    <row r="1255">
      <c r="B1255" s="26"/>
      <c r="C1255" s="26"/>
      <c r="D1255" s="26"/>
      <c r="J1255" s="26"/>
      <c r="K1255" s="26"/>
    </row>
    <row r="1256">
      <c r="B1256" s="26"/>
      <c r="C1256" s="26"/>
      <c r="D1256" s="26"/>
      <c r="J1256" s="26"/>
      <c r="K1256" s="26"/>
    </row>
    <row r="1257">
      <c r="B1257" s="26"/>
      <c r="C1257" s="26"/>
      <c r="D1257" s="26"/>
      <c r="J1257" s="26"/>
      <c r="K1257" s="26"/>
    </row>
    <row r="1258">
      <c r="B1258" s="26"/>
      <c r="C1258" s="26"/>
      <c r="D1258" s="26"/>
      <c r="J1258" s="26"/>
      <c r="K1258" s="26"/>
    </row>
    <row r="1259">
      <c r="B1259" s="26"/>
      <c r="C1259" s="26"/>
      <c r="D1259" s="26"/>
      <c r="J1259" s="26"/>
      <c r="K1259" s="26"/>
    </row>
    <row r="1260">
      <c r="B1260" s="26"/>
      <c r="C1260" s="26"/>
      <c r="D1260" s="26"/>
      <c r="J1260" s="26"/>
      <c r="K1260" s="26"/>
    </row>
    <row r="1261">
      <c r="B1261" s="26"/>
      <c r="C1261" s="26"/>
      <c r="D1261" s="26"/>
      <c r="J1261" s="26"/>
      <c r="K1261" s="26"/>
    </row>
    <row r="1262">
      <c r="B1262" s="26"/>
      <c r="C1262" s="26"/>
      <c r="D1262" s="26"/>
      <c r="J1262" s="26"/>
      <c r="K1262" s="26"/>
    </row>
    <row r="1263">
      <c r="B1263" s="26"/>
      <c r="C1263" s="26"/>
      <c r="D1263" s="26"/>
      <c r="J1263" s="26"/>
      <c r="K1263" s="26"/>
    </row>
    <row r="1264">
      <c r="B1264" s="26"/>
      <c r="C1264" s="26"/>
      <c r="D1264" s="26"/>
      <c r="J1264" s="26"/>
      <c r="K1264" s="26"/>
    </row>
    <row r="1265">
      <c r="B1265" s="26"/>
      <c r="C1265" s="26"/>
      <c r="D1265" s="26"/>
      <c r="J1265" s="26"/>
      <c r="K1265" s="26"/>
    </row>
    <row r="1266">
      <c r="B1266" s="26"/>
      <c r="C1266" s="26"/>
      <c r="D1266" s="26"/>
      <c r="J1266" s="26"/>
      <c r="K1266" s="26"/>
    </row>
    <row r="1267">
      <c r="B1267" s="26"/>
      <c r="C1267" s="26"/>
      <c r="D1267" s="26"/>
      <c r="J1267" s="26"/>
      <c r="K1267" s="26"/>
    </row>
    <row r="1268">
      <c r="B1268" s="26"/>
      <c r="C1268" s="26"/>
      <c r="D1268" s="26"/>
      <c r="J1268" s="26"/>
      <c r="K1268" s="26"/>
    </row>
    <row r="1269">
      <c r="B1269" s="26"/>
      <c r="C1269" s="26"/>
      <c r="D1269" s="26"/>
      <c r="J1269" s="26"/>
      <c r="K1269" s="26"/>
    </row>
    <row r="1270">
      <c r="B1270" s="26"/>
      <c r="C1270" s="26"/>
      <c r="D1270" s="26"/>
      <c r="J1270" s="26"/>
      <c r="K1270" s="26"/>
    </row>
    <row r="1271">
      <c r="B1271" s="26"/>
      <c r="C1271" s="26"/>
      <c r="D1271" s="26"/>
      <c r="J1271" s="26"/>
      <c r="K1271" s="26"/>
    </row>
    <row r="1272">
      <c r="B1272" s="26"/>
      <c r="C1272" s="26"/>
      <c r="D1272" s="26"/>
      <c r="J1272" s="26"/>
      <c r="K1272" s="26"/>
    </row>
    <row r="1273">
      <c r="B1273" s="26"/>
      <c r="C1273" s="26"/>
      <c r="D1273" s="26"/>
      <c r="J1273" s="26"/>
      <c r="K1273" s="26"/>
    </row>
    <row r="1274">
      <c r="B1274" s="26"/>
      <c r="C1274" s="26"/>
      <c r="D1274" s="26"/>
      <c r="J1274" s="26"/>
      <c r="K1274" s="26"/>
    </row>
    <row r="1275">
      <c r="B1275" s="26"/>
      <c r="C1275" s="26"/>
      <c r="D1275" s="26"/>
      <c r="J1275" s="26"/>
      <c r="K1275" s="26"/>
    </row>
    <row r="1276">
      <c r="B1276" s="26"/>
      <c r="C1276" s="26"/>
      <c r="D1276" s="26"/>
      <c r="J1276" s="26"/>
      <c r="K1276" s="26"/>
    </row>
    <row r="1277">
      <c r="B1277" s="26"/>
      <c r="C1277" s="26"/>
      <c r="D1277" s="26"/>
      <c r="J1277" s="26"/>
      <c r="K1277" s="26"/>
    </row>
    <row r="1278">
      <c r="B1278" s="26"/>
      <c r="C1278" s="26"/>
      <c r="D1278" s="26"/>
      <c r="J1278" s="26"/>
      <c r="K1278" s="26"/>
    </row>
    <row r="1279">
      <c r="B1279" s="26"/>
      <c r="C1279" s="26"/>
      <c r="D1279" s="26"/>
      <c r="J1279" s="26"/>
      <c r="K1279" s="26"/>
    </row>
    <row r="1280">
      <c r="B1280" s="26"/>
      <c r="C1280" s="26"/>
      <c r="D1280" s="26"/>
      <c r="J1280" s="26"/>
      <c r="K1280" s="26"/>
    </row>
    <row r="1281">
      <c r="B1281" s="26"/>
      <c r="C1281" s="26"/>
      <c r="D1281" s="26"/>
      <c r="J1281" s="26"/>
      <c r="K1281" s="26"/>
    </row>
    <row r="1282">
      <c r="B1282" s="26"/>
      <c r="C1282" s="26"/>
      <c r="D1282" s="26"/>
      <c r="J1282" s="26"/>
      <c r="K1282" s="26"/>
    </row>
    <row r="1283">
      <c r="B1283" s="26"/>
      <c r="C1283" s="26"/>
      <c r="D1283" s="26"/>
      <c r="J1283" s="26"/>
      <c r="K1283" s="26"/>
    </row>
    <row r="1284">
      <c r="B1284" s="26"/>
      <c r="C1284" s="26"/>
      <c r="D1284" s="26"/>
      <c r="J1284" s="26"/>
      <c r="K1284" s="26"/>
    </row>
    <row r="1285">
      <c r="B1285" s="26"/>
      <c r="C1285" s="26"/>
      <c r="D1285" s="26"/>
      <c r="J1285" s="26"/>
      <c r="K1285" s="26"/>
    </row>
    <row r="1286">
      <c r="B1286" s="26"/>
      <c r="C1286" s="26"/>
      <c r="D1286" s="26"/>
      <c r="J1286" s="26"/>
      <c r="K1286" s="26"/>
    </row>
    <row r="1287">
      <c r="B1287" s="26"/>
      <c r="C1287" s="26"/>
      <c r="D1287" s="26"/>
      <c r="J1287" s="26"/>
      <c r="K1287" s="26"/>
    </row>
    <row r="1288">
      <c r="B1288" s="26"/>
      <c r="C1288" s="26"/>
      <c r="D1288" s="26"/>
      <c r="J1288" s="26"/>
      <c r="K1288" s="26"/>
    </row>
    <row r="1289">
      <c r="B1289" s="26"/>
      <c r="C1289" s="26"/>
      <c r="D1289" s="26"/>
      <c r="J1289" s="26"/>
      <c r="K1289" s="26"/>
    </row>
    <row r="1290">
      <c r="B1290" s="26"/>
      <c r="C1290" s="26"/>
      <c r="D1290" s="26"/>
      <c r="J1290" s="26"/>
      <c r="K1290" s="26"/>
    </row>
    <row r="1291">
      <c r="B1291" s="26"/>
      <c r="C1291" s="26"/>
      <c r="D1291" s="26"/>
      <c r="J1291" s="26"/>
      <c r="K1291" s="26"/>
    </row>
    <row r="1292">
      <c r="B1292" s="26"/>
      <c r="C1292" s="26"/>
      <c r="D1292" s="26"/>
      <c r="J1292" s="26"/>
      <c r="K1292" s="26"/>
    </row>
    <row r="1293">
      <c r="B1293" s="26"/>
      <c r="C1293" s="26"/>
      <c r="D1293" s="26"/>
      <c r="J1293" s="26"/>
      <c r="K1293" s="26"/>
    </row>
    <row r="1294">
      <c r="B1294" s="26"/>
      <c r="C1294" s="26"/>
      <c r="D1294" s="26"/>
      <c r="J1294" s="26"/>
      <c r="K1294" s="26"/>
    </row>
    <row r="1295">
      <c r="B1295" s="26"/>
      <c r="C1295" s="26"/>
      <c r="D1295" s="26"/>
      <c r="J1295" s="26"/>
      <c r="K1295" s="26"/>
    </row>
    <row r="1296">
      <c r="B1296" s="26"/>
      <c r="C1296" s="26"/>
      <c r="D1296" s="26"/>
      <c r="J1296" s="26"/>
      <c r="K1296" s="26"/>
    </row>
    <row r="1297">
      <c r="B1297" s="26"/>
      <c r="C1297" s="26"/>
      <c r="D1297" s="26"/>
      <c r="J1297" s="26"/>
      <c r="K1297" s="26"/>
    </row>
    <row r="1298">
      <c r="B1298" s="26"/>
      <c r="C1298" s="26"/>
      <c r="D1298" s="26"/>
      <c r="J1298" s="26"/>
      <c r="K1298" s="26"/>
    </row>
    <row r="1299">
      <c r="B1299" s="26"/>
      <c r="C1299" s="26"/>
      <c r="D1299" s="26"/>
      <c r="J1299" s="26"/>
      <c r="K1299" s="26"/>
    </row>
    <row r="1300">
      <c r="B1300" s="26"/>
      <c r="C1300" s="26"/>
      <c r="D1300" s="26"/>
      <c r="J1300" s="26"/>
      <c r="K1300" s="26"/>
    </row>
    <row r="1301">
      <c r="B1301" s="26"/>
      <c r="C1301" s="26"/>
      <c r="D1301" s="26"/>
      <c r="J1301" s="26"/>
      <c r="K1301" s="26"/>
    </row>
    <row r="1302">
      <c r="B1302" s="26"/>
      <c r="C1302" s="26"/>
      <c r="D1302" s="26"/>
      <c r="J1302" s="26"/>
      <c r="K1302" s="26"/>
    </row>
    <row r="1303">
      <c r="B1303" s="26"/>
      <c r="C1303" s="26"/>
      <c r="D1303" s="26"/>
      <c r="J1303" s="26"/>
      <c r="K1303" s="26"/>
    </row>
    <row r="1304">
      <c r="B1304" s="26"/>
      <c r="C1304" s="26"/>
      <c r="D1304" s="26"/>
      <c r="J1304" s="26"/>
      <c r="K1304" s="26"/>
    </row>
    <row r="1305">
      <c r="B1305" s="26"/>
      <c r="C1305" s="26"/>
      <c r="D1305" s="26"/>
      <c r="J1305" s="26"/>
      <c r="K1305" s="26"/>
    </row>
    <row r="1306">
      <c r="B1306" s="26"/>
      <c r="C1306" s="26"/>
      <c r="D1306" s="26"/>
      <c r="J1306" s="26"/>
      <c r="K1306" s="26"/>
    </row>
    <row r="1307">
      <c r="B1307" s="26"/>
      <c r="C1307" s="26"/>
      <c r="D1307" s="26"/>
      <c r="J1307" s="26"/>
      <c r="K1307" s="26"/>
    </row>
    <row r="1308">
      <c r="B1308" s="26"/>
      <c r="C1308" s="26"/>
      <c r="D1308" s="26"/>
      <c r="J1308" s="26"/>
      <c r="K1308" s="26"/>
    </row>
    <row r="1309">
      <c r="B1309" s="26"/>
      <c r="C1309" s="26"/>
      <c r="D1309" s="26"/>
      <c r="J1309" s="26"/>
      <c r="K1309" s="26"/>
    </row>
    <row r="1310">
      <c r="B1310" s="26"/>
      <c r="C1310" s="26"/>
      <c r="D1310" s="26"/>
      <c r="J1310" s="26"/>
      <c r="K1310" s="26"/>
    </row>
    <row r="1311">
      <c r="B1311" s="26"/>
      <c r="C1311" s="26"/>
      <c r="D1311" s="26"/>
      <c r="J1311" s="26"/>
      <c r="K1311" s="26"/>
    </row>
    <row r="1312">
      <c r="B1312" s="26"/>
      <c r="C1312" s="26"/>
      <c r="D1312" s="26"/>
      <c r="J1312" s="26"/>
      <c r="K1312" s="26"/>
    </row>
    <row r="1313">
      <c r="B1313" s="26"/>
      <c r="C1313" s="26"/>
      <c r="D1313" s="26"/>
      <c r="J1313" s="26"/>
      <c r="K1313" s="26"/>
    </row>
    <row r="1314">
      <c r="B1314" s="26"/>
      <c r="C1314" s="26"/>
      <c r="D1314" s="26"/>
      <c r="J1314" s="26"/>
      <c r="K1314" s="26"/>
    </row>
    <row r="1315">
      <c r="B1315" s="26"/>
      <c r="C1315" s="26"/>
      <c r="D1315" s="26"/>
      <c r="J1315" s="26"/>
      <c r="K1315" s="26"/>
    </row>
    <row r="1316">
      <c r="B1316" s="26"/>
      <c r="C1316" s="26"/>
      <c r="D1316" s="26"/>
      <c r="J1316" s="26"/>
      <c r="K1316" s="26"/>
    </row>
    <row r="1317">
      <c r="B1317" s="26"/>
      <c r="C1317" s="26"/>
      <c r="D1317" s="26"/>
      <c r="J1317" s="26"/>
      <c r="K1317" s="26"/>
    </row>
    <row r="1318">
      <c r="B1318" s="26"/>
      <c r="C1318" s="26"/>
      <c r="D1318" s="26"/>
      <c r="J1318" s="26"/>
      <c r="K1318" s="26"/>
    </row>
    <row r="1319">
      <c r="B1319" s="26"/>
      <c r="C1319" s="26"/>
      <c r="D1319" s="26"/>
      <c r="J1319" s="26"/>
      <c r="K1319" s="26"/>
    </row>
    <row r="1320">
      <c r="B1320" s="26"/>
      <c r="C1320" s="26"/>
      <c r="D1320" s="26"/>
      <c r="J1320" s="26"/>
      <c r="K1320" s="26"/>
    </row>
    <row r="1321">
      <c r="B1321" s="26"/>
      <c r="C1321" s="26"/>
      <c r="D1321" s="26"/>
      <c r="J1321" s="26"/>
      <c r="K1321" s="26"/>
    </row>
    <row r="1322">
      <c r="B1322" s="26"/>
      <c r="C1322" s="26"/>
      <c r="D1322" s="26"/>
      <c r="J1322" s="26"/>
      <c r="K1322" s="26"/>
    </row>
    <row r="1323">
      <c r="B1323" s="26"/>
      <c r="C1323" s="26"/>
      <c r="D1323" s="26"/>
      <c r="J1323" s="26"/>
      <c r="K1323" s="26"/>
    </row>
    <row r="1324">
      <c r="B1324" s="26"/>
      <c r="C1324" s="26"/>
      <c r="D1324" s="26"/>
      <c r="J1324" s="26"/>
      <c r="K1324" s="26"/>
    </row>
    <row r="1325">
      <c r="B1325" s="26"/>
      <c r="C1325" s="26"/>
      <c r="D1325" s="26"/>
      <c r="J1325" s="26"/>
      <c r="K1325" s="26"/>
    </row>
    <row r="1326">
      <c r="B1326" s="26"/>
      <c r="C1326" s="26"/>
      <c r="D1326" s="26"/>
      <c r="J1326" s="26"/>
      <c r="K1326" s="26"/>
    </row>
    <row r="1327">
      <c r="B1327" s="26"/>
      <c r="C1327" s="26"/>
      <c r="D1327" s="26"/>
      <c r="J1327" s="26"/>
      <c r="K1327" s="26"/>
    </row>
    <row r="1328">
      <c r="B1328" s="26"/>
      <c r="C1328" s="26"/>
      <c r="D1328" s="26"/>
      <c r="J1328" s="26"/>
      <c r="K1328" s="26"/>
    </row>
    <row r="1329">
      <c r="B1329" s="26"/>
      <c r="C1329" s="26"/>
      <c r="D1329" s="26"/>
      <c r="J1329" s="26"/>
      <c r="K1329" s="26"/>
    </row>
    <row r="1330">
      <c r="B1330" s="26"/>
      <c r="C1330" s="26"/>
      <c r="D1330" s="26"/>
      <c r="J1330" s="26"/>
      <c r="K1330" s="26"/>
    </row>
    <row r="1331">
      <c r="B1331" s="26"/>
      <c r="C1331" s="26"/>
      <c r="D1331" s="26"/>
      <c r="J1331" s="26"/>
      <c r="K1331" s="26"/>
    </row>
    <row r="1332">
      <c r="B1332" s="26"/>
      <c r="C1332" s="26"/>
      <c r="D1332" s="26"/>
      <c r="J1332" s="26"/>
      <c r="K1332" s="26"/>
    </row>
    <row r="1333">
      <c r="B1333" s="26"/>
      <c r="C1333" s="26"/>
      <c r="D1333" s="26"/>
      <c r="J1333" s="26"/>
      <c r="K1333" s="26"/>
    </row>
    <row r="1334">
      <c r="B1334" s="26"/>
      <c r="C1334" s="26"/>
      <c r="D1334" s="26"/>
      <c r="J1334" s="26"/>
      <c r="K1334" s="26"/>
    </row>
    <row r="1335">
      <c r="B1335" s="26"/>
      <c r="C1335" s="26"/>
      <c r="D1335" s="26"/>
      <c r="J1335" s="26"/>
      <c r="K1335" s="26"/>
    </row>
    <row r="1336">
      <c r="B1336" s="26"/>
      <c r="C1336" s="26"/>
      <c r="D1336" s="26"/>
      <c r="J1336" s="26"/>
      <c r="K1336" s="26"/>
    </row>
    <row r="1337">
      <c r="B1337" s="26"/>
      <c r="C1337" s="26"/>
      <c r="D1337" s="26"/>
      <c r="J1337" s="26"/>
      <c r="K1337" s="26"/>
    </row>
    <row r="1338">
      <c r="B1338" s="26"/>
      <c r="C1338" s="26"/>
      <c r="D1338" s="26"/>
      <c r="J1338" s="26"/>
      <c r="K1338" s="26"/>
    </row>
    <row r="1339">
      <c r="B1339" s="26"/>
      <c r="C1339" s="26"/>
      <c r="D1339" s="26"/>
      <c r="J1339" s="26"/>
      <c r="K1339" s="26"/>
    </row>
    <row r="1340">
      <c r="B1340" s="26"/>
      <c r="C1340" s="26"/>
      <c r="D1340" s="26"/>
      <c r="J1340" s="26"/>
      <c r="K1340" s="26"/>
    </row>
    <row r="1341">
      <c r="B1341" s="26"/>
      <c r="C1341" s="26"/>
      <c r="D1341" s="26"/>
      <c r="J1341" s="26"/>
      <c r="K1341" s="26"/>
    </row>
    <row r="1342">
      <c r="B1342" s="26"/>
      <c r="C1342" s="26"/>
      <c r="D1342" s="26"/>
      <c r="J1342" s="26"/>
      <c r="K1342" s="26"/>
    </row>
    <row r="1343">
      <c r="B1343" s="26"/>
      <c r="C1343" s="26"/>
      <c r="D1343" s="26"/>
      <c r="J1343" s="26"/>
      <c r="K1343" s="26"/>
    </row>
    <row r="1344">
      <c r="B1344" s="26"/>
      <c r="C1344" s="26"/>
      <c r="D1344" s="26"/>
      <c r="J1344" s="26"/>
      <c r="K1344" s="26"/>
    </row>
    <row r="1345">
      <c r="B1345" s="26"/>
      <c r="C1345" s="26"/>
      <c r="D1345" s="26"/>
      <c r="J1345" s="26"/>
      <c r="K1345" s="26"/>
    </row>
    <row r="1346">
      <c r="B1346" s="26"/>
      <c r="C1346" s="26"/>
      <c r="D1346" s="26"/>
      <c r="J1346" s="26"/>
      <c r="K1346" s="26"/>
    </row>
    <row r="1347">
      <c r="B1347" s="26"/>
      <c r="C1347" s="26"/>
      <c r="D1347" s="26"/>
      <c r="J1347" s="26"/>
      <c r="K1347" s="26"/>
    </row>
    <row r="1348">
      <c r="B1348" s="26"/>
      <c r="C1348" s="26"/>
      <c r="D1348" s="26"/>
      <c r="J1348" s="26"/>
      <c r="K1348" s="26"/>
    </row>
    <row r="1349">
      <c r="B1349" s="26"/>
      <c r="C1349" s="26"/>
      <c r="D1349" s="26"/>
      <c r="J1349" s="26"/>
      <c r="K1349" s="26"/>
    </row>
    <row r="1350">
      <c r="B1350" s="26"/>
      <c r="C1350" s="26"/>
      <c r="D1350" s="26"/>
      <c r="J1350" s="26"/>
      <c r="K1350" s="26"/>
    </row>
    <row r="1351">
      <c r="B1351" s="26"/>
      <c r="C1351" s="26"/>
      <c r="D1351" s="26"/>
      <c r="J1351" s="26"/>
      <c r="K1351" s="26"/>
    </row>
    <row r="1352">
      <c r="B1352" s="26"/>
      <c r="C1352" s="26"/>
      <c r="D1352" s="26"/>
      <c r="J1352" s="26"/>
      <c r="K1352" s="26"/>
    </row>
    <row r="1353">
      <c r="B1353" s="26"/>
      <c r="C1353" s="26"/>
      <c r="D1353" s="26"/>
      <c r="J1353" s="26"/>
      <c r="K1353" s="26"/>
    </row>
    <row r="1354">
      <c r="B1354" s="26"/>
      <c r="C1354" s="26"/>
      <c r="D1354" s="26"/>
      <c r="J1354" s="26"/>
      <c r="K1354" s="26"/>
    </row>
    <row r="1355">
      <c r="B1355" s="26"/>
      <c r="C1355" s="26"/>
      <c r="D1355" s="26"/>
      <c r="J1355" s="26"/>
      <c r="K1355" s="26"/>
    </row>
    <row r="1356">
      <c r="B1356" s="26"/>
      <c r="C1356" s="26"/>
      <c r="D1356" s="26"/>
      <c r="J1356" s="26"/>
      <c r="K1356" s="26"/>
    </row>
    <row r="1357">
      <c r="B1357" s="26"/>
      <c r="C1357" s="26"/>
      <c r="D1357" s="26"/>
      <c r="J1357" s="26"/>
      <c r="K1357" s="26"/>
    </row>
    <row r="1358">
      <c r="B1358" s="26"/>
      <c r="C1358" s="26"/>
      <c r="D1358" s="26"/>
      <c r="J1358" s="26"/>
      <c r="K1358" s="26"/>
    </row>
    <row r="1359">
      <c r="B1359" s="26"/>
      <c r="C1359" s="26"/>
      <c r="D1359" s="26"/>
      <c r="J1359" s="26"/>
      <c r="K1359" s="26"/>
    </row>
    <row r="1360">
      <c r="B1360" s="26"/>
      <c r="C1360" s="26"/>
      <c r="D1360" s="26"/>
      <c r="J1360" s="26"/>
      <c r="K1360" s="26"/>
    </row>
    <row r="1361">
      <c r="B1361" s="26"/>
      <c r="C1361" s="26"/>
      <c r="D1361" s="26"/>
      <c r="J1361" s="26"/>
      <c r="K1361" s="26"/>
    </row>
    <row r="1362">
      <c r="B1362" s="26"/>
      <c r="C1362" s="26"/>
      <c r="D1362" s="26"/>
      <c r="J1362" s="26"/>
      <c r="K1362" s="26"/>
    </row>
    <row r="1363">
      <c r="B1363" s="26"/>
      <c r="C1363" s="26"/>
      <c r="D1363" s="26"/>
      <c r="J1363" s="26"/>
      <c r="K1363" s="26"/>
    </row>
    <row r="1364">
      <c r="B1364" s="26"/>
      <c r="C1364" s="26"/>
      <c r="D1364" s="26"/>
      <c r="J1364" s="26"/>
      <c r="K1364" s="26"/>
    </row>
    <row r="1365">
      <c r="B1365" s="26"/>
      <c r="C1365" s="26"/>
      <c r="D1365" s="26"/>
      <c r="J1365" s="26"/>
      <c r="K1365" s="26"/>
    </row>
    <row r="1366">
      <c r="B1366" s="26"/>
      <c r="C1366" s="26"/>
      <c r="D1366" s="26"/>
      <c r="J1366" s="26"/>
      <c r="K1366" s="26"/>
    </row>
    <row r="1367">
      <c r="B1367" s="26"/>
      <c r="C1367" s="26"/>
      <c r="D1367" s="26"/>
      <c r="J1367" s="26"/>
      <c r="K1367" s="26"/>
    </row>
    <row r="1368">
      <c r="B1368" s="26"/>
      <c r="C1368" s="26"/>
      <c r="D1368" s="26"/>
      <c r="J1368" s="26"/>
      <c r="K1368" s="26"/>
    </row>
    <row r="1369">
      <c r="B1369" s="26"/>
      <c r="C1369" s="26"/>
      <c r="D1369" s="26"/>
      <c r="J1369" s="26"/>
      <c r="K1369" s="26"/>
    </row>
    <row r="1370">
      <c r="B1370" s="26"/>
      <c r="C1370" s="26"/>
      <c r="D1370" s="26"/>
      <c r="J1370" s="26"/>
      <c r="K1370" s="26"/>
    </row>
    <row r="1371">
      <c r="B1371" s="26"/>
      <c r="C1371" s="26"/>
      <c r="D1371" s="26"/>
      <c r="J1371" s="26"/>
      <c r="K1371" s="26"/>
    </row>
    <row r="1372">
      <c r="B1372" s="26"/>
      <c r="C1372" s="26"/>
      <c r="D1372" s="26"/>
      <c r="J1372" s="26"/>
      <c r="K1372" s="26"/>
    </row>
    <row r="1373">
      <c r="B1373" s="26"/>
      <c r="C1373" s="26"/>
      <c r="D1373" s="26"/>
      <c r="J1373" s="26"/>
      <c r="K1373" s="26"/>
    </row>
    <row r="1374">
      <c r="B1374" s="26"/>
      <c r="C1374" s="26"/>
      <c r="D1374" s="26"/>
      <c r="J1374" s="26"/>
      <c r="K1374" s="26"/>
    </row>
    <row r="1375">
      <c r="B1375" s="26"/>
      <c r="C1375" s="26"/>
      <c r="D1375" s="26"/>
      <c r="J1375" s="26"/>
      <c r="K1375" s="26"/>
    </row>
    <row r="1376">
      <c r="B1376" s="26"/>
      <c r="C1376" s="26"/>
      <c r="D1376" s="26"/>
      <c r="J1376" s="26"/>
      <c r="K1376" s="26"/>
    </row>
    <row r="1377">
      <c r="B1377" s="26"/>
      <c r="C1377" s="26"/>
      <c r="D1377" s="26"/>
      <c r="J1377" s="26"/>
      <c r="K1377" s="26"/>
    </row>
    <row r="1378">
      <c r="B1378" s="26"/>
      <c r="C1378" s="26"/>
      <c r="D1378" s="26"/>
      <c r="J1378" s="26"/>
      <c r="K1378" s="26"/>
    </row>
    <row r="1379">
      <c r="B1379" s="26"/>
      <c r="C1379" s="26"/>
      <c r="D1379" s="26"/>
      <c r="J1379" s="26"/>
      <c r="K1379" s="26"/>
    </row>
    <row r="1380">
      <c r="B1380" s="26"/>
      <c r="C1380" s="26"/>
      <c r="D1380" s="26"/>
      <c r="J1380" s="26"/>
      <c r="K1380" s="26"/>
    </row>
    <row r="1381">
      <c r="B1381" s="26"/>
      <c r="C1381" s="26"/>
      <c r="D1381" s="26"/>
      <c r="J1381" s="26"/>
      <c r="K1381" s="26"/>
    </row>
    <row r="1382">
      <c r="B1382" s="26"/>
      <c r="C1382" s="26"/>
      <c r="D1382" s="26"/>
      <c r="J1382" s="26"/>
      <c r="K1382" s="26"/>
    </row>
    <row r="1383">
      <c r="B1383" s="26"/>
      <c r="C1383" s="26"/>
      <c r="D1383" s="26"/>
      <c r="J1383" s="26"/>
      <c r="K1383" s="26"/>
    </row>
    <row r="1384">
      <c r="B1384" s="26"/>
      <c r="C1384" s="26"/>
      <c r="D1384" s="26"/>
      <c r="J1384" s="26"/>
      <c r="K1384" s="26"/>
    </row>
    <row r="1385">
      <c r="B1385" s="26"/>
      <c r="C1385" s="26"/>
      <c r="D1385" s="26"/>
      <c r="J1385" s="26"/>
      <c r="K1385" s="26"/>
    </row>
    <row r="1386">
      <c r="B1386" s="26"/>
      <c r="C1386" s="26"/>
      <c r="D1386" s="26"/>
      <c r="J1386" s="26"/>
      <c r="K1386" s="26"/>
    </row>
    <row r="1387">
      <c r="B1387" s="26"/>
      <c r="C1387" s="26"/>
      <c r="D1387" s="26"/>
      <c r="J1387" s="26"/>
      <c r="K1387" s="26"/>
    </row>
    <row r="1388">
      <c r="B1388" s="26"/>
      <c r="C1388" s="26"/>
      <c r="D1388" s="26"/>
      <c r="J1388" s="26"/>
      <c r="K1388" s="26"/>
    </row>
    <row r="1389">
      <c r="B1389" s="26"/>
      <c r="C1389" s="26"/>
      <c r="D1389" s="26"/>
      <c r="J1389" s="26"/>
      <c r="K1389" s="26"/>
    </row>
    <row r="1390">
      <c r="B1390" s="26"/>
      <c r="C1390" s="26"/>
      <c r="D1390" s="26"/>
      <c r="J1390" s="26"/>
      <c r="K1390" s="26"/>
    </row>
    <row r="1391">
      <c r="B1391" s="26"/>
      <c r="C1391" s="26"/>
      <c r="D1391" s="26"/>
      <c r="J1391" s="26"/>
      <c r="K1391" s="26"/>
    </row>
    <row r="1392">
      <c r="B1392" s="26"/>
      <c r="C1392" s="26"/>
      <c r="D1392" s="26"/>
      <c r="J1392" s="26"/>
      <c r="K1392" s="26"/>
    </row>
    <row r="1393">
      <c r="B1393" s="26"/>
      <c r="C1393" s="26"/>
      <c r="D1393" s="26"/>
      <c r="J1393" s="26"/>
      <c r="K1393" s="26"/>
    </row>
    <row r="1394">
      <c r="B1394" s="26"/>
      <c r="C1394" s="26"/>
      <c r="D1394" s="26"/>
      <c r="J1394" s="26"/>
      <c r="K1394" s="26"/>
    </row>
    <row r="1395">
      <c r="B1395" s="26"/>
      <c r="C1395" s="26"/>
      <c r="D1395" s="26"/>
      <c r="J1395" s="26"/>
      <c r="K1395" s="26"/>
    </row>
    <row r="1396">
      <c r="B1396" s="26"/>
      <c r="C1396" s="26"/>
      <c r="D1396" s="26"/>
      <c r="J1396" s="26"/>
      <c r="K1396" s="26"/>
    </row>
    <row r="1397">
      <c r="B1397" s="26"/>
      <c r="C1397" s="26"/>
      <c r="D1397" s="26"/>
      <c r="J1397" s="26"/>
      <c r="K1397" s="26"/>
    </row>
    <row r="1398">
      <c r="B1398" s="26"/>
      <c r="C1398" s="26"/>
      <c r="D1398" s="26"/>
      <c r="J1398" s="26"/>
      <c r="K1398" s="26"/>
    </row>
    <row r="1399">
      <c r="B1399" s="26"/>
      <c r="C1399" s="26"/>
      <c r="D1399" s="26"/>
      <c r="J1399" s="26"/>
      <c r="K1399" s="26"/>
    </row>
    <row r="1400">
      <c r="B1400" s="26"/>
      <c r="C1400" s="26"/>
      <c r="D1400" s="26"/>
      <c r="J1400" s="26"/>
      <c r="K1400" s="26"/>
    </row>
    <row r="1401">
      <c r="B1401" s="26"/>
      <c r="C1401" s="26"/>
      <c r="D1401" s="26"/>
      <c r="J1401" s="26"/>
      <c r="K1401" s="26"/>
    </row>
    <row r="1402">
      <c r="B1402" s="26"/>
      <c r="C1402" s="26"/>
      <c r="D1402" s="26"/>
      <c r="J1402" s="26"/>
      <c r="K1402" s="26"/>
    </row>
    <row r="1403">
      <c r="B1403" s="26"/>
      <c r="C1403" s="26"/>
      <c r="D1403" s="26"/>
      <c r="J1403" s="26"/>
      <c r="K1403" s="26"/>
    </row>
    <row r="1404">
      <c r="B1404" s="26"/>
      <c r="C1404" s="26"/>
      <c r="D1404" s="26"/>
      <c r="J1404" s="26"/>
      <c r="K1404" s="26"/>
    </row>
    <row r="1405">
      <c r="B1405" s="26"/>
      <c r="C1405" s="26"/>
      <c r="D1405" s="26"/>
      <c r="J1405" s="26"/>
      <c r="K1405" s="26"/>
    </row>
    <row r="1406">
      <c r="B1406" s="26"/>
      <c r="C1406" s="26"/>
      <c r="D1406" s="26"/>
      <c r="J1406" s="26"/>
      <c r="K1406" s="26"/>
    </row>
    <row r="1407">
      <c r="B1407" s="26"/>
      <c r="C1407" s="26"/>
      <c r="D1407" s="26"/>
      <c r="J1407" s="26"/>
      <c r="K1407" s="26"/>
    </row>
    <row r="1408">
      <c r="B1408" s="26"/>
      <c r="C1408" s="26"/>
      <c r="D1408" s="26"/>
      <c r="J1408" s="26"/>
      <c r="K1408" s="26"/>
    </row>
    <row r="1409">
      <c r="B1409" s="26"/>
      <c r="C1409" s="26"/>
      <c r="D1409" s="26"/>
      <c r="J1409" s="26"/>
      <c r="K1409" s="26"/>
    </row>
    <row r="1410">
      <c r="B1410" s="26"/>
      <c r="C1410" s="26"/>
      <c r="D1410" s="26"/>
      <c r="J1410" s="26"/>
      <c r="K1410" s="26"/>
    </row>
    <row r="1411">
      <c r="B1411" s="26"/>
      <c r="C1411" s="26"/>
      <c r="D1411" s="26"/>
      <c r="J1411" s="26"/>
      <c r="K1411" s="26"/>
    </row>
    <row r="1412">
      <c r="B1412" s="26"/>
      <c r="C1412" s="26"/>
      <c r="D1412" s="26"/>
      <c r="J1412" s="26"/>
      <c r="K1412" s="26"/>
    </row>
    <row r="1413">
      <c r="B1413" s="26"/>
      <c r="C1413" s="26"/>
      <c r="D1413" s="26"/>
      <c r="J1413" s="26"/>
      <c r="K1413" s="26"/>
    </row>
    <row r="1414">
      <c r="B1414" s="26"/>
      <c r="C1414" s="26"/>
      <c r="D1414" s="26"/>
      <c r="J1414" s="26"/>
      <c r="K1414" s="26"/>
    </row>
    <row r="1415">
      <c r="B1415" s="26"/>
      <c r="C1415" s="26"/>
      <c r="D1415" s="26"/>
      <c r="J1415" s="26"/>
      <c r="K1415" s="26"/>
    </row>
    <row r="1416">
      <c r="B1416" s="26"/>
      <c r="C1416" s="26"/>
      <c r="D1416" s="26"/>
      <c r="J1416" s="26"/>
      <c r="K1416" s="26"/>
    </row>
    <row r="1417">
      <c r="B1417" s="26"/>
      <c r="C1417" s="26"/>
      <c r="D1417" s="26"/>
      <c r="J1417" s="26"/>
      <c r="K1417" s="26"/>
    </row>
    <row r="1418">
      <c r="B1418" s="26"/>
      <c r="C1418" s="26"/>
      <c r="D1418" s="26"/>
      <c r="J1418" s="26"/>
      <c r="K1418" s="26"/>
    </row>
    <row r="1419">
      <c r="B1419" s="26"/>
      <c r="C1419" s="26"/>
      <c r="D1419" s="26"/>
      <c r="J1419" s="26"/>
      <c r="K1419" s="26"/>
    </row>
    <row r="1420">
      <c r="B1420" s="26"/>
      <c r="C1420" s="26"/>
      <c r="D1420" s="26"/>
      <c r="J1420" s="26"/>
      <c r="K1420" s="26"/>
    </row>
    <row r="1421">
      <c r="B1421" s="26"/>
      <c r="C1421" s="26"/>
      <c r="D1421" s="26"/>
      <c r="J1421" s="26"/>
      <c r="K1421" s="26"/>
    </row>
    <row r="1422">
      <c r="B1422" s="26"/>
      <c r="C1422" s="26"/>
      <c r="D1422" s="26"/>
      <c r="J1422" s="26"/>
      <c r="K1422" s="26"/>
    </row>
    <row r="1423">
      <c r="B1423" s="26"/>
      <c r="C1423" s="26"/>
      <c r="D1423" s="26"/>
      <c r="J1423" s="26"/>
      <c r="K1423" s="26"/>
    </row>
    <row r="1424">
      <c r="B1424" s="26"/>
      <c r="C1424" s="26"/>
      <c r="D1424" s="26"/>
      <c r="J1424" s="26"/>
      <c r="K1424" s="26"/>
    </row>
    <row r="1425">
      <c r="B1425" s="26"/>
      <c r="C1425" s="26"/>
      <c r="D1425" s="26"/>
      <c r="J1425" s="26"/>
      <c r="K1425" s="26"/>
    </row>
    <row r="1426">
      <c r="B1426" s="26"/>
      <c r="C1426" s="26"/>
      <c r="D1426" s="26"/>
      <c r="J1426" s="26"/>
      <c r="K1426" s="26"/>
    </row>
    <row r="1427">
      <c r="B1427" s="26"/>
      <c r="C1427" s="26"/>
      <c r="D1427" s="26"/>
      <c r="J1427" s="26"/>
      <c r="K1427" s="26"/>
    </row>
    <row r="1428">
      <c r="B1428" s="26"/>
      <c r="C1428" s="26"/>
      <c r="D1428" s="26"/>
      <c r="J1428" s="26"/>
      <c r="K1428" s="26"/>
    </row>
    <row r="1429">
      <c r="B1429" s="26"/>
      <c r="C1429" s="26"/>
      <c r="D1429" s="26"/>
      <c r="J1429" s="26"/>
      <c r="K1429" s="26"/>
    </row>
    <row r="1430">
      <c r="B1430" s="26"/>
      <c r="C1430" s="26"/>
      <c r="D1430" s="26"/>
      <c r="J1430" s="26"/>
      <c r="K1430" s="26"/>
    </row>
    <row r="1431">
      <c r="B1431" s="26"/>
      <c r="C1431" s="26"/>
      <c r="D1431" s="26"/>
      <c r="J1431" s="26"/>
      <c r="K1431" s="26"/>
    </row>
    <row r="1432">
      <c r="B1432" s="26"/>
      <c r="C1432" s="26"/>
      <c r="D1432" s="26"/>
      <c r="J1432" s="26"/>
      <c r="K1432" s="26"/>
    </row>
    <row r="1433">
      <c r="B1433" s="26"/>
      <c r="C1433" s="26"/>
      <c r="D1433" s="26"/>
      <c r="J1433" s="26"/>
      <c r="K1433" s="26"/>
    </row>
    <row r="1434">
      <c r="B1434" s="26"/>
      <c r="C1434" s="26"/>
      <c r="D1434" s="26"/>
      <c r="J1434" s="26"/>
      <c r="K1434" s="26"/>
    </row>
    <row r="1435">
      <c r="B1435" s="26"/>
      <c r="C1435" s="26"/>
      <c r="D1435" s="26"/>
      <c r="J1435" s="26"/>
      <c r="K1435" s="26"/>
    </row>
    <row r="1436">
      <c r="B1436" s="26"/>
      <c r="C1436" s="26"/>
      <c r="D1436" s="26"/>
      <c r="J1436" s="26"/>
      <c r="K1436" s="26"/>
    </row>
    <row r="1437">
      <c r="B1437" s="26"/>
      <c r="C1437" s="26"/>
      <c r="D1437" s="26"/>
      <c r="J1437" s="26"/>
      <c r="K1437" s="26"/>
    </row>
    <row r="1438">
      <c r="B1438" s="26"/>
      <c r="C1438" s="26"/>
      <c r="D1438" s="26"/>
      <c r="J1438" s="26"/>
      <c r="K1438" s="26"/>
    </row>
    <row r="1439">
      <c r="B1439" s="26"/>
      <c r="C1439" s="26"/>
      <c r="D1439" s="26"/>
      <c r="J1439" s="26"/>
      <c r="K1439" s="26"/>
    </row>
    <row r="1440">
      <c r="B1440" s="26"/>
      <c r="C1440" s="26"/>
      <c r="D1440" s="26"/>
      <c r="J1440" s="26"/>
      <c r="K1440" s="26"/>
    </row>
    <row r="1441">
      <c r="B1441" s="26"/>
      <c r="C1441" s="26"/>
      <c r="D1441" s="26"/>
      <c r="J1441" s="26"/>
      <c r="K1441" s="26"/>
    </row>
    <row r="1442">
      <c r="B1442" s="26"/>
      <c r="C1442" s="26"/>
      <c r="D1442" s="26"/>
      <c r="J1442" s="26"/>
      <c r="K1442" s="26"/>
    </row>
    <row r="1443">
      <c r="B1443" s="26"/>
      <c r="C1443" s="26"/>
      <c r="D1443" s="26"/>
      <c r="J1443" s="26"/>
      <c r="K1443" s="26"/>
    </row>
    <row r="1444">
      <c r="B1444" s="26"/>
      <c r="C1444" s="26"/>
      <c r="D1444" s="26"/>
      <c r="J1444" s="26"/>
      <c r="K1444" s="26"/>
    </row>
    <row r="1445">
      <c r="B1445" s="26"/>
      <c r="C1445" s="26"/>
      <c r="D1445" s="26"/>
      <c r="J1445" s="26"/>
      <c r="K1445" s="26"/>
    </row>
    <row r="1446">
      <c r="B1446" s="26"/>
      <c r="C1446" s="26"/>
      <c r="D1446" s="26"/>
      <c r="J1446" s="26"/>
      <c r="K1446" s="26"/>
    </row>
    <row r="1447">
      <c r="B1447" s="26"/>
      <c r="C1447" s="26"/>
      <c r="D1447" s="26"/>
      <c r="J1447" s="26"/>
      <c r="K1447" s="26"/>
    </row>
    <row r="1448">
      <c r="B1448" s="26"/>
      <c r="C1448" s="26"/>
      <c r="D1448" s="26"/>
      <c r="J1448" s="26"/>
      <c r="K1448" s="26"/>
    </row>
    <row r="1449">
      <c r="B1449" s="26"/>
      <c r="C1449" s="26"/>
      <c r="D1449" s="26"/>
      <c r="J1449" s="26"/>
      <c r="K1449" s="26"/>
    </row>
    <row r="1450">
      <c r="B1450" s="26"/>
      <c r="C1450" s="26"/>
      <c r="D1450" s="26"/>
      <c r="J1450" s="26"/>
      <c r="K1450" s="26"/>
    </row>
    <row r="1451">
      <c r="B1451" s="26"/>
      <c r="C1451" s="26"/>
      <c r="D1451" s="26"/>
      <c r="J1451" s="26"/>
      <c r="K1451" s="26"/>
    </row>
    <row r="1452">
      <c r="B1452" s="26"/>
      <c r="C1452" s="26"/>
      <c r="D1452" s="26"/>
      <c r="J1452" s="26"/>
      <c r="K1452" s="26"/>
    </row>
    <row r="1453">
      <c r="B1453" s="26"/>
      <c r="C1453" s="26"/>
      <c r="D1453" s="26"/>
      <c r="J1453" s="26"/>
      <c r="K1453" s="26"/>
    </row>
    <row r="1454">
      <c r="B1454" s="26"/>
      <c r="C1454" s="26"/>
      <c r="D1454" s="26"/>
      <c r="J1454" s="26"/>
      <c r="K1454" s="26"/>
    </row>
    <row r="1455">
      <c r="B1455" s="26"/>
      <c r="C1455" s="26"/>
      <c r="D1455" s="26"/>
      <c r="J1455" s="26"/>
      <c r="K1455" s="26"/>
    </row>
    <row r="1456">
      <c r="B1456" s="26"/>
      <c r="C1456" s="26"/>
      <c r="D1456" s="26"/>
      <c r="J1456" s="26"/>
      <c r="K1456" s="26"/>
    </row>
    <row r="1457">
      <c r="B1457" s="26"/>
      <c r="C1457" s="26"/>
      <c r="D1457" s="26"/>
      <c r="J1457" s="26"/>
      <c r="K1457" s="26"/>
    </row>
    <row r="1458">
      <c r="B1458" s="26"/>
      <c r="C1458" s="26"/>
      <c r="D1458" s="26"/>
      <c r="J1458" s="26"/>
      <c r="K1458" s="26"/>
    </row>
    <row r="1459">
      <c r="B1459" s="26"/>
      <c r="C1459" s="26"/>
      <c r="D1459" s="26"/>
      <c r="J1459" s="26"/>
      <c r="K1459" s="26"/>
    </row>
    <row r="1460">
      <c r="B1460" s="26"/>
      <c r="C1460" s="26"/>
      <c r="D1460" s="26"/>
      <c r="J1460" s="26"/>
      <c r="K1460" s="26"/>
    </row>
    <row r="1461">
      <c r="B1461" s="26"/>
      <c r="C1461" s="26"/>
      <c r="D1461" s="26"/>
      <c r="J1461" s="26"/>
      <c r="K1461" s="26"/>
    </row>
    <row r="1462">
      <c r="B1462" s="26"/>
      <c r="C1462" s="26"/>
      <c r="D1462" s="26"/>
      <c r="J1462" s="26"/>
      <c r="K1462" s="26"/>
    </row>
    <row r="1463">
      <c r="B1463" s="26"/>
      <c r="C1463" s="26"/>
      <c r="D1463" s="26"/>
      <c r="J1463" s="26"/>
      <c r="K1463" s="26"/>
    </row>
    <row r="1464">
      <c r="B1464" s="26"/>
      <c r="C1464" s="26"/>
      <c r="D1464" s="26"/>
      <c r="J1464" s="26"/>
      <c r="K1464" s="26"/>
    </row>
    <row r="1465">
      <c r="B1465" s="26"/>
      <c r="C1465" s="26"/>
      <c r="D1465" s="26"/>
      <c r="J1465" s="26"/>
      <c r="K1465" s="26"/>
    </row>
    <row r="1466">
      <c r="B1466" s="26"/>
      <c r="C1466" s="26"/>
      <c r="D1466" s="26"/>
      <c r="J1466" s="26"/>
      <c r="K1466" s="26"/>
    </row>
    <row r="1467">
      <c r="B1467" s="26"/>
      <c r="C1467" s="26"/>
      <c r="D1467" s="26"/>
      <c r="J1467" s="26"/>
      <c r="K1467" s="26"/>
    </row>
    <row r="1468">
      <c r="B1468" s="26"/>
      <c r="C1468" s="26"/>
      <c r="D1468" s="26"/>
      <c r="J1468" s="26"/>
      <c r="K1468" s="26"/>
    </row>
    <row r="1469">
      <c r="B1469" s="26"/>
      <c r="C1469" s="26"/>
      <c r="D1469" s="26"/>
      <c r="J1469" s="26"/>
      <c r="K1469" s="26"/>
    </row>
    <row r="1470">
      <c r="B1470" s="26"/>
      <c r="C1470" s="26"/>
      <c r="D1470" s="26"/>
      <c r="J1470" s="26"/>
      <c r="K1470" s="26"/>
    </row>
    <row r="1471">
      <c r="B1471" s="26"/>
      <c r="C1471" s="26"/>
      <c r="D1471" s="26"/>
      <c r="J1471" s="26"/>
      <c r="K1471" s="26"/>
    </row>
    <row r="1472">
      <c r="B1472" s="26"/>
      <c r="C1472" s="26"/>
      <c r="D1472" s="26"/>
      <c r="J1472" s="26"/>
      <c r="K1472" s="26"/>
    </row>
    <row r="1473">
      <c r="B1473" s="26"/>
      <c r="C1473" s="26"/>
      <c r="D1473" s="26"/>
      <c r="J1473" s="26"/>
      <c r="K1473" s="26"/>
    </row>
    <row r="1474">
      <c r="B1474" s="26"/>
      <c r="C1474" s="26"/>
      <c r="D1474" s="26"/>
      <c r="J1474" s="26"/>
      <c r="K1474" s="26"/>
    </row>
    <row r="1475">
      <c r="B1475" s="26"/>
      <c r="C1475" s="26"/>
      <c r="D1475" s="26"/>
      <c r="J1475" s="26"/>
      <c r="K1475" s="26"/>
    </row>
    <row r="1476">
      <c r="B1476" s="26"/>
      <c r="C1476" s="26"/>
      <c r="D1476" s="26"/>
      <c r="J1476" s="26"/>
      <c r="K1476" s="26"/>
    </row>
    <row r="1477">
      <c r="B1477" s="26"/>
      <c r="C1477" s="26"/>
      <c r="D1477" s="26"/>
      <c r="J1477" s="26"/>
      <c r="K1477" s="26"/>
    </row>
    <row r="1478">
      <c r="B1478" s="26"/>
      <c r="C1478" s="26"/>
      <c r="D1478" s="26"/>
      <c r="J1478" s="26"/>
      <c r="K1478" s="26"/>
    </row>
    <row r="1479">
      <c r="B1479" s="26"/>
      <c r="C1479" s="26"/>
      <c r="D1479" s="26"/>
      <c r="J1479" s="26"/>
      <c r="K1479" s="26"/>
    </row>
    <row r="1480">
      <c r="B1480" s="26"/>
      <c r="C1480" s="26"/>
      <c r="D1480" s="26"/>
      <c r="J1480" s="26"/>
      <c r="K1480" s="26"/>
    </row>
    <row r="1481">
      <c r="B1481" s="26"/>
      <c r="C1481" s="26"/>
      <c r="D1481" s="26"/>
      <c r="J1481" s="26"/>
      <c r="K1481" s="26"/>
    </row>
    <row r="1482">
      <c r="B1482" s="26"/>
      <c r="C1482" s="26"/>
      <c r="D1482" s="26"/>
      <c r="J1482" s="26"/>
      <c r="K1482" s="26"/>
    </row>
    <row r="1483">
      <c r="B1483" s="26"/>
      <c r="C1483" s="26"/>
      <c r="D1483" s="26"/>
      <c r="J1483" s="26"/>
      <c r="K1483" s="26"/>
    </row>
    <row r="1484">
      <c r="B1484" s="26"/>
      <c r="C1484" s="26"/>
      <c r="D1484" s="26"/>
      <c r="J1484" s="26"/>
      <c r="K1484" s="26"/>
    </row>
    <row r="1485">
      <c r="B1485" s="26"/>
      <c r="C1485" s="26"/>
      <c r="D1485" s="26"/>
      <c r="J1485" s="26"/>
      <c r="K1485" s="26"/>
    </row>
    <row r="1486">
      <c r="B1486" s="26"/>
      <c r="C1486" s="26"/>
      <c r="D1486" s="26"/>
      <c r="J1486" s="26"/>
      <c r="K1486" s="26"/>
    </row>
    <row r="1487">
      <c r="B1487" s="26"/>
      <c r="C1487" s="26"/>
      <c r="D1487" s="26"/>
      <c r="J1487" s="26"/>
      <c r="K1487" s="26"/>
    </row>
    <row r="1488">
      <c r="B1488" s="26"/>
      <c r="C1488" s="26"/>
      <c r="D1488" s="26"/>
      <c r="J1488" s="26"/>
      <c r="K1488" s="26"/>
    </row>
    <row r="1489">
      <c r="B1489" s="26"/>
      <c r="C1489" s="26"/>
      <c r="D1489" s="26"/>
      <c r="J1489" s="26"/>
      <c r="K1489" s="26"/>
    </row>
    <row r="1490">
      <c r="B1490" s="26"/>
      <c r="C1490" s="26"/>
      <c r="D1490" s="26"/>
      <c r="J1490" s="26"/>
      <c r="K1490" s="26"/>
    </row>
    <row r="1491">
      <c r="B1491" s="26"/>
      <c r="C1491" s="26"/>
      <c r="D1491" s="26"/>
      <c r="J1491" s="26"/>
      <c r="K1491" s="26"/>
    </row>
    <row r="1492">
      <c r="B1492" s="26"/>
      <c r="C1492" s="26"/>
      <c r="D1492" s="26"/>
      <c r="J1492" s="26"/>
      <c r="K1492" s="26"/>
    </row>
    <row r="1493">
      <c r="B1493" s="26"/>
      <c r="C1493" s="26"/>
      <c r="D1493" s="26"/>
      <c r="J1493" s="26"/>
      <c r="K1493" s="26"/>
    </row>
    <row r="1494">
      <c r="B1494" s="26"/>
      <c r="C1494" s="26"/>
      <c r="D1494" s="26"/>
      <c r="J1494" s="26"/>
      <c r="K1494" s="26"/>
    </row>
    <row r="1495">
      <c r="B1495" s="26"/>
      <c r="C1495" s="26"/>
      <c r="D1495" s="26"/>
      <c r="J1495" s="26"/>
      <c r="K1495" s="26"/>
    </row>
    <row r="1496">
      <c r="B1496" s="26"/>
      <c r="C1496" s="26"/>
      <c r="D1496" s="26"/>
      <c r="J1496" s="26"/>
      <c r="K1496" s="26"/>
    </row>
    <row r="1497">
      <c r="B1497" s="26"/>
      <c r="C1497" s="26"/>
      <c r="D1497" s="26"/>
      <c r="J1497" s="26"/>
      <c r="K1497" s="26"/>
    </row>
    <row r="1498">
      <c r="B1498" s="26"/>
      <c r="C1498" s="26"/>
      <c r="D1498" s="26"/>
      <c r="J1498" s="26"/>
      <c r="K1498" s="26"/>
    </row>
    <row r="1499">
      <c r="B1499" s="26"/>
      <c r="C1499" s="26"/>
      <c r="D1499" s="26"/>
      <c r="J1499" s="26"/>
      <c r="K1499" s="26"/>
    </row>
    <row r="1500">
      <c r="B1500" s="26"/>
      <c r="C1500" s="26"/>
      <c r="D1500" s="26"/>
      <c r="J1500" s="26"/>
      <c r="K1500" s="26"/>
    </row>
    <row r="1501">
      <c r="B1501" s="26"/>
      <c r="C1501" s="26"/>
      <c r="D1501" s="26"/>
      <c r="J1501" s="26"/>
      <c r="K1501" s="26"/>
    </row>
    <row r="1502">
      <c r="B1502" s="26"/>
      <c r="C1502" s="26"/>
      <c r="D1502" s="26"/>
      <c r="J1502" s="26"/>
      <c r="K1502" s="26"/>
    </row>
    <row r="1503">
      <c r="B1503" s="26"/>
      <c r="C1503" s="26"/>
      <c r="D1503" s="26"/>
      <c r="J1503" s="26"/>
      <c r="K1503" s="26"/>
    </row>
    <row r="1504">
      <c r="B1504" s="26"/>
      <c r="C1504" s="26"/>
      <c r="D1504" s="26"/>
      <c r="J1504" s="26"/>
      <c r="K1504" s="26"/>
    </row>
    <row r="1505">
      <c r="B1505" s="26"/>
      <c r="C1505" s="26"/>
      <c r="D1505" s="26"/>
      <c r="J1505" s="26"/>
      <c r="K1505" s="26"/>
    </row>
    <row r="1506">
      <c r="B1506" s="26"/>
      <c r="C1506" s="26"/>
      <c r="D1506" s="26"/>
      <c r="J1506" s="26"/>
      <c r="K1506" s="26"/>
    </row>
    <row r="1507">
      <c r="B1507" s="26"/>
      <c r="C1507" s="26"/>
      <c r="D1507" s="26"/>
      <c r="J1507" s="26"/>
      <c r="K1507" s="26"/>
    </row>
    <row r="1508">
      <c r="B1508" s="26"/>
      <c r="C1508" s="26"/>
      <c r="D1508" s="26"/>
      <c r="J1508" s="26"/>
      <c r="K1508" s="26"/>
    </row>
    <row r="1509">
      <c r="B1509" s="26"/>
      <c r="C1509" s="26"/>
      <c r="D1509" s="26"/>
      <c r="J1509" s="26"/>
      <c r="K1509" s="26"/>
    </row>
    <row r="1510">
      <c r="B1510" s="26"/>
      <c r="C1510" s="26"/>
      <c r="D1510" s="26"/>
      <c r="J1510" s="26"/>
      <c r="K1510" s="26"/>
    </row>
    <row r="1511">
      <c r="B1511" s="26"/>
      <c r="C1511" s="26"/>
      <c r="D1511" s="26"/>
      <c r="J1511" s="26"/>
      <c r="K1511" s="26"/>
    </row>
    <row r="1512">
      <c r="B1512" s="26"/>
      <c r="C1512" s="26"/>
      <c r="D1512" s="26"/>
      <c r="J1512" s="26"/>
      <c r="K1512" s="26"/>
    </row>
    <row r="1513">
      <c r="B1513" s="26"/>
      <c r="C1513" s="26"/>
      <c r="D1513" s="26"/>
      <c r="J1513" s="26"/>
      <c r="K1513" s="26"/>
    </row>
    <row r="1514">
      <c r="B1514" s="26"/>
      <c r="C1514" s="26"/>
      <c r="D1514" s="26"/>
      <c r="J1514" s="26"/>
      <c r="K1514" s="26"/>
    </row>
    <row r="1515">
      <c r="B1515" s="26"/>
      <c r="C1515" s="26"/>
      <c r="D1515" s="26"/>
      <c r="J1515" s="26"/>
      <c r="K1515" s="26"/>
    </row>
    <row r="1516">
      <c r="B1516" s="26"/>
      <c r="C1516" s="26"/>
      <c r="D1516" s="26"/>
      <c r="J1516" s="26"/>
      <c r="K1516" s="26"/>
    </row>
    <row r="1517">
      <c r="B1517" s="26"/>
      <c r="C1517" s="26"/>
      <c r="D1517" s="26"/>
      <c r="J1517" s="26"/>
      <c r="K1517" s="26"/>
    </row>
    <row r="1518">
      <c r="B1518" s="26"/>
      <c r="C1518" s="26"/>
      <c r="D1518" s="26"/>
      <c r="J1518" s="26"/>
      <c r="K1518" s="26"/>
    </row>
    <row r="1519">
      <c r="B1519" s="26"/>
      <c r="C1519" s="26"/>
      <c r="D1519" s="26"/>
      <c r="J1519" s="26"/>
      <c r="K1519" s="26"/>
    </row>
    <row r="1520">
      <c r="B1520" s="26"/>
      <c r="C1520" s="26"/>
      <c r="D1520" s="26"/>
      <c r="J1520" s="26"/>
      <c r="K1520" s="26"/>
    </row>
    <row r="1521">
      <c r="B1521" s="26"/>
      <c r="C1521" s="26"/>
      <c r="D1521" s="26"/>
      <c r="J1521" s="26"/>
      <c r="K1521" s="26"/>
    </row>
    <row r="1522">
      <c r="B1522" s="26"/>
      <c r="C1522" s="26"/>
      <c r="D1522" s="26"/>
      <c r="J1522" s="26"/>
      <c r="K1522" s="26"/>
    </row>
    <row r="1523">
      <c r="B1523" s="26"/>
      <c r="C1523" s="26"/>
      <c r="D1523" s="26"/>
      <c r="J1523" s="26"/>
      <c r="K1523" s="26"/>
    </row>
    <row r="1524">
      <c r="B1524" s="26"/>
      <c r="C1524" s="26"/>
      <c r="D1524" s="26"/>
      <c r="J1524" s="26"/>
      <c r="K1524" s="26"/>
    </row>
    <row r="1525">
      <c r="B1525" s="26"/>
      <c r="C1525" s="26"/>
      <c r="D1525" s="26"/>
      <c r="J1525" s="26"/>
      <c r="K1525" s="26"/>
    </row>
    <row r="1526">
      <c r="B1526" s="26"/>
      <c r="C1526" s="26"/>
      <c r="D1526" s="26"/>
      <c r="J1526" s="26"/>
      <c r="K1526" s="26"/>
    </row>
    <row r="1527">
      <c r="B1527" s="26"/>
      <c r="C1527" s="26"/>
      <c r="D1527" s="26"/>
      <c r="J1527" s="26"/>
      <c r="K1527" s="26"/>
    </row>
    <row r="1528">
      <c r="B1528" s="26"/>
      <c r="C1528" s="26"/>
      <c r="D1528" s="26"/>
      <c r="J1528" s="26"/>
      <c r="K1528" s="26"/>
    </row>
    <row r="1529">
      <c r="B1529" s="26"/>
      <c r="C1529" s="26"/>
      <c r="D1529" s="26"/>
      <c r="J1529" s="26"/>
      <c r="K1529" s="26"/>
    </row>
    <row r="1530">
      <c r="B1530" s="26"/>
      <c r="C1530" s="26"/>
      <c r="D1530" s="26"/>
      <c r="J1530" s="26"/>
      <c r="K1530" s="26"/>
    </row>
    <row r="1531">
      <c r="B1531" s="26"/>
      <c r="C1531" s="26"/>
      <c r="D1531" s="26"/>
      <c r="J1531" s="26"/>
      <c r="K1531" s="26"/>
    </row>
    <row r="1532">
      <c r="B1532" s="26"/>
      <c r="C1532" s="26"/>
      <c r="D1532" s="26"/>
      <c r="J1532" s="26"/>
      <c r="K1532" s="26"/>
    </row>
    <row r="1533">
      <c r="B1533" s="26"/>
      <c r="C1533" s="26"/>
      <c r="D1533" s="26"/>
      <c r="J1533" s="26"/>
      <c r="K1533" s="26"/>
    </row>
    <row r="1534">
      <c r="B1534" s="26"/>
      <c r="C1534" s="26"/>
      <c r="D1534" s="26"/>
      <c r="J1534" s="26"/>
      <c r="K1534" s="26"/>
    </row>
    <row r="1535">
      <c r="B1535" s="26"/>
      <c r="C1535" s="26"/>
      <c r="D1535" s="26"/>
      <c r="J1535" s="26"/>
      <c r="K1535" s="26"/>
    </row>
    <row r="1536">
      <c r="B1536" s="26"/>
      <c r="C1536" s="26"/>
      <c r="D1536" s="26"/>
      <c r="J1536" s="26"/>
      <c r="K1536" s="26"/>
    </row>
    <row r="1537">
      <c r="B1537" s="26"/>
      <c r="C1537" s="26"/>
      <c r="D1537" s="26"/>
      <c r="J1537" s="26"/>
      <c r="K1537" s="26"/>
    </row>
    <row r="1538">
      <c r="B1538" s="26"/>
      <c r="C1538" s="26"/>
      <c r="D1538" s="26"/>
      <c r="J1538" s="26"/>
      <c r="K1538" s="26"/>
    </row>
    <row r="1539">
      <c r="B1539" s="26"/>
      <c r="C1539" s="26"/>
      <c r="D1539" s="26"/>
      <c r="J1539" s="26"/>
      <c r="K1539" s="26"/>
    </row>
    <row r="1540">
      <c r="B1540" s="26"/>
      <c r="C1540" s="26"/>
      <c r="D1540" s="26"/>
      <c r="J1540" s="26"/>
      <c r="K1540" s="26"/>
    </row>
    <row r="1541">
      <c r="B1541" s="26"/>
      <c r="C1541" s="26"/>
      <c r="D1541" s="26"/>
      <c r="J1541" s="26"/>
      <c r="K1541" s="26"/>
    </row>
    <row r="1542">
      <c r="B1542" s="26"/>
      <c r="C1542" s="26"/>
      <c r="D1542" s="26"/>
      <c r="J1542" s="26"/>
      <c r="K1542" s="26"/>
    </row>
    <row r="1543">
      <c r="B1543" s="26"/>
      <c r="C1543" s="26"/>
      <c r="D1543" s="26"/>
      <c r="J1543" s="26"/>
      <c r="K1543" s="26"/>
    </row>
    <row r="1544">
      <c r="B1544" s="26"/>
      <c r="C1544" s="26"/>
      <c r="D1544" s="26"/>
      <c r="J1544" s="26"/>
      <c r="K1544" s="26"/>
    </row>
    <row r="1545">
      <c r="B1545" s="26"/>
      <c r="C1545" s="26"/>
      <c r="D1545" s="26"/>
      <c r="J1545" s="26"/>
      <c r="K1545" s="26"/>
    </row>
    <row r="1546">
      <c r="B1546" s="26"/>
      <c r="C1546" s="26"/>
      <c r="D1546" s="26"/>
      <c r="J1546" s="26"/>
      <c r="K1546" s="26"/>
    </row>
    <row r="1547">
      <c r="B1547" s="26"/>
      <c r="C1547" s="26"/>
      <c r="D1547" s="26"/>
      <c r="J1547" s="26"/>
      <c r="K1547" s="26"/>
    </row>
    <row r="1548">
      <c r="B1548" s="26"/>
      <c r="C1548" s="26"/>
      <c r="D1548" s="26"/>
      <c r="J1548" s="26"/>
      <c r="K1548" s="26"/>
    </row>
    <row r="1549">
      <c r="B1549" s="26"/>
      <c r="C1549" s="26"/>
      <c r="D1549" s="26"/>
      <c r="J1549" s="26"/>
      <c r="K1549" s="26"/>
    </row>
    <row r="1550">
      <c r="B1550" s="26"/>
      <c r="C1550" s="26"/>
      <c r="D1550" s="26"/>
      <c r="J1550" s="26"/>
      <c r="K1550" s="26"/>
    </row>
    <row r="1551">
      <c r="B1551" s="26"/>
      <c r="C1551" s="26"/>
      <c r="D1551" s="26"/>
      <c r="J1551" s="26"/>
      <c r="K1551" s="26"/>
    </row>
    <row r="1552">
      <c r="B1552" s="26"/>
      <c r="C1552" s="26"/>
      <c r="D1552" s="26"/>
      <c r="J1552" s="26"/>
      <c r="K1552" s="26"/>
    </row>
    <row r="1553">
      <c r="B1553" s="26"/>
      <c r="C1553" s="26"/>
      <c r="D1553" s="26"/>
      <c r="J1553" s="26"/>
      <c r="K1553" s="26"/>
    </row>
    <row r="1554">
      <c r="B1554" s="26"/>
      <c r="C1554" s="26"/>
      <c r="D1554" s="26"/>
      <c r="J1554" s="26"/>
      <c r="K1554" s="26"/>
    </row>
    <row r="1555">
      <c r="B1555" s="26"/>
      <c r="C1555" s="26"/>
      <c r="D1555" s="26"/>
      <c r="J1555" s="26"/>
      <c r="K1555" s="26"/>
    </row>
    <row r="1556">
      <c r="B1556" s="26"/>
      <c r="C1556" s="26"/>
      <c r="D1556" s="26"/>
      <c r="J1556" s="26"/>
      <c r="K1556" s="26"/>
    </row>
    <row r="1557">
      <c r="B1557" s="26"/>
      <c r="C1557" s="26"/>
      <c r="D1557" s="26"/>
      <c r="J1557" s="26"/>
      <c r="K1557" s="26"/>
    </row>
    <row r="1558">
      <c r="B1558" s="26"/>
      <c r="C1558" s="26"/>
      <c r="D1558" s="26"/>
      <c r="J1558" s="26"/>
      <c r="K1558" s="26"/>
    </row>
    <row r="1559">
      <c r="B1559" s="26"/>
      <c r="C1559" s="26"/>
      <c r="D1559" s="26"/>
      <c r="J1559" s="26"/>
      <c r="K1559" s="26"/>
    </row>
    <row r="1560">
      <c r="B1560" s="26"/>
      <c r="C1560" s="26"/>
      <c r="D1560" s="26"/>
      <c r="J1560" s="26"/>
      <c r="K1560" s="26"/>
    </row>
    <row r="1561">
      <c r="B1561" s="26"/>
      <c r="C1561" s="26"/>
      <c r="D1561" s="26"/>
      <c r="J1561" s="26"/>
      <c r="K1561" s="26"/>
    </row>
    <row r="1562">
      <c r="B1562" s="26"/>
      <c r="C1562" s="26"/>
      <c r="D1562" s="26"/>
      <c r="J1562" s="26"/>
      <c r="K1562" s="26"/>
    </row>
    <row r="1563">
      <c r="B1563" s="26"/>
      <c r="C1563" s="26"/>
      <c r="D1563" s="26"/>
      <c r="J1563" s="26"/>
      <c r="K1563" s="26"/>
    </row>
    <row r="1564">
      <c r="B1564" s="26"/>
      <c r="C1564" s="26"/>
      <c r="D1564" s="26"/>
      <c r="J1564" s="26"/>
      <c r="K1564" s="26"/>
    </row>
    <row r="1565">
      <c r="B1565" s="26"/>
      <c r="C1565" s="26"/>
      <c r="D1565" s="26"/>
      <c r="J1565" s="26"/>
      <c r="K1565" s="26"/>
    </row>
    <row r="1566">
      <c r="B1566" s="26"/>
      <c r="C1566" s="26"/>
      <c r="D1566" s="26"/>
      <c r="J1566" s="26"/>
      <c r="K1566" s="26"/>
    </row>
    <row r="1567">
      <c r="B1567" s="26"/>
      <c r="C1567" s="26"/>
      <c r="D1567" s="26"/>
      <c r="J1567" s="26"/>
      <c r="K1567" s="26"/>
    </row>
    <row r="1568">
      <c r="B1568" s="26"/>
      <c r="C1568" s="26"/>
      <c r="D1568" s="26"/>
      <c r="J1568" s="26"/>
      <c r="K1568" s="26"/>
    </row>
    <row r="1569">
      <c r="B1569" s="26"/>
      <c r="C1569" s="26"/>
      <c r="D1569" s="26"/>
      <c r="J1569" s="26"/>
      <c r="K1569" s="26"/>
    </row>
    <row r="1570">
      <c r="B1570" s="26"/>
      <c r="C1570" s="26"/>
      <c r="D1570" s="26"/>
      <c r="J1570" s="26"/>
      <c r="K1570" s="26"/>
    </row>
    <row r="1571">
      <c r="B1571" s="26"/>
      <c r="C1571" s="26"/>
      <c r="D1571" s="26"/>
      <c r="J1571" s="26"/>
      <c r="K1571" s="26"/>
    </row>
    <row r="1572">
      <c r="B1572" s="26"/>
      <c r="C1572" s="26"/>
      <c r="D1572" s="26"/>
      <c r="J1572" s="26"/>
      <c r="K1572" s="26"/>
    </row>
    <row r="1573">
      <c r="B1573" s="26"/>
      <c r="C1573" s="26"/>
      <c r="D1573" s="26"/>
      <c r="J1573" s="26"/>
      <c r="K1573" s="26"/>
    </row>
    <row r="1574">
      <c r="B1574" s="26"/>
      <c r="C1574" s="26"/>
      <c r="D1574" s="26"/>
      <c r="J1574" s="26"/>
      <c r="K1574" s="26"/>
    </row>
    <row r="1575">
      <c r="B1575" s="26"/>
      <c r="C1575" s="26"/>
      <c r="D1575" s="26"/>
      <c r="J1575" s="26"/>
      <c r="K1575" s="26"/>
    </row>
    <row r="1576">
      <c r="B1576" s="26"/>
      <c r="C1576" s="26"/>
      <c r="D1576" s="26"/>
      <c r="J1576" s="26"/>
      <c r="K1576" s="26"/>
    </row>
    <row r="1577">
      <c r="B1577" s="26"/>
      <c r="C1577" s="26"/>
      <c r="D1577" s="26"/>
      <c r="J1577" s="26"/>
      <c r="K1577" s="26"/>
    </row>
    <row r="1578">
      <c r="B1578" s="26"/>
      <c r="C1578" s="26"/>
      <c r="D1578" s="26"/>
      <c r="J1578" s="26"/>
      <c r="K1578" s="26"/>
    </row>
    <row r="1579">
      <c r="B1579" s="26"/>
      <c r="C1579" s="26"/>
      <c r="D1579" s="26"/>
      <c r="J1579" s="26"/>
      <c r="K1579" s="26"/>
    </row>
    <row r="1580">
      <c r="B1580" s="26"/>
      <c r="C1580" s="26"/>
      <c r="D1580" s="26"/>
      <c r="J1580" s="26"/>
      <c r="K1580" s="26"/>
    </row>
    <row r="1581">
      <c r="B1581" s="26"/>
      <c r="C1581" s="26"/>
      <c r="D1581" s="26"/>
      <c r="J1581" s="26"/>
      <c r="K1581" s="26"/>
    </row>
    <row r="1582">
      <c r="B1582" s="26"/>
      <c r="C1582" s="26"/>
      <c r="D1582" s="26"/>
      <c r="J1582" s="26"/>
      <c r="K1582" s="26"/>
    </row>
    <row r="1583">
      <c r="B1583" s="26"/>
      <c r="C1583" s="26"/>
      <c r="D1583" s="26"/>
      <c r="J1583" s="26"/>
      <c r="K1583" s="26"/>
    </row>
    <row r="1584">
      <c r="B1584" s="26"/>
      <c r="C1584" s="26"/>
      <c r="D1584" s="26"/>
      <c r="J1584" s="26"/>
      <c r="K1584" s="26"/>
    </row>
    <row r="1585">
      <c r="B1585" s="26"/>
      <c r="C1585" s="26"/>
      <c r="D1585" s="26"/>
      <c r="J1585" s="26"/>
      <c r="K1585" s="26"/>
    </row>
    <row r="1586">
      <c r="B1586" s="26"/>
      <c r="C1586" s="26"/>
      <c r="D1586" s="26"/>
      <c r="J1586" s="26"/>
      <c r="K1586" s="26"/>
    </row>
    <row r="1587">
      <c r="B1587" s="26"/>
      <c r="C1587" s="26"/>
      <c r="D1587" s="26"/>
      <c r="J1587" s="26"/>
      <c r="K1587" s="26"/>
    </row>
    <row r="1588">
      <c r="B1588" s="26"/>
      <c r="C1588" s="26"/>
      <c r="D1588" s="26"/>
      <c r="J1588" s="26"/>
      <c r="K1588" s="26"/>
    </row>
    <row r="1589">
      <c r="B1589" s="26"/>
      <c r="C1589" s="26"/>
      <c r="D1589" s="26"/>
      <c r="J1589" s="26"/>
      <c r="K1589" s="26"/>
    </row>
    <row r="1590">
      <c r="B1590" s="26"/>
      <c r="C1590" s="26"/>
      <c r="D1590" s="26"/>
      <c r="J1590" s="26"/>
      <c r="K1590" s="26"/>
    </row>
    <row r="1591">
      <c r="B1591" s="26"/>
      <c r="C1591" s="26"/>
      <c r="D1591" s="26"/>
      <c r="J1591" s="26"/>
      <c r="K1591" s="26"/>
    </row>
    <row r="1592">
      <c r="B1592" s="26"/>
      <c r="C1592" s="26"/>
      <c r="D1592" s="26"/>
      <c r="J1592" s="26"/>
      <c r="K1592" s="26"/>
    </row>
    <row r="1593">
      <c r="B1593" s="26"/>
      <c r="C1593" s="26"/>
      <c r="D1593" s="26"/>
      <c r="J1593" s="26"/>
      <c r="K1593" s="26"/>
    </row>
    <row r="1594">
      <c r="B1594" s="26"/>
      <c r="C1594" s="26"/>
      <c r="D1594" s="26"/>
      <c r="J1594" s="26"/>
      <c r="K1594" s="26"/>
    </row>
    <row r="1595">
      <c r="B1595" s="26"/>
      <c r="C1595" s="26"/>
      <c r="D1595" s="26"/>
      <c r="J1595" s="26"/>
      <c r="K1595" s="26"/>
    </row>
    <row r="1596">
      <c r="B1596" s="26"/>
      <c r="C1596" s="26"/>
      <c r="D1596" s="26"/>
      <c r="J1596" s="26"/>
      <c r="K1596" s="26"/>
    </row>
    <row r="1597">
      <c r="B1597" s="26"/>
      <c r="C1597" s="26"/>
      <c r="D1597" s="26"/>
      <c r="J1597" s="26"/>
      <c r="K1597" s="26"/>
    </row>
    <row r="1598">
      <c r="B1598" s="26"/>
      <c r="C1598" s="26"/>
      <c r="D1598" s="26"/>
      <c r="J1598" s="26"/>
      <c r="K1598" s="26"/>
    </row>
    <row r="1599">
      <c r="B1599" s="26"/>
      <c r="C1599" s="26"/>
      <c r="D1599" s="26"/>
      <c r="J1599" s="26"/>
      <c r="K1599" s="26"/>
    </row>
    <row r="1600">
      <c r="B1600" s="26"/>
      <c r="C1600" s="26"/>
      <c r="D1600" s="26"/>
      <c r="J1600" s="26"/>
      <c r="K1600" s="26"/>
    </row>
    <row r="1601">
      <c r="B1601" s="26"/>
      <c r="C1601" s="26"/>
      <c r="D1601" s="26"/>
      <c r="J1601" s="26"/>
      <c r="K1601" s="26"/>
    </row>
    <row r="1602">
      <c r="B1602" s="26"/>
      <c r="C1602" s="26"/>
      <c r="D1602" s="26"/>
      <c r="J1602" s="26"/>
      <c r="K1602" s="26"/>
    </row>
    <row r="1603">
      <c r="B1603" s="26"/>
      <c r="C1603" s="26"/>
      <c r="D1603" s="26"/>
      <c r="J1603" s="26"/>
      <c r="K1603" s="26"/>
    </row>
    <row r="1604">
      <c r="B1604" s="26"/>
      <c r="C1604" s="26"/>
      <c r="D1604" s="26"/>
      <c r="J1604" s="26"/>
      <c r="K1604" s="26"/>
    </row>
    <row r="1605">
      <c r="B1605" s="26"/>
      <c r="C1605" s="26"/>
      <c r="D1605" s="26"/>
      <c r="J1605" s="26"/>
      <c r="K1605" s="26"/>
    </row>
    <row r="1606">
      <c r="B1606" s="26"/>
      <c r="C1606" s="26"/>
      <c r="D1606" s="26"/>
      <c r="J1606" s="26"/>
      <c r="K1606" s="26"/>
    </row>
    <row r="1607">
      <c r="B1607" s="26"/>
      <c r="C1607" s="26"/>
      <c r="D1607" s="26"/>
      <c r="J1607" s="26"/>
      <c r="K1607" s="26"/>
    </row>
    <row r="1608">
      <c r="B1608" s="26"/>
      <c r="C1608" s="26"/>
      <c r="D1608" s="26"/>
      <c r="J1608" s="26"/>
      <c r="K1608" s="26"/>
    </row>
    <row r="1609">
      <c r="B1609" s="26"/>
      <c r="C1609" s="26"/>
      <c r="D1609" s="26"/>
      <c r="J1609" s="26"/>
      <c r="K1609" s="26"/>
    </row>
    <row r="1610">
      <c r="B1610" s="26"/>
      <c r="C1610" s="26"/>
      <c r="D1610" s="26"/>
      <c r="J1610" s="26"/>
      <c r="K1610" s="26"/>
    </row>
    <row r="1611">
      <c r="B1611" s="26"/>
      <c r="C1611" s="26"/>
      <c r="D1611" s="26"/>
      <c r="J1611" s="26"/>
      <c r="K1611" s="26"/>
    </row>
    <row r="1612">
      <c r="B1612" s="26"/>
      <c r="C1612" s="26"/>
      <c r="D1612" s="26"/>
      <c r="J1612" s="26"/>
      <c r="K1612" s="26"/>
    </row>
    <row r="1613">
      <c r="B1613" s="26"/>
      <c r="C1613" s="26"/>
      <c r="D1613" s="26"/>
      <c r="J1613" s="26"/>
      <c r="K1613" s="26"/>
    </row>
    <row r="1614">
      <c r="B1614" s="26"/>
      <c r="C1614" s="26"/>
      <c r="D1614" s="26"/>
      <c r="J1614" s="26"/>
      <c r="K1614" s="26"/>
    </row>
    <row r="1615">
      <c r="B1615" s="26"/>
      <c r="C1615" s="26"/>
      <c r="D1615" s="26"/>
      <c r="J1615" s="26"/>
      <c r="K1615" s="26"/>
    </row>
    <row r="1616">
      <c r="B1616" s="26"/>
      <c r="C1616" s="26"/>
      <c r="D1616" s="26"/>
      <c r="J1616" s="26"/>
      <c r="K1616" s="26"/>
    </row>
    <row r="1617">
      <c r="B1617" s="26"/>
      <c r="C1617" s="26"/>
      <c r="D1617" s="26"/>
      <c r="J1617" s="26"/>
      <c r="K1617" s="26"/>
    </row>
    <row r="1618">
      <c r="B1618" s="26"/>
      <c r="C1618" s="26"/>
      <c r="D1618" s="26"/>
      <c r="J1618" s="26"/>
      <c r="K1618" s="26"/>
    </row>
    <row r="1619">
      <c r="B1619" s="26"/>
      <c r="C1619" s="26"/>
      <c r="D1619" s="26"/>
      <c r="J1619" s="26"/>
      <c r="K1619" s="26"/>
    </row>
    <row r="1620">
      <c r="B1620" s="26"/>
      <c r="C1620" s="26"/>
      <c r="D1620" s="26"/>
      <c r="J1620" s="26"/>
      <c r="K1620" s="26"/>
    </row>
    <row r="1621">
      <c r="B1621" s="26"/>
      <c r="C1621" s="26"/>
      <c r="D1621" s="26"/>
      <c r="J1621" s="26"/>
      <c r="K1621" s="26"/>
    </row>
    <row r="1622">
      <c r="B1622" s="26"/>
      <c r="C1622" s="26"/>
      <c r="D1622" s="26"/>
      <c r="J1622" s="26"/>
      <c r="K1622" s="26"/>
    </row>
    <row r="1623">
      <c r="B1623" s="26"/>
      <c r="C1623" s="26"/>
      <c r="D1623" s="26"/>
      <c r="J1623" s="26"/>
      <c r="K1623" s="26"/>
    </row>
    <row r="1624">
      <c r="B1624" s="26"/>
      <c r="C1624" s="26"/>
      <c r="D1624" s="26"/>
      <c r="J1624" s="26"/>
      <c r="K1624" s="26"/>
    </row>
    <row r="1625">
      <c r="B1625" s="26"/>
      <c r="C1625" s="26"/>
      <c r="D1625" s="26"/>
      <c r="J1625" s="26"/>
      <c r="K1625" s="26"/>
    </row>
    <row r="1626">
      <c r="B1626" s="26"/>
      <c r="C1626" s="26"/>
      <c r="D1626" s="26"/>
      <c r="J1626" s="26"/>
      <c r="K1626" s="26"/>
    </row>
    <row r="1627">
      <c r="B1627" s="26"/>
      <c r="C1627" s="26"/>
      <c r="D1627" s="26"/>
      <c r="J1627" s="26"/>
      <c r="K1627" s="26"/>
    </row>
    <row r="1628">
      <c r="B1628" s="26"/>
      <c r="C1628" s="26"/>
      <c r="D1628" s="26"/>
      <c r="J1628" s="26"/>
      <c r="K1628" s="26"/>
    </row>
    <row r="1629">
      <c r="B1629" s="26"/>
      <c r="C1629" s="26"/>
      <c r="D1629" s="26"/>
      <c r="J1629" s="26"/>
      <c r="K1629" s="26"/>
    </row>
    <row r="1630">
      <c r="B1630" s="26"/>
      <c r="C1630" s="26"/>
      <c r="D1630" s="26"/>
      <c r="J1630" s="26"/>
      <c r="K1630" s="26"/>
    </row>
    <row r="1631">
      <c r="B1631" s="26"/>
      <c r="C1631" s="26"/>
      <c r="D1631" s="26"/>
      <c r="J1631" s="26"/>
      <c r="K1631" s="26"/>
    </row>
    <row r="1632">
      <c r="B1632" s="26"/>
      <c r="C1632" s="26"/>
      <c r="D1632" s="26"/>
      <c r="J1632" s="26"/>
      <c r="K1632" s="26"/>
    </row>
    <row r="1633">
      <c r="B1633" s="26"/>
      <c r="C1633" s="26"/>
      <c r="D1633" s="26"/>
      <c r="J1633" s="26"/>
      <c r="K1633" s="26"/>
    </row>
    <row r="1634">
      <c r="B1634" s="26"/>
      <c r="C1634" s="26"/>
      <c r="D1634" s="26"/>
      <c r="J1634" s="26"/>
      <c r="K1634" s="26"/>
    </row>
    <row r="1635">
      <c r="B1635" s="26"/>
      <c r="C1635" s="26"/>
      <c r="D1635" s="26"/>
      <c r="J1635" s="26"/>
      <c r="K1635" s="26"/>
    </row>
    <row r="1636">
      <c r="B1636" s="26"/>
      <c r="C1636" s="26"/>
      <c r="D1636" s="26"/>
      <c r="J1636" s="26"/>
      <c r="K1636" s="26"/>
    </row>
    <row r="1637">
      <c r="B1637" s="26"/>
      <c r="C1637" s="26"/>
      <c r="D1637" s="26"/>
      <c r="J1637" s="26"/>
      <c r="K1637" s="26"/>
    </row>
    <row r="1638">
      <c r="B1638" s="26"/>
      <c r="C1638" s="26"/>
      <c r="D1638" s="26"/>
      <c r="J1638" s="26"/>
      <c r="K1638" s="26"/>
    </row>
    <row r="1639">
      <c r="B1639" s="26"/>
      <c r="C1639" s="26"/>
      <c r="D1639" s="26"/>
      <c r="J1639" s="26"/>
      <c r="K1639" s="26"/>
    </row>
    <row r="1640">
      <c r="B1640" s="26"/>
      <c r="C1640" s="26"/>
      <c r="D1640" s="26"/>
      <c r="J1640" s="26"/>
      <c r="K1640" s="26"/>
    </row>
    <row r="1641">
      <c r="B1641" s="26"/>
      <c r="C1641" s="26"/>
      <c r="D1641" s="26"/>
      <c r="J1641" s="26"/>
      <c r="K1641" s="26"/>
    </row>
    <row r="1642">
      <c r="B1642" s="26"/>
      <c r="C1642" s="26"/>
      <c r="D1642" s="26"/>
      <c r="J1642" s="26"/>
      <c r="K1642" s="26"/>
    </row>
    <row r="1643">
      <c r="B1643" s="26"/>
      <c r="C1643" s="26"/>
      <c r="D1643" s="26"/>
      <c r="J1643" s="26"/>
      <c r="K1643" s="26"/>
    </row>
    <row r="1644">
      <c r="B1644" s="26"/>
      <c r="C1644" s="26"/>
      <c r="D1644" s="26"/>
      <c r="J1644" s="26"/>
      <c r="K1644" s="26"/>
    </row>
    <row r="1645">
      <c r="B1645" s="26"/>
      <c r="C1645" s="26"/>
      <c r="D1645" s="26"/>
      <c r="J1645" s="26"/>
      <c r="K1645" s="26"/>
    </row>
    <row r="1646">
      <c r="B1646" s="26"/>
      <c r="C1646" s="26"/>
      <c r="D1646" s="26"/>
      <c r="J1646" s="26"/>
      <c r="K1646" s="26"/>
    </row>
    <row r="1647">
      <c r="B1647" s="26"/>
      <c r="C1647" s="26"/>
      <c r="D1647" s="26"/>
      <c r="J1647" s="26"/>
      <c r="K1647" s="26"/>
    </row>
    <row r="1648">
      <c r="B1648" s="26"/>
      <c r="C1648" s="26"/>
      <c r="D1648" s="26"/>
      <c r="J1648" s="26"/>
      <c r="K1648" s="26"/>
    </row>
    <row r="1649">
      <c r="B1649" s="26"/>
      <c r="C1649" s="26"/>
      <c r="D1649" s="26"/>
      <c r="J1649" s="26"/>
      <c r="K1649" s="26"/>
    </row>
    <row r="1650">
      <c r="B1650" s="26"/>
      <c r="C1650" s="26"/>
      <c r="D1650" s="26"/>
      <c r="J1650" s="26"/>
      <c r="K1650" s="26"/>
    </row>
    <row r="1651">
      <c r="B1651" s="26"/>
      <c r="C1651" s="26"/>
      <c r="D1651" s="26"/>
      <c r="J1651" s="26"/>
      <c r="K1651" s="26"/>
    </row>
    <row r="1652">
      <c r="B1652" s="26"/>
      <c r="C1652" s="26"/>
      <c r="D1652" s="26"/>
      <c r="J1652" s="26"/>
      <c r="K1652" s="26"/>
    </row>
    <row r="1653">
      <c r="B1653" s="26"/>
      <c r="C1653" s="26"/>
      <c r="D1653" s="26"/>
      <c r="J1653" s="26"/>
      <c r="K1653" s="26"/>
    </row>
    <row r="1654">
      <c r="B1654" s="26"/>
      <c r="C1654" s="26"/>
      <c r="D1654" s="26"/>
      <c r="J1654" s="26"/>
      <c r="K1654" s="26"/>
    </row>
    <row r="1655">
      <c r="B1655" s="26"/>
      <c r="C1655" s="26"/>
      <c r="D1655" s="26"/>
      <c r="J1655" s="26"/>
      <c r="K1655" s="26"/>
    </row>
    <row r="1656">
      <c r="B1656" s="26"/>
      <c r="C1656" s="26"/>
      <c r="D1656" s="26"/>
      <c r="J1656" s="26"/>
      <c r="K1656" s="26"/>
    </row>
    <row r="1657">
      <c r="B1657" s="26"/>
      <c r="C1657" s="26"/>
      <c r="D1657" s="26"/>
      <c r="J1657" s="26"/>
      <c r="K1657" s="26"/>
    </row>
    <row r="1658">
      <c r="B1658" s="26"/>
      <c r="C1658" s="26"/>
      <c r="D1658" s="26"/>
      <c r="J1658" s="26"/>
      <c r="K1658" s="26"/>
    </row>
    <row r="1659">
      <c r="B1659" s="26"/>
      <c r="C1659" s="26"/>
      <c r="D1659" s="26"/>
      <c r="J1659" s="26"/>
      <c r="K1659" s="26"/>
    </row>
    <row r="1660">
      <c r="B1660" s="26"/>
      <c r="C1660" s="26"/>
      <c r="D1660" s="26"/>
      <c r="J1660" s="26"/>
      <c r="K1660" s="26"/>
    </row>
    <row r="1661">
      <c r="B1661" s="26"/>
      <c r="C1661" s="26"/>
      <c r="D1661" s="26"/>
      <c r="J1661" s="26"/>
      <c r="K1661" s="26"/>
    </row>
    <row r="1662">
      <c r="B1662" s="26"/>
      <c r="C1662" s="26"/>
      <c r="D1662" s="26"/>
      <c r="J1662" s="26"/>
      <c r="K1662" s="26"/>
    </row>
    <row r="1663">
      <c r="B1663" s="26"/>
      <c r="C1663" s="26"/>
      <c r="D1663" s="26"/>
      <c r="J1663" s="26"/>
      <c r="K1663" s="26"/>
    </row>
    <row r="1664">
      <c r="B1664" s="26"/>
      <c r="C1664" s="26"/>
      <c r="D1664" s="26"/>
      <c r="J1664" s="26"/>
      <c r="K1664" s="26"/>
    </row>
    <row r="1665">
      <c r="B1665" s="26"/>
      <c r="C1665" s="26"/>
      <c r="D1665" s="26"/>
      <c r="J1665" s="26"/>
      <c r="K1665" s="26"/>
    </row>
    <row r="1666">
      <c r="B1666" s="26"/>
      <c r="C1666" s="26"/>
      <c r="D1666" s="26"/>
      <c r="J1666" s="26"/>
      <c r="K1666" s="26"/>
    </row>
    <row r="1667">
      <c r="B1667" s="26"/>
      <c r="C1667" s="26"/>
      <c r="D1667" s="26"/>
      <c r="J1667" s="26"/>
      <c r="K1667" s="26"/>
    </row>
    <row r="1668">
      <c r="B1668" s="26"/>
      <c r="C1668" s="26"/>
      <c r="D1668" s="26"/>
      <c r="J1668" s="26"/>
      <c r="K1668" s="26"/>
    </row>
    <row r="1669">
      <c r="B1669" s="26"/>
      <c r="C1669" s="26"/>
      <c r="D1669" s="26"/>
      <c r="J1669" s="26"/>
      <c r="K1669" s="26"/>
    </row>
    <row r="1670">
      <c r="B1670" s="26"/>
      <c r="C1670" s="26"/>
      <c r="D1670" s="26"/>
      <c r="J1670" s="26"/>
      <c r="K1670" s="26"/>
    </row>
    <row r="1671">
      <c r="B1671" s="26"/>
      <c r="C1671" s="26"/>
      <c r="D1671" s="26"/>
      <c r="J1671" s="26"/>
      <c r="K1671" s="26"/>
    </row>
    <row r="1672">
      <c r="B1672" s="26"/>
      <c r="C1672" s="26"/>
      <c r="D1672" s="26"/>
      <c r="J1672" s="26"/>
      <c r="K1672" s="26"/>
    </row>
    <row r="1673">
      <c r="B1673" s="26"/>
      <c r="C1673" s="26"/>
      <c r="D1673" s="26"/>
      <c r="J1673" s="26"/>
      <c r="K1673" s="26"/>
    </row>
    <row r="1674">
      <c r="B1674" s="26"/>
      <c r="C1674" s="26"/>
      <c r="D1674" s="26"/>
      <c r="J1674" s="26"/>
      <c r="K1674" s="26"/>
    </row>
    <row r="1675">
      <c r="B1675" s="26"/>
      <c r="C1675" s="26"/>
      <c r="D1675" s="26"/>
      <c r="J1675" s="26"/>
      <c r="K1675" s="26"/>
    </row>
    <row r="1676">
      <c r="B1676" s="26"/>
      <c r="C1676" s="26"/>
      <c r="D1676" s="26"/>
      <c r="J1676" s="26"/>
      <c r="K1676" s="26"/>
    </row>
    <row r="1677">
      <c r="B1677" s="26"/>
      <c r="C1677" s="26"/>
      <c r="D1677" s="26"/>
      <c r="J1677" s="26"/>
      <c r="K1677" s="26"/>
    </row>
    <row r="1678">
      <c r="B1678" s="26"/>
      <c r="C1678" s="26"/>
      <c r="D1678" s="26"/>
      <c r="J1678" s="26"/>
      <c r="K1678" s="26"/>
    </row>
    <row r="1679">
      <c r="B1679" s="26"/>
      <c r="C1679" s="26"/>
      <c r="D1679" s="26"/>
      <c r="J1679" s="26"/>
      <c r="K1679" s="26"/>
    </row>
    <row r="1680">
      <c r="B1680" s="26"/>
      <c r="C1680" s="26"/>
      <c r="D1680" s="26"/>
      <c r="J1680" s="26"/>
      <c r="K1680" s="26"/>
    </row>
    <row r="1681">
      <c r="B1681" s="26"/>
      <c r="C1681" s="26"/>
      <c r="D1681" s="26"/>
      <c r="J1681" s="26"/>
      <c r="K1681" s="26"/>
    </row>
    <row r="1682">
      <c r="B1682" s="26"/>
      <c r="C1682" s="26"/>
      <c r="D1682" s="26"/>
      <c r="J1682" s="26"/>
      <c r="K1682" s="26"/>
    </row>
    <row r="1683">
      <c r="B1683" s="26"/>
      <c r="C1683" s="26"/>
      <c r="D1683" s="26"/>
      <c r="J1683" s="26"/>
      <c r="K1683" s="26"/>
    </row>
    <row r="1684">
      <c r="B1684" s="26"/>
      <c r="C1684" s="26"/>
      <c r="D1684" s="26"/>
      <c r="J1684" s="26"/>
      <c r="K1684" s="26"/>
    </row>
    <row r="1685">
      <c r="B1685" s="26"/>
      <c r="C1685" s="26"/>
      <c r="D1685" s="26"/>
      <c r="J1685" s="26"/>
      <c r="K1685" s="26"/>
    </row>
    <row r="1686">
      <c r="B1686" s="26"/>
      <c r="C1686" s="26"/>
      <c r="D1686" s="26"/>
      <c r="J1686" s="26"/>
      <c r="K1686" s="26"/>
    </row>
    <row r="1687">
      <c r="B1687" s="26"/>
      <c r="C1687" s="26"/>
      <c r="D1687" s="26"/>
      <c r="J1687" s="26"/>
      <c r="K1687" s="26"/>
    </row>
    <row r="1688">
      <c r="B1688" s="26"/>
      <c r="C1688" s="26"/>
      <c r="D1688" s="26"/>
      <c r="J1688" s="26"/>
      <c r="K1688" s="26"/>
    </row>
    <row r="1689">
      <c r="B1689" s="26"/>
      <c r="C1689" s="26"/>
      <c r="D1689" s="26"/>
      <c r="J1689" s="26"/>
      <c r="K1689" s="26"/>
    </row>
    <row r="1690">
      <c r="B1690" s="26"/>
      <c r="C1690" s="26"/>
      <c r="D1690" s="26"/>
      <c r="J1690" s="26"/>
      <c r="K1690" s="26"/>
    </row>
    <row r="1691">
      <c r="B1691" s="26"/>
      <c r="C1691" s="26"/>
      <c r="D1691" s="26"/>
      <c r="J1691" s="26"/>
      <c r="K1691" s="26"/>
    </row>
    <row r="1692">
      <c r="B1692" s="26"/>
      <c r="C1692" s="26"/>
      <c r="D1692" s="26"/>
      <c r="J1692" s="26"/>
      <c r="K1692" s="26"/>
    </row>
    <row r="1693">
      <c r="B1693" s="26"/>
      <c r="C1693" s="26"/>
      <c r="D1693" s="26"/>
      <c r="J1693" s="26"/>
      <c r="K1693" s="26"/>
    </row>
    <row r="1694">
      <c r="B1694" s="26"/>
      <c r="C1694" s="26"/>
      <c r="D1694" s="26"/>
      <c r="J1694" s="26"/>
      <c r="K1694" s="26"/>
    </row>
    <row r="1695">
      <c r="B1695" s="26"/>
      <c r="C1695" s="26"/>
      <c r="D1695" s="26"/>
      <c r="J1695" s="26"/>
      <c r="K1695" s="26"/>
    </row>
    <row r="1696">
      <c r="B1696" s="26"/>
      <c r="C1696" s="26"/>
      <c r="D1696" s="26"/>
      <c r="J1696" s="26"/>
      <c r="K1696" s="26"/>
    </row>
    <row r="1697">
      <c r="B1697" s="26"/>
      <c r="C1697" s="26"/>
      <c r="D1697" s="26"/>
      <c r="J1697" s="26"/>
      <c r="K1697" s="26"/>
    </row>
    <row r="1698">
      <c r="B1698" s="26"/>
      <c r="C1698" s="26"/>
      <c r="D1698" s="26"/>
      <c r="J1698" s="26"/>
      <c r="K1698" s="26"/>
    </row>
    <row r="1699">
      <c r="B1699" s="26"/>
      <c r="C1699" s="26"/>
      <c r="D1699" s="26"/>
      <c r="J1699" s="26"/>
      <c r="K1699" s="26"/>
    </row>
    <row r="1700">
      <c r="B1700" s="26"/>
      <c r="C1700" s="26"/>
      <c r="D1700" s="26"/>
      <c r="J1700" s="26"/>
      <c r="K1700" s="26"/>
    </row>
    <row r="1701">
      <c r="B1701" s="26"/>
      <c r="C1701" s="26"/>
      <c r="D1701" s="26"/>
      <c r="J1701" s="26"/>
      <c r="K1701" s="26"/>
    </row>
    <row r="1702">
      <c r="B1702" s="26"/>
      <c r="C1702" s="26"/>
      <c r="D1702" s="26"/>
      <c r="J1702" s="26"/>
      <c r="K1702" s="26"/>
    </row>
    <row r="1703">
      <c r="B1703" s="26"/>
      <c r="C1703" s="26"/>
      <c r="D1703" s="26"/>
      <c r="J1703" s="26"/>
      <c r="K1703" s="26"/>
    </row>
    <row r="1704">
      <c r="B1704" s="26"/>
      <c r="C1704" s="26"/>
      <c r="D1704" s="26"/>
      <c r="J1704" s="26"/>
      <c r="K1704" s="26"/>
    </row>
    <row r="1705">
      <c r="B1705" s="26"/>
      <c r="C1705" s="26"/>
      <c r="D1705" s="26"/>
      <c r="J1705" s="26"/>
      <c r="K1705" s="26"/>
    </row>
    <row r="1706">
      <c r="B1706" s="26"/>
      <c r="C1706" s="26"/>
      <c r="D1706" s="26"/>
      <c r="J1706" s="26"/>
      <c r="K1706" s="26"/>
    </row>
    <row r="1707">
      <c r="B1707" s="26"/>
      <c r="C1707" s="26"/>
      <c r="D1707" s="26"/>
      <c r="J1707" s="26"/>
      <c r="K1707" s="26"/>
    </row>
    <row r="1708">
      <c r="B1708" s="26"/>
      <c r="C1708" s="26"/>
      <c r="D1708" s="26"/>
      <c r="J1708" s="26"/>
      <c r="K1708" s="26"/>
    </row>
    <row r="1709">
      <c r="B1709" s="26"/>
      <c r="C1709" s="26"/>
      <c r="D1709" s="26"/>
      <c r="J1709" s="26"/>
      <c r="K1709" s="26"/>
    </row>
    <row r="1710">
      <c r="B1710" s="26"/>
      <c r="C1710" s="26"/>
      <c r="D1710" s="26"/>
      <c r="J1710" s="26"/>
      <c r="K1710" s="26"/>
    </row>
    <row r="1711">
      <c r="B1711" s="26"/>
      <c r="C1711" s="26"/>
      <c r="D1711" s="26"/>
      <c r="J1711" s="26"/>
      <c r="K1711" s="26"/>
    </row>
    <row r="1712">
      <c r="B1712" s="26"/>
      <c r="C1712" s="26"/>
      <c r="D1712" s="26"/>
      <c r="J1712" s="26"/>
      <c r="K1712" s="26"/>
    </row>
    <row r="1713">
      <c r="B1713" s="26"/>
      <c r="C1713" s="26"/>
      <c r="D1713" s="26"/>
      <c r="J1713" s="26"/>
      <c r="K1713" s="26"/>
    </row>
    <row r="1714">
      <c r="B1714" s="26"/>
      <c r="C1714" s="26"/>
      <c r="D1714" s="26"/>
      <c r="J1714" s="26"/>
      <c r="K1714" s="26"/>
    </row>
    <row r="1715">
      <c r="B1715" s="26"/>
      <c r="C1715" s="26"/>
      <c r="D1715" s="26"/>
      <c r="J1715" s="26"/>
      <c r="K1715" s="26"/>
    </row>
    <row r="1716">
      <c r="B1716" s="26"/>
      <c r="C1716" s="26"/>
      <c r="D1716" s="26"/>
      <c r="J1716" s="26"/>
      <c r="K1716" s="26"/>
    </row>
    <row r="1717">
      <c r="B1717" s="26"/>
      <c r="C1717" s="26"/>
      <c r="D1717" s="26"/>
      <c r="J1717" s="26"/>
      <c r="K1717" s="26"/>
    </row>
    <row r="1718">
      <c r="B1718" s="26"/>
      <c r="C1718" s="26"/>
      <c r="D1718" s="26"/>
      <c r="J1718" s="26"/>
      <c r="K1718" s="26"/>
    </row>
    <row r="1719">
      <c r="B1719" s="26"/>
      <c r="C1719" s="26"/>
      <c r="D1719" s="26"/>
      <c r="J1719" s="26"/>
      <c r="K1719" s="26"/>
    </row>
    <row r="1720">
      <c r="B1720" s="26"/>
      <c r="C1720" s="26"/>
      <c r="D1720" s="26"/>
      <c r="J1720" s="26"/>
      <c r="K1720" s="26"/>
    </row>
    <row r="1721">
      <c r="B1721" s="26"/>
      <c r="C1721" s="26"/>
      <c r="D1721" s="26"/>
      <c r="J1721" s="26"/>
      <c r="K1721" s="26"/>
    </row>
    <row r="1722">
      <c r="B1722" s="26"/>
      <c r="C1722" s="26"/>
      <c r="D1722" s="26"/>
      <c r="J1722" s="26"/>
      <c r="K1722" s="26"/>
    </row>
    <row r="1723">
      <c r="B1723" s="26"/>
      <c r="C1723" s="26"/>
      <c r="D1723" s="26"/>
      <c r="J1723" s="26"/>
      <c r="K1723" s="26"/>
    </row>
    <row r="1724">
      <c r="B1724" s="26"/>
      <c r="C1724" s="26"/>
      <c r="D1724" s="26"/>
      <c r="J1724" s="26"/>
      <c r="K1724" s="26"/>
    </row>
    <row r="1725">
      <c r="B1725" s="26"/>
      <c r="C1725" s="26"/>
      <c r="D1725" s="26"/>
      <c r="J1725" s="26"/>
      <c r="K1725" s="26"/>
    </row>
    <row r="1726">
      <c r="B1726" s="26"/>
      <c r="C1726" s="26"/>
      <c r="D1726" s="26"/>
      <c r="J1726" s="26"/>
      <c r="K1726" s="26"/>
    </row>
    <row r="1727">
      <c r="B1727" s="26"/>
      <c r="C1727" s="26"/>
      <c r="D1727" s="26"/>
      <c r="J1727" s="26"/>
      <c r="K1727" s="26"/>
    </row>
    <row r="1728">
      <c r="B1728" s="26"/>
      <c r="C1728" s="26"/>
      <c r="D1728" s="26"/>
      <c r="J1728" s="26"/>
      <c r="K1728" s="26"/>
    </row>
    <row r="1729">
      <c r="B1729" s="26"/>
      <c r="C1729" s="26"/>
      <c r="D1729" s="26"/>
      <c r="J1729" s="26"/>
      <c r="K1729" s="26"/>
    </row>
    <row r="1730">
      <c r="B1730" s="26"/>
      <c r="C1730" s="26"/>
      <c r="D1730" s="26"/>
      <c r="J1730" s="26"/>
      <c r="K1730" s="26"/>
    </row>
    <row r="1731">
      <c r="B1731" s="26"/>
      <c r="C1731" s="26"/>
      <c r="D1731" s="26"/>
      <c r="J1731" s="26"/>
      <c r="K1731" s="26"/>
    </row>
    <row r="1732">
      <c r="B1732" s="26"/>
      <c r="C1732" s="26"/>
      <c r="D1732" s="26"/>
      <c r="J1732" s="26"/>
      <c r="K1732" s="26"/>
    </row>
    <row r="1733">
      <c r="B1733" s="26"/>
      <c r="C1733" s="26"/>
      <c r="D1733" s="26"/>
      <c r="J1733" s="26"/>
      <c r="K1733" s="26"/>
    </row>
    <row r="1734">
      <c r="B1734" s="26"/>
      <c r="C1734" s="26"/>
      <c r="D1734" s="26"/>
      <c r="J1734" s="26"/>
      <c r="K1734" s="26"/>
    </row>
    <row r="1735">
      <c r="B1735" s="26"/>
      <c r="C1735" s="26"/>
      <c r="D1735" s="26"/>
      <c r="J1735" s="26"/>
      <c r="K1735" s="26"/>
    </row>
    <row r="1736">
      <c r="B1736" s="26"/>
      <c r="C1736" s="26"/>
      <c r="D1736" s="26"/>
      <c r="J1736" s="26"/>
      <c r="K1736" s="26"/>
    </row>
    <row r="1737">
      <c r="B1737" s="26"/>
      <c r="C1737" s="26"/>
      <c r="D1737" s="26"/>
      <c r="J1737" s="26"/>
      <c r="K1737" s="26"/>
    </row>
    <row r="1738">
      <c r="B1738" s="26"/>
      <c r="C1738" s="26"/>
      <c r="D1738" s="26"/>
      <c r="J1738" s="26"/>
      <c r="K1738" s="26"/>
    </row>
    <row r="1739">
      <c r="B1739" s="26"/>
      <c r="C1739" s="26"/>
      <c r="D1739" s="26"/>
      <c r="J1739" s="26"/>
      <c r="K1739" s="26"/>
    </row>
    <row r="1740">
      <c r="B1740" s="26"/>
      <c r="C1740" s="26"/>
      <c r="D1740" s="26"/>
      <c r="J1740" s="26"/>
      <c r="K1740" s="26"/>
    </row>
    <row r="1741">
      <c r="B1741" s="26"/>
      <c r="C1741" s="26"/>
      <c r="D1741" s="26"/>
      <c r="J1741" s="26"/>
      <c r="K1741" s="26"/>
    </row>
    <row r="1742">
      <c r="B1742" s="26"/>
      <c r="C1742" s="26"/>
      <c r="D1742" s="26"/>
      <c r="J1742" s="26"/>
      <c r="K1742" s="26"/>
    </row>
    <row r="1743">
      <c r="B1743" s="26"/>
      <c r="C1743" s="26"/>
      <c r="D1743" s="26"/>
      <c r="J1743" s="26"/>
      <c r="K1743" s="26"/>
    </row>
    <row r="1744">
      <c r="B1744" s="26"/>
      <c r="C1744" s="26"/>
      <c r="D1744" s="26"/>
      <c r="J1744" s="26"/>
      <c r="K1744" s="26"/>
    </row>
    <row r="1745">
      <c r="B1745" s="26"/>
      <c r="C1745" s="26"/>
      <c r="D1745" s="26"/>
      <c r="J1745" s="26"/>
      <c r="K1745" s="26"/>
    </row>
    <row r="1746">
      <c r="B1746" s="26"/>
      <c r="C1746" s="26"/>
      <c r="D1746" s="26"/>
      <c r="J1746" s="26"/>
      <c r="K1746" s="26"/>
    </row>
    <row r="1747">
      <c r="B1747" s="26"/>
      <c r="C1747" s="26"/>
      <c r="D1747" s="26"/>
      <c r="J1747" s="26"/>
      <c r="K1747" s="26"/>
    </row>
    <row r="1748">
      <c r="B1748" s="26"/>
      <c r="C1748" s="26"/>
      <c r="D1748" s="26"/>
      <c r="J1748" s="26"/>
      <c r="K1748" s="26"/>
    </row>
    <row r="1749">
      <c r="B1749" s="26"/>
      <c r="C1749" s="26"/>
      <c r="D1749" s="26"/>
      <c r="J1749" s="26"/>
      <c r="K1749" s="26"/>
    </row>
    <row r="1750">
      <c r="B1750" s="26"/>
      <c r="C1750" s="26"/>
      <c r="D1750" s="26"/>
      <c r="J1750" s="26"/>
      <c r="K1750" s="26"/>
    </row>
    <row r="1751">
      <c r="B1751" s="26"/>
      <c r="C1751" s="26"/>
      <c r="D1751" s="26"/>
      <c r="J1751" s="26"/>
      <c r="K1751" s="26"/>
    </row>
    <row r="1752">
      <c r="B1752" s="26"/>
      <c r="C1752" s="26"/>
      <c r="D1752" s="26"/>
      <c r="J1752" s="26"/>
      <c r="K1752" s="26"/>
    </row>
    <row r="1753">
      <c r="B1753" s="26"/>
      <c r="C1753" s="26"/>
      <c r="D1753" s="26"/>
      <c r="J1753" s="26"/>
      <c r="K1753" s="26"/>
    </row>
    <row r="1754">
      <c r="B1754" s="26"/>
      <c r="C1754" s="26"/>
      <c r="D1754" s="26"/>
      <c r="J1754" s="26"/>
      <c r="K1754" s="26"/>
    </row>
    <row r="1755">
      <c r="B1755" s="26"/>
      <c r="C1755" s="26"/>
      <c r="D1755" s="26"/>
      <c r="J1755" s="26"/>
      <c r="K1755" s="26"/>
    </row>
    <row r="1756">
      <c r="B1756" s="26"/>
      <c r="C1756" s="26"/>
      <c r="D1756" s="26"/>
      <c r="J1756" s="26"/>
      <c r="K1756" s="26"/>
    </row>
    <row r="1757">
      <c r="B1757" s="26"/>
      <c r="C1757" s="26"/>
      <c r="D1757" s="26"/>
      <c r="J1757" s="26"/>
      <c r="K1757" s="26"/>
    </row>
    <row r="1758">
      <c r="B1758" s="26"/>
      <c r="C1758" s="26"/>
      <c r="D1758" s="26"/>
      <c r="J1758" s="26"/>
      <c r="K1758" s="26"/>
    </row>
    <row r="1759">
      <c r="B1759" s="26"/>
      <c r="C1759" s="26"/>
      <c r="D1759" s="26"/>
      <c r="J1759" s="26"/>
      <c r="K1759" s="26"/>
    </row>
    <row r="1760">
      <c r="B1760" s="26"/>
      <c r="C1760" s="26"/>
      <c r="D1760" s="26"/>
      <c r="J1760" s="26"/>
      <c r="K1760" s="26"/>
    </row>
    <row r="1761">
      <c r="B1761" s="26"/>
      <c r="C1761" s="26"/>
      <c r="D1761" s="26"/>
      <c r="J1761" s="26"/>
      <c r="K1761" s="26"/>
    </row>
    <row r="1762">
      <c r="B1762" s="26"/>
      <c r="C1762" s="26"/>
      <c r="D1762" s="26"/>
      <c r="J1762" s="26"/>
      <c r="K1762" s="26"/>
    </row>
    <row r="1763">
      <c r="B1763" s="26"/>
      <c r="C1763" s="26"/>
      <c r="D1763" s="26"/>
      <c r="J1763" s="26"/>
      <c r="K1763" s="26"/>
    </row>
    <row r="1764">
      <c r="B1764" s="26"/>
      <c r="C1764" s="26"/>
      <c r="D1764" s="26"/>
      <c r="J1764" s="26"/>
      <c r="K1764" s="26"/>
    </row>
    <row r="1765">
      <c r="B1765" s="26"/>
      <c r="C1765" s="26"/>
      <c r="D1765" s="26"/>
      <c r="J1765" s="26"/>
      <c r="K1765" s="26"/>
    </row>
    <row r="1766">
      <c r="B1766" s="26"/>
      <c r="C1766" s="26"/>
      <c r="D1766" s="26"/>
      <c r="J1766" s="26"/>
      <c r="K1766" s="26"/>
    </row>
    <row r="1767">
      <c r="B1767" s="26"/>
      <c r="C1767" s="26"/>
      <c r="D1767" s="26"/>
      <c r="J1767" s="26"/>
      <c r="K1767" s="26"/>
    </row>
    <row r="1768">
      <c r="B1768" s="26"/>
      <c r="C1768" s="26"/>
      <c r="D1768" s="26"/>
      <c r="J1768" s="26"/>
      <c r="K1768" s="26"/>
    </row>
    <row r="1769">
      <c r="B1769" s="26"/>
      <c r="C1769" s="26"/>
      <c r="D1769" s="26"/>
      <c r="J1769" s="26"/>
      <c r="K1769" s="26"/>
    </row>
    <row r="1770">
      <c r="B1770" s="26"/>
      <c r="C1770" s="26"/>
      <c r="D1770" s="26"/>
      <c r="J1770" s="26"/>
      <c r="K1770" s="26"/>
    </row>
    <row r="1771">
      <c r="B1771" s="26"/>
      <c r="C1771" s="26"/>
      <c r="D1771" s="26"/>
      <c r="J1771" s="26"/>
      <c r="K1771" s="26"/>
    </row>
    <row r="1772">
      <c r="B1772" s="26"/>
      <c r="C1772" s="26"/>
      <c r="D1772" s="26"/>
      <c r="J1772" s="26"/>
      <c r="K1772" s="26"/>
    </row>
    <row r="1773">
      <c r="B1773" s="26"/>
      <c r="C1773" s="26"/>
      <c r="D1773" s="26"/>
      <c r="J1773" s="26"/>
      <c r="K1773" s="26"/>
    </row>
    <row r="1774">
      <c r="B1774" s="26"/>
      <c r="C1774" s="26"/>
      <c r="D1774" s="26"/>
      <c r="J1774" s="26"/>
      <c r="K1774" s="26"/>
    </row>
    <row r="1775">
      <c r="B1775" s="26"/>
      <c r="C1775" s="26"/>
      <c r="D1775" s="26"/>
      <c r="J1775" s="26"/>
      <c r="K1775" s="26"/>
    </row>
    <row r="1776">
      <c r="B1776" s="26"/>
      <c r="C1776" s="26"/>
      <c r="D1776" s="26"/>
      <c r="J1776" s="26"/>
      <c r="K1776" s="26"/>
    </row>
    <row r="1777">
      <c r="B1777" s="26"/>
      <c r="C1777" s="26"/>
      <c r="D1777" s="26"/>
      <c r="J1777" s="26"/>
      <c r="K1777" s="26"/>
    </row>
    <row r="1778">
      <c r="B1778" s="26"/>
      <c r="C1778" s="26"/>
      <c r="D1778" s="26"/>
      <c r="J1778" s="26"/>
      <c r="K1778" s="26"/>
    </row>
    <row r="1779">
      <c r="B1779" s="26"/>
      <c r="C1779" s="26"/>
      <c r="D1779" s="26"/>
      <c r="J1779" s="26"/>
      <c r="K1779" s="26"/>
    </row>
    <row r="1780">
      <c r="B1780" s="26"/>
      <c r="C1780" s="26"/>
      <c r="D1780" s="26"/>
      <c r="J1780" s="26"/>
      <c r="K1780" s="26"/>
    </row>
    <row r="1781">
      <c r="B1781" s="26"/>
      <c r="C1781" s="26"/>
      <c r="D1781" s="26"/>
      <c r="J1781" s="26"/>
      <c r="K1781" s="26"/>
    </row>
    <row r="1782">
      <c r="B1782" s="26"/>
      <c r="C1782" s="26"/>
      <c r="D1782" s="26"/>
      <c r="J1782" s="26"/>
      <c r="K1782" s="26"/>
    </row>
    <row r="1783">
      <c r="B1783" s="26"/>
      <c r="C1783" s="26"/>
      <c r="D1783" s="26"/>
      <c r="J1783" s="26"/>
      <c r="K1783" s="26"/>
    </row>
    <row r="1784">
      <c r="B1784" s="26"/>
      <c r="C1784" s="26"/>
      <c r="D1784" s="26"/>
      <c r="J1784" s="26"/>
      <c r="K1784" s="26"/>
    </row>
    <row r="1785">
      <c r="B1785" s="26"/>
      <c r="C1785" s="26"/>
      <c r="D1785" s="26"/>
      <c r="J1785" s="26"/>
      <c r="K1785" s="26"/>
    </row>
    <row r="1786">
      <c r="B1786" s="26"/>
      <c r="C1786" s="26"/>
      <c r="D1786" s="26"/>
      <c r="J1786" s="26"/>
      <c r="K1786" s="26"/>
    </row>
    <row r="1787">
      <c r="B1787" s="26"/>
      <c r="C1787" s="26"/>
      <c r="D1787" s="26"/>
      <c r="J1787" s="26"/>
      <c r="K1787" s="26"/>
    </row>
    <row r="1788">
      <c r="B1788" s="26"/>
      <c r="C1788" s="26"/>
      <c r="D1788" s="26"/>
      <c r="J1788" s="26"/>
      <c r="K1788" s="26"/>
    </row>
    <row r="1789">
      <c r="B1789" s="26"/>
      <c r="C1789" s="26"/>
      <c r="D1789" s="26"/>
      <c r="J1789" s="26"/>
      <c r="K1789" s="26"/>
    </row>
    <row r="1790">
      <c r="B1790" s="26"/>
      <c r="C1790" s="26"/>
      <c r="D1790" s="26"/>
      <c r="J1790" s="26"/>
      <c r="K1790" s="26"/>
    </row>
    <row r="1791">
      <c r="B1791" s="26"/>
      <c r="C1791" s="26"/>
      <c r="D1791" s="26"/>
      <c r="J1791" s="26"/>
      <c r="K1791" s="26"/>
    </row>
    <row r="1792">
      <c r="B1792" s="26"/>
      <c r="C1792" s="26"/>
      <c r="D1792" s="26"/>
      <c r="J1792" s="26"/>
      <c r="K1792" s="26"/>
    </row>
    <row r="1793">
      <c r="B1793" s="26"/>
      <c r="C1793" s="26"/>
      <c r="D1793" s="26"/>
      <c r="J1793" s="26"/>
      <c r="K1793" s="26"/>
    </row>
    <row r="1794">
      <c r="B1794" s="26"/>
      <c r="C1794" s="26"/>
      <c r="D1794" s="26"/>
      <c r="J1794" s="26"/>
      <c r="K1794" s="26"/>
    </row>
    <row r="1795">
      <c r="B1795" s="26"/>
      <c r="C1795" s="26"/>
      <c r="D1795" s="26"/>
      <c r="J1795" s="26"/>
      <c r="K1795" s="26"/>
    </row>
    <row r="1796">
      <c r="B1796" s="26"/>
      <c r="C1796" s="26"/>
      <c r="D1796" s="26"/>
      <c r="J1796" s="26"/>
      <c r="K1796" s="26"/>
    </row>
    <row r="1797">
      <c r="B1797" s="26"/>
      <c r="C1797" s="26"/>
      <c r="D1797" s="26"/>
      <c r="J1797" s="26"/>
      <c r="K1797" s="26"/>
    </row>
    <row r="1798">
      <c r="B1798" s="26"/>
      <c r="C1798" s="26"/>
      <c r="D1798" s="26"/>
      <c r="J1798" s="26"/>
      <c r="K1798" s="26"/>
    </row>
    <row r="1799">
      <c r="B1799" s="26"/>
      <c r="C1799" s="26"/>
      <c r="D1799" s="26"/>
      <c r="J1799" s="26"/>
      <c r="K1799" s="26"/>
    </row>
    <row r="1800">
      <c r="B1800" s="26"/>
      <c r="C1800" s="26"/>
      <c r="D1800" s="26"/>
      <c r="J1800" s="26"/>
      <c r="K1800" s="26"/>
    </row>
    <row r="1801">
      <c r="B1801" s="26"/>
      <c r="C1801" s="26"/>
      <c r="D1801" s="26"/>
      <c r="J1801" s="26"/>
      <c r="K1801" s="26"/>
    </row>
    <row r="1802">
      <c r="B1802" s="26"/>
      <c r="C1802" s="26"/>
      <c r="D1802" s="26"/>
      <c r="J1802" s="26"/>
      <c r="K1802" s="26"/>
    </row>
    <row r="1803">
      <c r="B1803" s="26"/>
      <c r="C1803" s="26"/>
      <c r="D1803" s="26"/>
      <c r="J1803" s="26"/>
      <c r="K1803" s="26"/>
    </row>
    <row r="1804">
      <c r="B1804" s="26"/>
      <c r="C1804" s="26"/>
      <c r="D1804" s="26"/>
      <c r="J1804" s="26"/>
      <c r="K1804" s="26"/>
    </row>
    <row r="1805">
      <c r="B1805" s="26"/>
      <c r="C1805" s="26"/>
      <c r="D1805" s="26"/>
      <c r="J1805" s="26"/>
      <c r="K1805" s="26"/>
    </row>
    <row r="1806">
      <c r="B1806" s="26"/>
      <c r="C1806" s="26"/>
      <c r="D1806" s="26"/>
      <c r="J1806" s="26"/>
      <c r="K1806" s="26"/>
    </row>
    <row r="1807">
      <c r="B1807" s="26"/>
      <c r="C1807" s="26"/>
      <c r="D1807" s="26"/>
      <c r="J1807" s="26"/>
      <c r="K1807" s="26"/>
    </row>
    <row r="1808">
      <c r="B1808" s="26"/>
      <c r="C1808" s="26"/>
      <c r="D1808" s="26"/>
      <c r="J1808" s="26"/>
      <c r="K1808" s="26"/>
    </row>
    <row r="1809">
      <c r="B1809" s="26"/>
      <c r="C1809" s="26"/>
      <c r="D1809" s="26"/>
      <c r="J1809" s="26"/>
      <c r="K1809" s="26"/>
    </row>
    <row r="1810">
      <c r="B1810" s="26"/>
      <c r="C1810" s="26"/>
      <c r="D1810" s="26"/>
      <c r="J1810" s="26"/>
      <c r="K1810" s="26"/>
    </row>
    <row r="1811">
      <c r="B1811" s="26"/>
      <c r="C1811" s="26"/>
      <c r="D1811" s="26"/>
      <c r="J1811" s="26"/>
      <c r="K1811" s="26"/>
    </row>
    <row r="1812">
      <c r="B1812" s="26"/>
      <c r="C1812" s="26"/>
      <c r="D1812" s="26"/>
      <c r="J1812" s="26"/>
      <c r="K1812" s="26"/>
    </row>
    <row r="1813">
      <c r="B1813" s="26"/>
      <c r="C1813" s="26"/>
      <c r="D1813" s="26"/>
      <c r="J1813" s="26"/>
      <c r="K1813" s="26"/>
    </row>
    <row r="1814">
      <c r="B1814" s="26"/>
      <c r="C1814" s="26"/>
      <c r="D1814" s="26"/>
      <c r="J1814" s="26"/>
      <c r="K1814" s="26"/>
    </row>
    <row r="1815">
      <c r="B1815" s="26"/>
      <c r="C1815" s="26"/>
      <c r="D1815" s="26"/>
      <c r="J1815" s="26"/>
      <c r="K1815" s="26"/>
    </row>
    <row r="1816">
      <c r="B1816" s="26"/>
      <c r="C1816" s="26"/>
      <c r="D1816" s="26"/>
      <c r="J1816" s="26"/>
      <c r="K1816" s="26"/>
    </row>
    <row r="1817">
      <c r="B1817" s="26"/>
      <c r="C1817" s="26"/>
      <c r="D1817" s="26"/>
      <c r="J1817" s="26"/>
      <c r="K1817" s="26"/>
    </row>
    <row r="1818">
      <c r="B1818" s="26"/>
      <c r="C1818" s="26"/>
      <c r="D1818" s="26"/>
      <c r="J1818" s="26"/>
      <c r="K1818" s="26"/>
    </row>
    <row r="1819">
      <c r="B1819" s="26"/>
      <c r="C1819" s="26"/>
      <c r="D1819" s="26"/>
      <c r="J1819" s="26"/>
      <c r="K1819" s="26"/>
    </row>
    <row r="1820">
      <c r="B1820" s="26"/>
      <c r="C1820" s="26"/>
      <c r="D1820" s="26"/>
      <c r="J1820" s="26"/>
      <c r="K1820" s="26"/>
    </row>
    <row r="1821">
      <c r="B1821" s="26"/>
      <c r="C1821" s="26"/>
      <c r="D1821" s="26"/>
      <c r="J1821" s="26"/>
      <c r="K1821" s="26"/>
    </row>
    <row r="1822">
      <c r="B1822" s="26"/>
      <c r="C1822" s="26"/>
      <c r="D1822" s="26"/>
      <c r="J1822" s="26"/>
      <c r="K1822" s="26"/>
    </row>
    <row r="1823">
      <c r="B1823" s="26"/>
      <c r="C1823" s="26"/>
      <c r="D1823" s="26"/>
      <c r="J1823" s="26"/>
      <c r="K1823" s="26"/>
    </row>
    <row r="1824">
      <c r="B1824" s="26"/>
      <c r="C1824" s="26"/>
      <c r="D1824" s="26"/>
      <c r="J1824" s="26"/>
      <c r="K1824" s="26"/>
    </row>
    <row r="1825">
      <c r="B1825" s="26"/>
      <c r="C1825" s="26"/>
      <c r="D1825" s="26"/>
      <c r="J1825" s="26"/>
      <c r="K1825" s="26"/>
    </row>
    <row r="1826">
      <c r="B1826" s="26"/>
      <c r="C1826" s="26"/>
      <c r="D1826" s="26"/>
      <c r="J1826" s="26"/>
      <c r="K1826" s="26"/>
    </row>
    <row r="1827">
      <c r="B1827" s="26"/>
      <c r="C1827" s="26"/>
      <c r="D1827" s="26"/>
      <c r="J1827" s="26"/>
      <c r="K1827" s="26"/>
    </row>
    <row r="1828">
      <c r="B1828" s="26"/>
      <c r="C1828" s="26"/>
      <c r="D1828" s="26"/>
      <c r="J1828" s="26"/>
      <c r="K1828" s="26"/>
    </row>
    <row r="1829">
      <c r="B1829" s="26"/>
      <c r="C1829" s="26"/>
      <c r="D1829" s="26"/>
      <c r="J1829" s="26"/>
      <c r="K1829" s="26"/>
    </row>
    <row r="1830">
      <c r="B1830" s="26"/>
      <c r="C1830" s="26"/>
      <c r="D1830" s="26"/>
      <c r="J1830" s="26"/>
      <c r="K1830" s="26"/>
    </row>
    <row r="1831">
      <c r="B1831" s="26"/>
      <c r="C1831" s="26"/>
      <c r="D1831" s="26"/>
      <c r="J1831" s="26"/>
      <c r="K1831" s="26"/>
    </row>
    <row r="1832">
      <c r="B1832" s="26"/>
      <c r="C1832" s="26"/>
      <c r="D1832" s="26"/>
      <c r="J1832" s="26"/>
      <c r="K1832" s="26"/>
    </row>
    <row r="1833">
      <c r="B1833" s="26"/>
      <c r="C1833" s="26"/>
      <c r="D1833" s="26"/>
      <c r="J1833" s="26"/>
      <c r="K1833" s="26"/>
    </row>
    <row r="1834">
      <c r="B1834" s="26"/>
      <c r="C1834" s="26"/>
      <c r="D1834" s="26"/>
      <c r="J1834" s="26"/>
      <c r="K1834" s="26"/>
    </row>
    <row r="1835">
      <c r="B1835" s="26"/>
      <c r="C1835" s="26"/>
      <c r="D1835" s="26"/>
      <c r="J1835" s="26"/>
      <c r="K1835" s="26"/>
    </row>
    <row r="1836">
      <c r="B1836" s="26"/>
      <c r="C1836" s="26"/>
      <c r="D1836" s="26"/>
      <c r="J1836" s="26"/>
      <c r="K1836" s="26"/>
    </row>
    <row r="1837">
      <c r="B1837" s="26"/>
      <c r="C1837" s="26"/>
      <c r="D1837" s="26"/>
      <c r="J1837" s="26"/>
      <c r="K1837" s="26"/>
    </row>
    <row r="1838">
      <c r="B1838" s="26"/>
      <c r="C1838" s="26"/>
      <c r="D1838" s="26"/>
      <c r="J1838" s="26"/>
      <c r="K1838" s="26"/>
    </row>
    <row r="1839">
      <c r="B1839" s="26"/>
      <c r="C1839" s="26"/>
      <c r="D1839" s="26"/>
      <c r="J1839" s="26"/>
      <c r="K1839" s="26"/>
    </row>
    <row r="1840">
      <c r="B1840" s="26"/>
      <c r="C1840" s="26"/>
      <c r="D1840" s="26"/>
      <c r="J1840" s="26"/>
      <c r="K1840" s="26"/>
    </row>
    <row r="1841">
      <c r="B1841" s="26"/>
      <c r="C1841" s="26"/>
      <c r="D1841" s="26"/>
      <c r="J1841" s="26"/>
      <c r="K1841" s="26"/>
    </row>
    <row r="1842">
      <c r="B1842" s="26"/>
      <c r="C1842" s="26"/>
      <c r="D1842" s="26"/>
      <c r="J1842" s="26"/>
      <c r="K1842" s="26"/>
    </row>
    <row r="1843">
      <c r="B1843" s="26"/>
      <c r="C1843" s="26"/>
      <c r="D1843" s="26"/>
      <c r="J1843" s="26"/>
      <c r="K1843" s="26"/>
    </row>
    <row r="1844">
      <c r="B1844" s="26"/>
      <c r="C1844" s="26"/>
      <c r="D1844" s="26"/>
      <c r="J1844" s="26"/>
      <c r="K1844" s="26"/>
    </row>
    <row r="1845">
      <c r="B1845" s="26"/>
      <c r="C1845" s="26"/>
      <c r="D1845" s="26"/>
      <c r="J1845" s="26"/>
      <c r="K1845" s="26"/>
    </row>
    <row r="1846">
      <c r="B1846" s="26"/>
      <c r="C1846" s="26"/>
      <c r="D1846" s="26"/>
      <c r="J1846" s="26"/>
      <c r="K1846" s="26"/>
    </row>
    <row r="1847">
      <c r="B1847" s="26"/>
      <c r="C1847" s="26"/>
      <c r="D1847" s="26"/>
      <c r="J1847" s="26"/>
      <c r="K1847" s="26"/>
    </row>
    <row r="1848">
      <c r="B1848" s="26"/>
      <c r="C1848" s="26"/>
      <c r="D1848" s="26"/>
      <c r="J1848" s="26"/>
      <c r="K1848" s="26"/>
    </row>
    <row r="1849">
      <c r="B1849" s="26"/>
      <c r="C1849" s="26"/>
      <c r="D1849" s="26"/>
      <c r="J1849" s="26"/>
      <c r="K1849" s="26"/>
    </row>
    <row r="1850">
      <c r="B1850" s="26"/>
      <c r="C1850" s="26"/>
      <c r="D1850" s="26"/>
      <c r="J1850" s="26"/>
      <c r="K1850" s="26"/>
    </row>
    <row r="1851">
      <c r="B1851" s="26"/>
      <c r="C1851" s="26"/>
      <c r="D1851" s="26"/>
      <c r="J1851" s="26"/>
      <c r="K1851" s="26"/>
    </row>
    <row r="1852">
      <c r="B1852" s="26"/>
      <c r="C1852" s="26"/>
      <c r="D1852" s="26"/>
      <c r="J1852" s="26"/>
      <c r="K1852" s="26"/>
    </row>
    <row r="1853">
      <c r="B1853" s="26"/>
      <c r="C1853" s="26"/>
      <c r="D1853" s="26"/>
      <c r="J1853" s="26"/>
      <c r="K1853" s="26"/>
    </row>
    <row r="1854">
      <c r="B1854" s="26"/>
      <c r="C1854" s="26"/>
      <c r="D1854" s="26"/>
      <c r="J1854" s="26"/>
      <c r="K1854" s="26"/>
    </row>
    <row r="1855">
      <c r="B1855" s="26"/>
      <c r="C1855" s="26"/>
      <c r="D1855" s="26"/>
      <c r="J1855" s="26"/>
      <c r="K1855" s="26"/>
    </row>
    <row r="1856">
      <c r="B1856" s="26"/>
      <c r="C1856" s="26"/>
      <c r="D1856" s="26"/>
      <c r="J1856" s="26"/>
      <c r="K1856" s="26"/>
    </row>
    <row r="1857">
      <c r="B1857" s="26"/>
      <c r="C1857" s="26"/>
      <c r="D1857" s="26"/>
      <c r="J1857" s="26"/>
      <c r="K1857" s="26"/>
    </row>
    <row r="1858">
      <c r="B1858" s="26"/>
      <c r="C1858" s="26"/>
      <c r="D1858" s="26"/>
      <c r="J1858" s="26"/>
      <c r="K1858" s="26"/>
    </row>
    <row r="1859">
      <c r="B1859" s="26"/>
      <c r="C1859" s="26"/>
      <c r="D1859" s="26"/>
      <c r="J1859" s="26"/>
      <c r="K1859" s="26"/>
    </row>
    <row r="1860">
      <c r="B1860" s="26"/>
      <c r="C1860" s="26"/>
      <c r="D1860" s="26"/>
      <c r="J1860" s="26"/>
      <c r="K1860" s="26"/>
    </row>
    <row r="1861">
      <c r="B1861" s="26"/>
      <c r="C1861" s="26"/>
      <c r="D1861" s="26"/>
      <c r="J1861" s="26"/>
      <c r="K1861" s="26"/>
    </row>
    <row r="1862">
      <c r="B1862" s="26"/>
      <c r="C1862" s="26"/>
      <c r="D1862" s="26"/>
      <c r="J1862" s="26"/>
      <c r="K1862" s="26"/>
    </row>
    <row r="1863">
      <c r="B1863" s="26"/>
      <c r="C1863" s="26"/>
      <c r="D1863" s="26"/>
      <c r="J1863" s="26"/>
      <c r="K1863" s="26"/>
    </row>
    <row r="1864">
      <c r="B1864" s="26"/>
      <c r="C1864" s="26"/>
      <c r="D1864" s="26"/>
      <c r="J1864" s="26"/>
      <c r="K1864" s="26"/>
    </row>
    <row r="1865">
      <c r="B1865" s="26"/>
      <c r="C1865" s="26"/>
      <c r="D1865" s="26"/>
      <c r="J1865" s="26"/>
      <c r="K1865" s="26"/>
    </row>
    <row r="1866">
      <c r="B1866" s="26"/>
      <c r="C1866" s="26"/>
      <c r="D1866" s="26"/>
      <c r="J1866" s="26"/>
      <c r="K1866" s="26"/>
    </row>
    <row r="1867">
      <c r="B1867" s="26"/>
      <c r="C1867" s="26"/>
      <c r="D1867" s="26"/>
      <c r="J1867" s="26"/>
      <c r="K1867" s="26"/>
    </row>
    <row r="1868">
      <c r="B1868" s="26"/>
      <c r="C1868" s="26"/>
      <c r="D1868" s="26"/>
      <c r="J1868" s="26"/>
      <c r="K1868" s="26"/>
    </row>
    <row r="1869">
      <c r="B1869" s="26"/>
      <c r="C1869" s="26"/>
      <c r="D1869" s="26"/>
      <c r="J1869" s="26"/>
      <c r="K1869" s="26"/>
    </row>
    <row r="1870">
      <c r="B1870" s="26"/>
      <c r="C1870" s="26"/>
      <c r="D1870" s="26"/>
      <c r="J1870" s="26"/>
      <c r="K1870" s="26"/>
    </row>
    <row r="1871">
      <c r="B1871" s="26"/>
      <c r="C1871" s="26"/>
      <c r="D1871" s="26"/>
      <c r="J1871" s="26"/>
      <c r="K1871" s="26"/>
    </row>
    <row r="1872">
      <c r="B1872" s="26"/>
      <c r="C1872" s="26"/>
      <c r="D1872" s="26"/>
      <c r="J1872" s="26"/>
      <c r="K1872" s="26"/>
    </row>
    <row r="1873">
      <c r="B1873" s="26"/>
      <c r="C1873" s="26"/>
      <c r="D1873" s="26"/>
      <c r="J1873" s="26"/>
      <c r="K1873" s="26"/>
    </row>
    <row r="1874">
      <c r="B1874" s="26"/>
      <c r="C1874" s="26"/>
      <c r="D1874" s="26"/>
      <c r="J1874" s="26"/>
      <c r="K1874" s="26"/>
    </row>
    <row r="1875">
      <c r="B1875" s="26"/>
      <c r="C1875" s="26"/>
      <c r="D1875" s="26"/>
      <c r="J1875" s="26"/>
      <c r="K1875" s="26"/>
    </row>
    <row r="1876">
      <c r="B1876" s="26"/>
      <c r="C1876" s="26"/>
      <c r="D1876" s="26"/>
      <c r="J1876" s="26"/>
      <c r="K1876" s="26"/>
    </row>
    <row r="1877">
      <c r="B1877" s="26"/>
      <c r="C1877" s="26"/>
      <c r="D1877" s="26"/>
      <c r="J1877" s="26"/>
      <c r="K1877" s="26"/>
    </row>
    <row r="1878">
      <c r="B1878" s="26"/>
      <c r="C1878" s="26"/>
      <c r="D1878" s="26"/>
      <c r="J1878" s="26"/>
      <c r="K1878" s="26"/>
    </row>
    <row r="1879">
      <c r="B1879" s="26"/>
      <c r="C1879" s="26"/>
      <c r="D1879" s="26"/>
      <c r="J1879" s="26"/>
      <c r="K1879" s="26"/>
    </row>
    <row r="1880">
      <c r="B1880" s="26"/>
      <c r="C1880" s="26"/>
      <c r="D1880" s="26"/>
      <c r="J1880" s="26"/>
      <c r="K1880" s="26"/>
    </row>
    <row r="1881">
      <c r="B1881" s="26"/>
      <c r="C1881" s="26"/>
      <c r="D1881" s="26"/>
      <c r="J1881" s="26"/>
      <c r="K1881" s="26"/>
    </row>
    <row r="1882">
      <c r="B1882" s="26"/>
      <c r="C1882" s="26"/>
      <c r="D1882" s="26"/>
      <c r="J1882" s="26"/>
      <c r="K1882" s="26"/>
    </row>
    <row r="1883">
      <c r="B1883" s="26"/>
      <c r="C1883" s="26"/>
      <c r="D1883" s="26"/>
      <c r="J1883" s="26"/>
      <c r="K1883" s="26"/>
    </row>
    <row r="1884">
      <c r="B1884" s="26"/>
      <c r="C1884" s="26"/>
      <c r="D1884" s="26"/>
      <c r="J1884" s="26"/>
      <c r="K1884" s="26"/>
    </row>
    <row r="1885">
      <c r="B1885" s="26"/>
      <c r="C1885" s="26"/>
      <c r="D1885" s="26"/>
      <c r="J1885" s="26"/>
      <c r="K1885" s="26"/>
    </row>
    <row r="1886">
      <c r="B1886" s="26"/>
      <c r="C1886" s="26"/>
      <c r="D1886" s="26"/>
      <c r="J1886" s="26"/>
      <c r="K1886" s="26"/>
    </row>
    <row r="1887">
      <c r="B1887" s="26"/>
      <c r="C1887" s="26"/>
      <c r="D1887" s="26"/>
      <c r="J1887" s="26"/>
      <c r="K1887" s="26"/>
    </row>
    <row r="1888">
      <c r="B1888" s="26"/>
      <c r="C1888" s="26"/>
      <c r="D1888" s="26"/>
      <c r="J1888" s="26"/>
      <c r="K1888" s="26"/>
    </row>
    <row r="1889">
      <c r="B1889" s="26"/>
      <c r="C1889" s="26"/>
      <c r="D1889" s="26"/>
      <c r="J1889" s="26"/>
      <c r="K1889" s="26"/>
    </row>
    <row r="1890">
      <c r="B1890" s="26"/>
      <c r="C1890" s="26"/>
      <c r="D1890" s="26"/>
      <c r="J1890" s="26"/>
      <c r="K1890" s="26"/>
    </row>
    <row r="1891">
      <c r="B1891" s="26"/>
      <c r="C1891" s="26"/>
      <c r="D1891" s="26"/>
      <c r="J1891" s="26"/>
      <c r="K1891" s="26"/>
    </row>
    <row r="1892">
      <c r="B1892" s="26"/>
      <c r="C1892" s="26"/>
      <c r="D1892" s="26"/>
      <c r="J1892" s="26"/>
      <c r="K1892" s="26"/>
    </row>
    <row r="1893">
      <c r="B1893" s="26"/>
      <c r="C1893" s="26"/>
      <c r="D1893" s="26"/>
      <c r="J1893" s="26"/>
      <c r="K1893" s="26"/>
    </row>
    <row r="1894">
      <c r="B1894" s="26"/>
      <c r="C1894" s="26"/>
      <c r="D1894" s="26"/>
      <c r="J1894" s="26"/>
      <c r="K1894" s="26"/>
    </row>
    <row r="1895">
      <c r="B1895" s="26"/>
      <c r="C1895" s="26"/>
      <c r="D1895" s="26"/>
      <c r="J1895" s="26"/>
      <c r="K1895" s="26"/>
    </row>
    <row r="1896">
      <c r="B1896" s="26"/>
      <c r="C1896" s="26"/>
      <c r="D1896" s="26"/>
      <c r="J1896" s="26"/>
      <c r="K1896" s="26"/>
    </row>
    <row r="1897">
      <c r="B1897" s="26"/>
      <c r="C1897" s="26"/>
      <c r="D1897" s="26"/>
      <c r="J1897" s="26"/>
      <c r="K1897" s="26"/>
    </row>
    <row r="1898">
      <c r="B1898" s="26"/>
      <c r="C1898" s="26"/>
      <c r="D1898" s="26"/>
      <c r="J1898" s="26"/>
      <c r="K1898" s="26"/>
    </row>
    <row r="1899">
      <c r="B1899" s="26"/>
      <c r="C1899" s="26"/>
      <c r="D1899" s="26"/>
      <c r="J1899" s="26"/>
      <c r="K1899" s="26"/>
    </row>
    <row r="1900">
      <c r="B1900" s="26"/>
      <c r="C1900" s="26"/>
      <c r="D1900" s="26"/>
      <c r="J1900" s="26"/>
      <c r="K1900" s="26"/>
    </row>
    <row r="1901">
      <c r="B1901" s="26"/>
      <c r="C1901" s="26"/>
      <c r="D1901" s="26"/>
      <c r="J1901" s="26"/>
      <c r="K1901" s="26"/>
    </row>
    <row r="1902">
      <c r="B1902" s="26"/>
      <c r="C1902" s="26"/>
      <c r="D1902" s="26"/>
      <c r="J1902" s="26"/>
      <c r="K1902" s="26"/>
    </row>
    <row r="1903">
      <c r="B1903" s="26"/>
      <c r="C1903" s="26"/>
      <c r="D1903" s="26"/>
      <c r="J1903" s="26"/>
      <c r="K1903" s="26"/>
    </row>
    <row r="1904">
      <c r="B1904" s="26"/>
      <c r="C1904" s="26"/>
      <c r="D1904" s="26"/>
      <c r="J1904" s="26"/>
      <c r="K1904" s="26"/>
    </row>
    <row r="1905">
      <c r="B1905" s="26"/>
      <c r="C1905" s="26"/>
      <c r="D1905" s="26"/>
      <c r="J1905" s="26"/>
      <c r="K1905" s="26"/>
    </row>
    <row r="1906">
      <c r="B1906" s="26"/>
      <c r="C1906" s="26"/>
      <c r="D1906" s="26"/>
      <c r="J1906" s="26"/>
      <c r="K1906" s="26"/>
    </row>
    <row r="1907">
      <c r="B1907" s="26"/>
      <c r="C1907" s="26"/>
      <c r="D1907" s="26"/>
      <c r="J1907" s="26"/>
      <c r="K1907" s="26"/>
    </row>
    <row r="1908">
      <c r="B1908" s="26"/>
      <c r="C1908" s="26"/>
      <c r="D1908" s="26"/>
      <c r="J1908" s="26"/>
      <c r="K1908" s="26"/>
    </row>
    <row r="1909">
      <c r="B1909" s="26"/>
      <c r="C1909" s="26"/>
      <c r="D1909" s="26"/>
      <c r="J1909" s="26"/>
      <c r="K1909" s="26"/>
    </row>
    <row r="1910">
      <c r="B1910" s="26"/>
      <c r="C1910" s="26"/>
      <c r="D1910" s="26"/>
      <c r="J1910" s="26"/>
      <c r="K1910" s="26"/>
    </row>
    <row r="1911">
      <c r="B1911" s="26"/>
      <c r="C1911" s="26"/>
      <c r="D1911" s="26"/>
      <c r="J1911" s="26"/>
      <c r="K1911" s="26"/>
    </row>
    <row r="1912">
      <c r="B1912" s="26"/>
      <c r="C1912" s="26"/>
      <c r="D1912" s="26"/>
      <c r="J1912" s="26"/>
      <c r="K1912" s="26"/>
    </row>
    <row r="1913">
      <c r="B1913" s="26"/>
      <c r="C1913" s="26"/>
      <c r="D1913" s="26"/>
      <c r="J1913" s="26"/>
      <c r="K1913" s="26"/>
    </row>
    <row r="1914">
      <c r="B1914" s="26"/>
      <c r="C1914" s="26"/>
      <c r="D1914" s="26"/>
      <c r="J1914" s="26"/>
      <c r="K1914" s="26"/>
    </row>
    <row r="1915">
      <c r="B1915" s="26"/>
      <c r="C1915" s="26"/>
      <c r="D1915" s="26"/>
      <c r="J1915" s="26"/>
      <c r="K1915" s="26"/>
    </row>
    <row r="1916">
      <c r="B1916" s="26"/>
      <c r="C1916" s="26"/>
      <c r="D1916" s="26"/>
      <c r="J1916" s="26"/>
      <c r="K1916" s="26"/>
    </row>
    <row r="1917">
      <c r="B1917" s="26"/>
      <c r="C1917" s="26"/>
      <c r="D1917" s="26"/>
      <c r="J1917" s="26"/>
      <c r="K1917" s="26"/>
    </row>
    <row r="1918">
      <c r="B1918" s="26"/>
      <c r="C1918" s="26"/>
      <c r="D1918" s="26"/>
      <c r="J1918" s="26"/>
      <c r="K1918" s="26"/>
    </row>
    <row r="1919">
      <c r="B1919" s="26"/>
      <c r="C1919" s="26"/>
      <c r="D1919" s="26"/>
      <c r="J1919" s="26"/>
      <c r="K1919" s="26"/>
    </row>
    <row r="1920">
      <c r="B1920" s="26"/>
      <c r="C1920" s="26"/>
      <c r="D1920" s="26"/>
      <c r="J1920" s="26"/>
      <c r="K1920" s="26"/>
    </row>
    <row r="1921">
      <c r="B1921" s="26"/>
      <c r="C1921" s="26"/>
      <c r="D1921" s="26"/>
      <c r="J1921" s="26"/>
      <c r="K1921" s="26"/>
    </row>
    <row r="1922">
      <c r="B1922" s="26"/>
      <c r="C1922" s="26"/>
      <c r="D1922" s="26"/>
      <c r="J1922" s="26"/>
      <c r="K1922" s="26"/>
    </row>
    <row r="1923">
      <c r="B1923" s="26"/>
      <c r="C1923" s="26"/>
      <c r="D1923" s="26"/>
      <c r="J1923" s="26"/>
      <c r="K1923" s="26"/>
    </row>
    <row r="1924">
      <c r="B1924" s="26"/>
      <c r="C1924" s="26"/>
      <c r="D1924" s="26"/>
      <c r="J1924" s="26"/>
      <c r="K1924" s="26"/>
    </row>
    <row r="1925">
      <c r="B1925" s="26"/>
      <c r="C1925" s="26"/>
      <c r="D1925" s="26"/>
      <c r="J1925" s="26"/>
      <c r="K1925" s="26"/>
    </row>
    <row r="1926">
      <c r="B1926" s="26"/>
      <c r="C1926" s="26"/>
      <c r="D1926" s="26"/>
      <c r="J1926" s="26"/>
      <c r="K1926" s="26"/>
    </row>
    <row r="1927">
      <c r="B1927" s="26"/>
      <c r="C1927" s="26"/>
      <c r="D1927" s="26"/>
      <c r="J1927" s="26"/>
      <c r="K1927" s="26"/>
    </row>
    <row r="1928">
      <c r="B1928" s="26"/>
      <c r="C1928" s="26"/>
      <c r="D1928" s="26"/>
      <c r="J1928" s="26"/>
      <c r="K1928" s="26"/>
    </row>
    <row r="1929">
      <c r="B1929" s="26"/>
      <c r="C1929" s="26"/>
      <c r="D1929" s="26"/>
      <c r="J1929" s="26"/>
      <c r="K1929" s="26"/>
    </row>
    <row r="1930">
      <c r="B1930" s="26"/>
      <c r="C1930" s="26"/>
      <c r="D1930" s="26"/>
      <c r="J1930" s="26"/>
      <c r="K1930" s="26"/>
    </row>
    <row r="1931">
      <c r="B1931" s="26"/>
      <c r="C1931" s="26"/>
      <c r="D1931" s="26"/>
      <c r="J1931" s="26"/>
      <c r="K1931" s="26"/>
    </row>
    <row r="1932">
      <c r="B1932" s="26"/>
      <c r="C1932" s="26"/>
      <c r="D1932" s="26"/>
      <c r="J1932" s="26"/>
      <c r="K1932" s="26"/>
    </row>
    <row r="1933">
      <c r="B1933" s="26"/>
      <c r="C1933" s="26"/>
      <c r="D1933" s="26"/>
      <c r="J1933" s="26"/>
      <c r="K1933" s="26"/>
    </row>
    <row r="1934">
      <c r="B1934" s="26"/>
      <c r="C1934" s="26"/>
      <c r="D1934" s="26"/>
      <c r="J1934" s="26"/>
      <c r="K1934" s="26"/>
    </row>
    <row r="1935">
      <c r="B1935" s="26"/>
      <c r="C1935" s="26"/>
      <c r="D1935" s="26"/>
      <c r="J1935" s="26"/>
      <c r="K1935" s="26"/>
    </row>
    <row r="1936">
      <c r="B1936" s="26"/>
      <c r="C1936" s="26"/>
      <c r="D1936" s="26"/>
      <c r="J1936" s="26"/>
      <c r="K1936" s="26"/>
    </row>
    <row r="1937">
      <c r="B1937" s="26"/>
      <c r="C1937" s="26"/>
      <c r="D1937" s="26"/>
      <c r="J1937" s="26"/>
      <c r="K1937" s="26"/>
    </row>
    <row r="1938">
      <c r="B1938" s="26"/>
      <c r="C1938" s="26"/>
      <c r="D1938" s="26"/>
      <c r="J1938" s="26"/>
      <c r="K1938" s="26"/>
    </row>
    <row r="1939">
      <c r="B1939" s="26"/>
      <c r="C1939" s="26"/>
      <c r="D1939" s="26"/>
      <c r="J1939" s="26"/>
      <c r="K1939" s="26"/>
    </row>
    <row r="1940">
      <c r="B1940" s="26"/>
      <c r="C1940" s="26"/>
      <c r="D1940" s="26"/>
      <c r="J1940" s="26"/>
      <c r="K1940" s="26"/>
    </row>
    <row r="1941">
      <c r="B1941" s="26"/>
      <c r="C1941" s="26"/>
      <c r="D1941" s="26"/>
      <c r="J1941" s="26"/>
      <c r="K1941" s="26"/>
    </row>
    <row r="1942">
      <c r="B1942" s="26"/>
      <c r="C1942" s="26"/>
      <c r="D1942" s="26"/>
      <c r="J1942" s="26"/>
      <c r="K1942" s="26"/>
    </row>
    <row r="1943">
      <c r="B1943" s="26"/>
      <c r="C1943" s="26"/>
      <c r="D1943" s="26"/>
      <c r="J1943" s="26"/>
      <c r="K1943" s="26"/>
    </row>
    <row r="1944">
      <c r="B1944" s="26"/>
      <c r="C1944" s="26"/>
      <c r="D1944" s="26"/>
      <c r="J1944" s="26"/>
      <c r="K1944" s="26"/>
    </row>
    <row r="1945">
      <c r="B1945" s="26"/>
      <c r="C1945" s="26"/>
      <c r="D1945" s="26"/>
      <c r="J1945" s="26"/>
      <c r="K1945" s="26"/>
    </row>
    <row r="1946">
      <c r="B1946" s="26"/>
      <c r="C1946" s="26"/>
      <c r="D1946" s="26"/>
      <c r="J1946" s="26"/>
      <c r="K1946" s="26"/>
    </row>
    <row r="1947">
      <c r="B1947" s="26"/>
      <c r="C1947" s="26"/>
      <c r="D1947" s="26"/>
      <c r="J1947" s="26"/>
      <c r="K1947" s="26"/>
    </row>
    <row r="1948">
      <c r="B1948" s="26"/>
      <c r="C1948" s="26"/>
      <c r="D1948" s="26"/>
      <c r="J1948" s="26"/>
      <c r="K1948" s="26"/>
    </row>
    <row r="1949">
      <c r="B1949" s="26"/>
      <c r="C1949" s="26"/>
      <c r="D1949" s="26"/>
      <c r="J1949" s="26"/>
      <c r="K1949" s="26"/>
    </row>
    <row r="1950">
      <c r="B1950" s="26"/>
      <c r="C1950" s="26"/>
      <c r="D1950" s="26"/>
      <c r="J1950" s="26"/>
      <c r="K1950" s="26"/>
    </row>
    <row r="1951">
      <c r="B1951" s="26"/>
      <c r="C1951" s="26"/>
      <c r="D1951" s="26"/>
      <c r="J1951" s="26"/>
      <c r="K1951" s="26"/>
    </row>
    <row r="1952">
      <c r="B1952" s="26"/>
      <c r="C1952" s="26"/>
      <c r="D1952" s="26"/>
      <c r="J1952" s="26"/>
      <c r="K1952" s="26"/>
    </row>
    <row r="1953">
      <c r="B1953" s="26"/>
      <c r="C1953" s="26"/>
      <c r="D1953" s="26"/>
      <c r="J1953" s="26"/>
      <c r="K1953" s="26"/>
    </row>
    <row r="1954">
      <c r="B1954" s="26"/>
      <c r="C1954" s="26"/>
      <c r="D1954" s="26"/>
      <c r="J1954" s="26"/>
      <c r="K1954" s="26"/>
    </row>
    <row r="1955">
      <c r="B1955" s="26"/>
      <c r="C1955" s="26"/>
      <c r="D1955" s="26"/>
      <c r="J1955" s="26"/>
      <c r="K1955" s="26"/>
    </row>
    <row r="1956">
      <c r="B1956" s="26"/>
      <c r="C1956" s="26"/>
      <c r="D1956" s="26"/>
      <c r="J1956" s="26"/>
      <c r="K1956" s="26"/>
    </row>
    <row r="1957">
      <c r="B1957" s="26"/>
      <c r="C1957" s="26"/>
      <c r="D1957" s="26"/>
      <c r="J1957" s="26"/>
      <c r="K1957" s="26"/>
    </row>
    <row r="1958">
      <c r="B1958" s="26"/>
      <c r="C1958" s="26"/>
      <c r="D1958" s="26"/>
      <c r="J1958" s="26"/>
      <c r="K1958" s="26"/>
    </row>
    <row r="1959">
      <c r="B1959" s="26"/>
      <c r="C1959" s="26"/>
      <c r="D1959" s="26"/>
      <c r="J1959" s="26"/>
      <c r="K1959" s="26"/>
    </row>
    <row r="1960">
      <c r="B1960" s="26"/>
      <c r="C1960" s="26"/>
      <c r="D1960" s="26"/>
      <c r="J1960" s="26"/>
      <c r="K1960" s="26"/>
    </row>
    <row r="1961">
      <c r="B1961" s="26"/>
      <c r="C1961" s="26"/>
      <c r="D1961" s="26"/>
      <c r="J1961" s="26"/>
      <c r="K1961" s="26"/>
    </row>
    <row r="1962">
      <c r="B1962" s="26"/>
      <c r="C1962" s="26"/>
      <c r="D1962" s="26"/>
      <c r="J1962" s="26"/>
      <c r="K1962" s="26"/>
    </row>
    <row r="1963">
      <c r="B1963" s="26"/>
      <c r="C1963" s="26"/>
      <c r="D1963" s="26"/>
      <c r="J1963" s="26"/>
      <c r="K1963" s="26"/>
    </row>
    <row r="1964">
      <c r="B1964" s="26"/>
      <c r="C1964" s="26"/>
      <c r="D1964" s="26"/>
      <c r="J1964" s="26"/>
      <c r="K1964" s="26"/>
    </row>
    <row r="1965">
      <c r="B1965" s="26"/>
      <c r="C1965" s="26"/>
      <c r="D1965" s="26"/>
      <c r="J1965" s="26"/>
      <c r="K1965" s="26"/>
    </row>
    <row r="1966">
      <c r="B1966" s="26"/>
      <c r="C1966" s="26"/>
      <c r="D1966" s="26"/>
      <c r="J1966" s="26"/>
      <c r="K1966" s="26"/>
    </row>
    <row r="1967">
      <c r="B1967" s="26"/>
      <c r="C1967" s="26"/>
      <c r="D1967" s="26"/>
      <c r="J1967" s="26"/>
      <c r="K1967" s="26"/>
    </row>
    <row r="1968">
      <c r="B1968" s="26"/>
      <c r="C1968" s="26"/>
      <c r="D1968" s="26"/>
      <c r="J1968" s="26"/>
      <c r="K1968" s="26"/>
    </row>
    <row r="1969">
      <c r="B1969" s="26"/>
      <c r="C1969" s="26"/>
      <c r="D1969" s="26"/>
      <c r="J1969" s="26"/>
      <c r="K1969" s="26"/>
    </row>
    <row r="1970">
      <c r="B1970" s="26"/>
      <c r="C1970" s="26"/>
      <c r="D1970" s="26"/>
      <c r="J1970" s="26"/>
      <c r="K1970" s="26"/>
    </row>
    <row r="1971">
      <c r="B1971" s="26"/>
      <c r="C1971" s="26"/>
      <c r="D1971" s="26"/>
      <c r="J1971" s="26"/>
      <c r="K1971" s="26"/>
    </row>
    <row r="1972">
      <c r="B1972" s="26"/>
      <c r="C1972" s="26"/>
      <c r="D1972" s="26"/>
      <c r="J1972" s="26"/>
      <c r="K1972" s="26"/>
    </row>
    <row r="1973">
      <c r="B1973" s="26"/>
      <c r="C1973" s="26"/>
      <c r="D1973" s="26"/>
      <c r="J1973" s="26"/>
      <c r="K1973" s="26"/>
    </row>
    <row r="1974">
      <c r="B1974" s="26"/>
      <c r="C1974" s="26"/>
      <c r="D1974" s="26"/>
      <c r="J1974" s="26"/>
      <c r="K1974" s="26"/>
    </row>
    <row r="1975">
      <c r="B1975" s="26"/>
      <c r="C1975" s="26"/>
      <c r="D1975" s="26"/>
      <c r="J1975" s="26"/>
      <c r="K1975" s="26"/>
    </row>
    <row r="1976">
      <c r="B1976" s="26"/>
      <c r="C1976" s="26"/>
      <c r="D1976" s="26"/>
      <c r="J1976" s="26"/>
      <c r="K1976" s="26"/>
    </row>
    <row r="1977">
      <c r="B1977" s="26"/>
      <c r="C1977" s="26"/>
      <c r="D1977" s="26"/>
      <c r="J1977" s="26"/>
      <c r="K1977" s="26"/>
    </row>
    <row r="1978">
      <c r="B1978" s="26"/>
      <c r="C1978" s="26"/>
      <c r="D1978" s="26"/>
      <c r="J1978" s="26"/>
      <c r="K1978" s="26"/>
    </row>
    <row r="1979">
      <c r="B1979" s="26"/>
      <c r="C1979" s="26"/>
      <c r="D1979" s="26"/>
      <c r="J1979" s="26"/>
      <c r="K1979" s="26"/>
    </row>
    <row r="1980">
      <c r="B1980" s="26"/>
      <c r="C1980" s="26"/>
      <c r="D1980" s="26"/>
      <c r="J1980" s="26"/>
      <c r="K1980" s="26"/>
    </row>
    <row r="1981">
      <c r="B1981" s="26"/>
      <c r="C1981" s="26"/>
      <c r="D1981" s="26"/>
      <c r="J1981" s="26"/>
      <c r="K1981" s="26"/>
    </row>
    <row r="1982">
      <c r="B1982" s="26"/>
      <c r="C1982" s="26"/>
      <c r="D1982" s="26"/>
      <c r="J1982" s="26"/>
      <c r="K1982" s="26"/>
    </row>
    <row r="1983">
      <c r="B1983" s="26"/>
      <c r="C1983" s="26"/>
      <c r="D1983" s="26"/>
      <c r="J1983" s="26"/>
      <c r="K1983" s="26"/>
    </row>
    <row r="1984">
      <c r="B1984" s="26"/>
      <c r="C1984" s="26"/>
      <c r="D1984" s="26"/>
      <c r="J1984" s="26"/>
      <c r="K1984" s="26"/>
    </row>
    <row r="1985">
      <c r="B1985" s="26"/>
      <c r="C1985" s="26"/>
      <c r="D1985" s="26"/>
      <c r="J1985" s="26"/>
      <c r="K1985" s="26"/>
    </row>
    <row r="1986">
      <c r="B1986" s="26"/>
      <c r="C1986" s="26"/>
      <c r="D1986" s="26"/>
      <c r="J1986" s="26"/>
      <c r="K1986" s="26"/>
    </row>
    <row r="1987">
      <c r="B1987" s="26"/>
      <c r="C1987" s="26"/>
      <c r="D1987" s="26"/>
      <c r="J1987" s="26"/>
      <c r="K1987" s="26"/>
    </row>
    <row r="1988">
      <c r="B1988" s="26"/>
      <c r="C1988" s="26"/>
      <c r="D1988" s="26"/>
      <c r="J1988" s="26"/>
      <c r="K1988" s="26"/>
    </row>
    <row r="1989">
      <c r="B1989" s="26"/>
      <c r="C1989" s="26"/>
      <c r="D1989" s="26"/>
      <c r="J1989" s="26"/>
      <c r="K1989" s="26"/>
    </row>
    <row r="1990">
      <c r="B1990" s="26"/>
      <c r="C1990" s="26"/>
      <c r="D1990" s="26"/>
      <c r="J1990" s="26"/>
      <c r="K1990" s="26"/>
    </row>
    <row r="1991">
      <c r="B1991" s="26"/>
      <c r="C1991" s="26"/>
      <c r="D1991" s="26"/>
      <c r="J1991" s="26"/>
      <c r="K1991" s="26"/>
    </row>
    <row r="1992">
      <c r="B1992" s="26"/>
      <c r="C1992" s="26"/>
      <c r="D1992" s="26"/>
      <c r="J1992" s="26"/>
      <c r="K1992" s="26"/>
    </row>
    <row r="1993">
      <c r="B1993" s="26"/>
      <c r="C1993" s="26"/>
      <c r="D1993" s="26"/>
      <c r="J1993" s="26"/>
      <c r="K1993" s="26"/>
    </row>
    <row r="1994">
      <c r="B1994" s="26"/>
      <c r="C1994" s="26"/>
      <c r="D1994" s="26"/>
      <c r="J1994" s="26"/>
      <c r="K1994" s="26"/>
    </row>
    <row r="1995">
      <c r="B1995" s="26"/>
      <c r="C1995" s="26"/>
      <c r="D1995" s="26"/>
      <c r="J1995" s="26"/>
      <c r="K1995" s="26"/>
    </row>
    <row r="1996">
      <c r="B1996" s="26"/>
      <c r="C1996" s="26"/>
      <c r="D1996" s="26"/>
      <c r="J1996" s="26"/>
      <c r="K1996" s="26"/>
    </row>
    <row r="1997">
      <c r="B1997" s="26"/>
      <c r="C1997" s="26"/>
      <c r="D1997" s="26"/>
      <c r="J1997" s="26"/>
      <c r="K1997" s="26"/>
    </row>
    <row r="1998">
      <c r="B1998" s="26"/>
      <c r="C1998" s="26"/>
      <c r="D1998" s="26"/>
      <c r="J1998" s="26"/>
      <c r="K1998" s="26"/>
    </row>
    <row r="1999">
      <c r="B1999" s="26"/>
      <c r="C1999" s="26"/>
      <c r="D1999" s="26"/>
      <c r="J1999" s="26"/>
      <c r="K1999" s="26"/>
    </row>
    <row r="2000">
      <c r="B2000" s="26"/>
      <c r="C2000" s="26"/>
      <c r="D2000" s="26"/>
      <c r="J2000" s="26"/>
      <c r="K2000" s="26"/>
    </row>
  </sheetData>
  <conditionalFormatting sqref="M8:M59">
    <cfRule type="containsText" dxfId="16" priority="1" operator="containsText" text="Falta"/>
    <cfRule type="containsText" dxfId="17" priority="2" operator="containsText" text="Revisar"/>
    <cfRule type="containsText" dxfId="18" priority="3" operator="containsText" text="Duplicado"/>
    <cfRule type="containsText" dxfId="19" priority="4" operator="containsText" text="Vencida"/>
    <cfRule type="containsText" dxfId="20" priority="5" operator="containsText" text="No existe"/>
    <cfRule type="containsText" dxfId="21" priority="6" operator="containsText" text="Solape"/>
    <cfRule type="containsText" dxfId="22" priority="7" operator="containsText" text="Fuera"/>
    <cfRule type="containsText" dxfId="23" priority="8" operator="containsText" text="Aceptada"/>
  </conditionalFormatting>
  <conditionalFormatting sqref="Q8:Q59">
    <cfRule type="containsText" dxfId="24" priority="9" operator="containsText" text="Falta"/>
    <cfRule type="containsText" dxfId="25" priority="10" operator="containsText" text="Revisar"/>
    <cfRule type="containsText" dxfId="26" priority="11" operator="containsText" text="Duplicado"/>
    <cfRule type="containsText" dxfId="27" priority="12" operator="containsText" text="Vencida"/>
    <cfRule type="containsText" dxfId="28" priority="13" operator="containsText" text="No existe"/>
    <cfRule type="containsText" dxfId="29" priority="14" operator="containsText" text="Solape"/>
    <cfRule type="containsText" dxfId="30" priority="15" operator="containsText" text="Fuera"/>
    <cfRule type="containsText" dxfId="31" priority="16" operator="containsText" text="Aceptada"/>
  </conditionalFormatting>
  <dataValidations count="6">
    <dataValidation type="list" sqref="B8:B2000">
      <formula1>"P0,P1,P2"</formula1>
    </dataValidation>
    <dataValidation type="list" sqref="C8:C2000">
      <formula1>"Propuesto,Incluido,Descartado"</formula1>
    </dataValidation>
    <dataValidation type="list" sqref="D8:D2000">
      <formula1>"Pablo,Amin,Ferran,Iker,Uri,David"</formula1>
    </dataValidation>
    <dataValidation type="list" sqref="J8:J2000">
      <formula1>"Pendiente,Aceptado,Cambios"</formula1>
    </dataValidation>
    <dataValidation type="list" sqref="K8:K2000">
      <formula1>"Pablo,Amin,Ferran,Iker,Uri,David"</formula1>
    </dataValidation>
    <dataValidation type="whole" operator="between" sqref="L8:L2000">
      <formula1>1</formula1>
      <formula2>2958465</formula2>
    </dataValidation>
  </dataValidations>
  <hyperlinks>
    <hyperlink ref="A4" location="'Inicio'!A1"/>
    <hyperlink ref="A5" location="'Requisitos'!J8"/>
  </hyperlinks>
  <pageMargins left="0.7" right="0.7" top="0.75" bottom="0.75" header="0.3" footer="0.3"/>
  <tableParts count="1">
    <tablePart ns1:id="R3d45d2853df34a8d"/>
  </tableParts>
</worksheet>
</file>

<file path=xl/worksheets/sheet4.xml><?xml version="1.0" encoding="utf-8"?>
<worksheet xmlns="http://schemas.openxmlformats.org/spreadsheetml/2006/main" xmlns:ns1="http://schemas.openxmlformats.org/officeDocument/2006/relationships">
  <sheetPr>
    <tabColor rgb="FF18344A"/>
  </sheetPr>
  <sheetViews>
    <sheetView showGridLines="0" workbookViewId="0">
      <pane xSplit="2" ySplit="7" topLeftCell="C8" activePane="bottomRight" state="frozen"/>
    </sheetView>
  </sheetViews>
  <sheetFormatPr defaultRowHeight="15"/>
  <cols>
    <col min="1" max="1" width="13" hidden="0" customWidth="1"/>
    <col min="2" max="2" width="13" hidden="0" customWidth="1"/>
    <col min="3" max="3" width="14" hidden="0" customWidth="1"/>
    <col min="4" max="4" width="17" hidden="0" customWidth="1"/>
    <col min="5" max="5" width="30" hidden="0" customWidth="1"/>
    <col min="6" max="6" width="53" hidden="0" customWidth="1"/>
    <col min="7" max="7" width="56" hidden="0" customWidth="1"/>
    <col min="8" max="8" width="76" hidden="0" customWidth="1"/>
    <col min="9" max="9" width="34" hidden="0" customWidth="1"/>
    <col min="10" max="10" width="20" hidden="0" customWidth="1"/>
    <col min="11" max="11" width="14" hidden="0" customWidth="1"/>
    <col min="12" max="12" width="25" hidden="0" customWidth="1"/>
    <col min="13" max="13" width="26" hidden="0" customWidth="1"/>
  </cols>
  <sheetData>
    <row r="1" ht="22" customHeight="1">
      <c r="A1" s="3"/>
      <c r="B1" s="3"/>
      <c r="C1" s="3"/>
      <c r="D1" s="3"/>
      <c r="E1" s="3"/>
      <c r="F1" s="3"/>
      <c r="G1" s="3"/>
      <c r="H1" s="3"/>
      <c r="I1" s="3"/>
      <c r="J1" s="3"/>
      <c r="K1" s="3"/>
      <c r="L1" s="3"/>
      <c r="M1" s="3"/>
    </row>
    <row r="2" ht="22" customHeight="1">
      <c r="A2" s="5" t="str">
        <v>Verificación del juego</v>
      </c>
      <c r="B2" s="3"/>
      <c r="C2" s="3"/>
      <c r="D2" s="3"/>
      <c r="E2" s="3"/>
      <c r="F2" s="3"/>
      <c r="G2" s="3"/>
      <c r="H2" s="3"/>
      <c r="I2" s="3"/>
      <c r="J2" s="3"/>
      <c r="K2" s="3"/>
      <c r="L2" s="3"/>
      <c r="M2" s="3"/>
    </row>
    <row r="3" ht="22" customHeight="1">
      <c r="A3" s="7" t="str">
        <v>Registrar Resultado, Evidencia, Build y Fecha. Una prueba sin estos datos no cuenta como válida.</v>
      </c>
      <c r="B3" s="3"/>
      <c r="C3" s="3"/>
      <c r="D3" s="3"/>
      <c r="E3" s="3"/>
      <c r="F3" s="3"/>
      <c r="G3" s="3"/>
      <c r="H3" s="3"/>
      <c r="I3" s="3"/>
      <c r="J3" s="3"/>
      <c r="K3" s="3"/>
      <c r="L3" s="3"/>
      <c r="M3" s="3"/>
    </row>
    <row r="4" ht="22" customHeight="1">
      <c r="A4" s="8" t="str">
        <v>← Inicio</v>
      </c>
      <c r="B4" s="3"/>
      <c r="C4" s="3"/>
      <c r="D4" s="3"/>
      <c r="E4" s="3"/>
      <c r="F4" s="3"/>
      <c r="G4" s="3"/>
      <c r="H4" s="3"/>
      <c r="I4" s="3"/>
      <c r="J4" s="3"/>
      <c r="K4" s="3"/>
      <c r="L4" s="3"/>
      <c r="M4" s="3"/>
    </row>
    <row r="5" ht="22" customHeight="1">
      <c r="A5" s="8" t="str">
        <v>Registrar evidencia de pruebas →</v>
      </c>
      <c r="B5" s="3"/>
      <c r="C5" s="3"/>
      <c r="D5" s="3"/>
      <c r="E5" s="3"/>
      <c r="F5" s="3"/>
      <c r="G5" s="3"/>
      <c r="H5" s="3"/>
      <c r="I5" s="3"/>
      <c r="J5" s="3"/>
      <c r="K5" s="3"/>
      <c r="L5" s="3"/>
      <c r="M5" s="3"/>
    </row>
    <row r="6" ht="22" customHeight="1">
      <c r="A6" s="3"/>
      <c r="B6" s="3"/>
      <c r="C6" s="3"/>
      <c r="D6" s="3"/>
      <c r="E6" s="3"/>
      <c r="F6" s="3"/>
      <c r="G6" s="3"/>
      <c r="H6" s="3"/>
      <c r="I6" s="3"/>
      <c r="J6" s="3"/>
      <c r="K6" s="3"/>
      <c r="L6" s="3"/>
      <c r="M6" s="3"/>
    </row>
    <row r="7" ht="38" customHeight="1">
      <c r="A7" s="21" t="str">
        <v>ID</v>
      </c>
      <c r="B7" s="21" t="str">
        <v>Requisito</v>
      </c>
      <c r="C7" s="21" t="str">
        <v>Ejecuta</v>
      </c>
      <c r="D7" s="21" t="str">
        <v>Resultado</v>
      </c>
      <c r="E7" s="21" t="str">
        <v>Caso</v>
      </c>
      <c r="F7" s="21" t="str">
        <v>Preparacion</v>
      </c>
      <c r="G7" s="21" t="str">
        <v>Pasos</v>
      </c>
      <c r="H7" s="21" t="str">
        <v>Esperado</v>
      </c>
      <c r="I7" s="21" t="str">
        <v>Evidencia</v>
      </c>
      <c r="J7" s="21" t="str">
        <v>Build</v>
      </c>
      <c r="K7" s="21" t="str">
        <v>Fecha</v>
      </c>
      <c r="L7" s="21" t="str">
        <v>Validez</v>
      </c>
      <c r="M7" s="21" t="str">
        <v>Control</v>
      </c>
    </row>
    <row r="8" ht="40" customHeight="1">
      <c r="A8" s="23" t="str">
        <v>V-001</v>
      </c>
      <c r="B8" s="25" t="str">
        <v>RQ-001</v>
      </c>
      <c r="C8" s="25" t="str">
        <v>Uri</v>
      </c>
      <c r="D8" s="25" t="str">
        <v>Sin ejecutar</v>
      </c>
      <c r="E8" s="25" t="str">
        <v>Ciclo completo</v>
      </c>
      <c r="F8" s="25" t="str">
        <v>Sesión nueva con modo de prueba que permita terminar las fases.</v>
      </c>
      <c r="G8" s="25" t="str">
        <v>Destruir todos los enemigos y el jefe sin perder todas las vidas.</v>
      </c>
      <c r="H8" s="25" t="str">
        <v>Completar oleadas 1, 2 y 3 y jefe permite alcanzar Victoria.</v>
      </c>
      <c r="I8" s="25" t="str"/>
      <c r="J8" s="25" t="str"/>
      <c r="K8" s="34"/>
      <c r="L8"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8"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9" ht="54" customHeight="1">
      <c r="A9" s="13" t="str">
        <v>V-002</v>
      </c>
      <c r="B9" s="25" t="str">
        <v>RQ-002</v>
      </c>
      <c r="C9" s="25" t="str">
        <v>Uri</v>
      </c>
      <c r="D9" s="25" t="str">
        <v>Sin ejecutar</v>
      </c>
      <c r="E9" s="25" t="str">
        <v>Duración objetivo</v>
      </c>
      <c r="F9" s="25" t="str">
        <v>Build identificada; tres personas con experiencia distinta; seis partidas completas.</v>
      </c>
      <c r="G9" s="25" t="str">
        <v>Medir, calcular medianas y dejar la decisión de balance en Acuerdos.</v>
      </c>
      <c r="H9" s="25" t="str">
        <v>Tres personas completan dos partidas cada una. Registrar seis tiempos, muertes y medianas por persona. Si una mediana queda fuera de 300–480 s, registrar el ajuste o la desviación aceptada por el grupo. Las pausas se excluyen.</v>
      </c>
      <c r="I9" s="25" t="str"/>
      <c r="J9" s="25" t="str"/>
      <c r="K9" s="34"/>
      <c r="L9"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9"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10" ht="54" customHeight="1">
      <c r="A10" s="23" t="str">
        <v>V-003</v>
      </c>
      <c r="B10" s="25" t="str">
        <v>RQ-003</v>
      </c>
      <c r="C10" s="25" t="str">
        <v>Uri</v>
      </c>
      <c r="D10" s="25" t="str">
        <v>Sin ejecutar</v>
      </c>
      <c r="E10" s="25" t="str">
        <v>Movimiento lateral</v>
      </c>
      <c r="F10" s="25" t="str">
        <v>Nave x=0; radio 0,32; paso 1/60 s.</v>
      </c>
      <c r="G10" s="25" t="str">
        <v>Mantener derecha 1 s y luego 3 s más.</v>
      </c>
      <c r="H10" s="25" t="str">
        <v>Con configuración de referencia (velocidad 6 u/s y radio 0,32), 60 pasos desde x=0 desplazan el centro a x=6 ±0,01 u. Tras mantener la dirección 3 s más, no supera x=7,68. Repetir a la izquierda.</v>
      </c>
      <c r="I10" s="25" t="str"/>
      <c r="J10" s="25" t="str"/>
      <c r="K10" s="34"/>
      <c r="L10"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10"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11" ht="36" customHeight="1">
      <c r="A11" s="13" t="str">
        <v>V-004</v>
      </c>
      <c r="B11" s="25" t="str">
        <v>RQ-004</v>
      </c>
      <c r="C11" s="25" t="str">
        <v>Uri</v>
      </c>
      <c r="D11" s="25" t="str">
        <v>Sin ejecutar</v>
      </c>
      <c r="E11" s="25" t="str">
        <v>Direcciones opuestas</v>
      </c>
      <c r="F11" s="25" t="str">
        <v>Nave x=0; ambas direcciones sostenidas.</v>
      </c>
      <c r="G11" s="25" t="str">
        <v>Actualizar durante 2 s.</v>
      </c>
      <c r="H11" s="25" t="str">
        <v>Desplazamiento neto menor de 0,001 unidades.</v>
      </c>
      <c r="I11" s="25" t="str"/>
      <c r="J11" s="25" t="str"/>
      <c r="K11" s="34"/>
      <c r="L11"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11"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12" ht="40" customHeight="1">
      <c r="A12" s="23" t="str">
        <v>V-005</v>
      </c>
      <c r="B12" s="25" t="str">
        <v>RQ-005</v>
      </c>
      <c r="C12" s="25" t="str">
        <v>Uri</v>
      </c>
      <c r="D12" s="25" t="str">
        <v>Sin ejecutar</v>
      </c>
      <c r="E12" s="25" t="str">
        <v>Cadencia de disparo</v>
      </c>
      <c r="F12" s="25" t="str">
        <v>Campo con eliminación inmediata de balas y cooldown inicial 0.</v>
      </c>
      <c r="G12" s="25" t="str">
        <v>Mantener Espacio 2 s; registrar instantes de emisión.</v>
      </c>
      <c r="H12" s="25" t="str">
        <v>Con paso 1/60 s, recarga reiniciada y sin límite activo: 9 emisiones en [0;2) s.</v>
      </c>
      <c r="I12" s="25" t="str"/>
      <c r="J12" s="25" t="str"/>
      <c r="K12" s="34"/>
      <c r="L12"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12"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13" ht="36" customHeight="1">
      <c r="A13" s="13" t="str">
        <v>V-006</v>
      </c>
      <c r="B13" s="25" t="str">
        <v>RQ-006</v>
      </c>
      <c r="C13" s="25" t="str">
        <v>Uri</v>
      </c>
      <c r="D13" s="25" t="str">
        <v>Sin ejecutar</v>
      </c>
      <c r="E13" s="25" t="str">
        <v>Máximo de balas aliadas</v>
      </c>
      <c r="F13" s="25" t="str">
        <v>Cuatro balas aliadas activas; cooldown libre.</v>
      </c>
      <c r="G13" s="25" t="str">
        <v>Intentar disparar, eliminar una bala y volver a intentar.</v>
      </c>
      <c r="H13" s="25" t="str">
        <v>El quinto intento no crea bala; al liberar un hueco se puede disparar.</v>
      </c>
      <c r="I13" s="25" t="str"/>
      <c r="J13" s="25" t="str"/>
      <c r="K13" s="34"/>
      <c r="L13"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13"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14" ht="40" customHeight="1">
      <c r="A14" s="23" t="str">
        <v>V-007</v>
      </c>
      <c r="B14" s="25" t="str">
        <v>RQ-007</v>
      </c>
      <c r="C14" s="25" t="str">
        <v>Uri</v>
      </c>
      <c r="D14" s="25" t="str">
        <v>Sin ejecutar</v>
      </c>
      <c r="E14" s="25" t="str">
        <v>Velocidad de proyectil</v>
      </c>
      <c r="F14" s="25" t="str">
        <v>Bala en y=-4 y sin objetivos.</v>
      </c>
      <c r="G14" s="25" t="str">
        <v>Simular 0,5 s; comparar posición final.</v>
      </c>
      <c r="H14" s="25" t="str">
        <v>Con h=1/60 s, sin obstáculos y desde y=0: tras 30 pasos su desplazamiento es 9 ±0,01 u; x y PlaneId se conservan.</v>
      </c>
      <c r="I14" s="25" t="str"/>
      <c r="J14" s="25" t="str"/>
      <c r="K14" s="34"/>
      <c r="L14"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14"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15" ht="40" customHeight="1">
      <c r="A15" s="13" t="str">
        <v>V-008</v>
      </c>
      <c r="B15" s="25" t="str">
        <v>RQ-008</v>
      </c>
      <c r="C15" s="25" t="str">
        <v>Uri</v>
      </c>
      <c r="D15" s="25" t="str">
        <v>Sin ejecutar</v>
      </c>
      <c r="E15" s="25" t="str">
        <v>Entrada</v>
      </c>
      <c r="F15" s="25" t="str">
        <v>Enemigo con slot y ruta conocidos.</v>
      </c>
      <c r="G15" s="25" t="str">
        <v>Simular la entrada completa.</v>
      </c>
      <c r="H15" s="25" t="str">
        <v>Al finalizar la ruta, el estado es Formación y la distancia al slot actual es ≤0,01 u. No hay dos enemigos vivos ocupando el mismo slot.</v>
      </c>
      <c r="I15" s="25" t="str"/>
      <c r="J15" s="25" t="str"/>
      <c r="K15" s="34"/>
      <c r="L15"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15"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16" ht="36" customHeight="1">
      <c r="A16" s="23" t="str">
        <v>V-009</v>
      </c>
      <c r="B16" s="25" t="str">
        <v>RQ-009</v>
      </c>
      <c r="C16" s="25" t="str">
        <v>Uri</v>
      </c>
      <c r="D16" s="25" t="str">
        <v>Sin ejecutar</v>
      </c>
      <c r="E16" s="25" t="str">
        <v>Formación</v>
      </c>
      <c r="F16" s="25" t="str">
        <v>Formación de 6 columnas y 5 filas; amplitud x=0,45.</v>
      </c>
      <c r="G16" s="25" t="str">
        <v>Simular un periodo de 4 s; comprobar extremos.</v>
      </c>
      <c r="H16" s="25" t="str">
        <v>Hasta 30 slots quedan entre y=1 y y=6; x dentro del campo.</v>
      </c>
      <c r="I16" s="25" t="str"/>
      <c r="J16" s="25" t="str"/>
      <c r="K16" s="34"/>
      <c r="L16"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16"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17" ht="40" customHeight="1">
      <c r="A17" s="13" t="str">
        <v>V-010</v>
      </c>
      <c r="B17" s="25" t="str">
        <v>RQ-010</v>
      </c>
      <c r="C17" s="25" t="str">
        <v>Uri</v>
      </c>
      <c r="D17" s="25" t="str">
        <v>Sin ejecutar</v>
      </c>
      <c r="E17" s="25" t="str">
        <v>Aviso de picado</v>
      </c>
      <c r="F17" s="25" t="str">
        <v>Un enemigo en Formación y director listo.</v>
      </c>
      <c r="G17" s="25" t="str">
        <v>Seleccionarlo; observar estado y temporizador.</v>
      </c>
      <c r="H17" s="25" t="str">
        <v>Sin bala ni Picado antes de 0,65 s activos. Con h=1/60 s, pasa a Picado entre 0,65 s y 0,65 s+h usando tolerancia numérica de 10⁻⁶ s.</v>
      </c>
      <c r="I17" s="25" t="str"/>
      <c r="J17" s="25" t="str"/>
      <c r="K17" s="34"/>
      <c r="L17"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17"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18" ht="36" customHeight="1">
      <c r="A18" s="23" t="str">
        <v>V-011</v>
      </c>
      <c r="B18" s="25" t="str">
        <v>RQ-011</v>
      </c>
      <c r="C18" s="25" t="str">
        <v>Uri</v>
      </c>
      <c r="D18" s="25" t="str">
        <v>Sin ejecutar</v>
      </c>
      <c r="E18" s="25" t="str">
        <v>Objetivo de picado fijado</v>
      </c>
      <c r="F18" s="25" t="str">
        <v>Enemigo en Aviso; jugador x=-3.</v>
      </c>
      <c r="G18" s="25" t="str">
        <v>Terminar aviso y mover jugador a x=3 durante el picado.</v>
      </c>
      <c r="H18" s="25" t="str">
        <v>Mover al jugador después no modifica los puntos de control ya fijados.</v>
      </c>
      <c r="I18" s="25" t="str"/>
      <c r="J18" s="25" t="str"/>
      <c r="K18" s="34"/>
      <c r="L18"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18"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19" ht="40" customHeight="1">
      <c r="A19" s="13" t="str">
        <v>V-012</v>
      </c>
      <c r="B19" s="25" t="str">
        <v>RQ-012</v>
      </c>
      <c r="C19" s="25" t="str">
        <v>Uri</v>
      </c>
      <c r="D19" s="25" t="str">
        <v>Sin ejecutar</v>
      </c>
      <c r="E19" s="25" t="str">
        <v>Retorno al slot</v>
      </c>
      <c r="F19" s="25" t="str">
        <v>Enemigo vivo que llega al final de Picado.</v>
      </c>
      <c r="G19" s="25" t="str">
        <v>Simular Retorno y observar posición y slotId.</v>
      </c>
      <c r="H19" s="25" t="str">
        <v>Tras Retorno, el enemigo vuelve a Formación a ≤0,01 u de su slot actual; el slotId se conserva y no se asigna a otro enemigo vivo.</v>
      </c>
      <c r="I19" s="25" t="str"/>
      <c r="J19" s="25" t="str"/>
      <c r="K19" s="34"/>
      <c r="L19"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19"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20" ht="36" customHeight="1">
      <c r="A20" s="23" t="str">
        <v>V-013</v>
      </c>
      <c r="B20" s="25" t="str">
        <v>RQ-013</v>
      </c>
      <c r="C20" s="25" t="str">
        <v>Uri</v>
      </c>
      <c r="D20" s="25" t="str">
        <v>Sin ejecutar</v>
      </c>
      <c r="E20" s="25" t="str">
        <v>Muerte única</v>
      </c>
      <c r="F20" s="25" t="str">
        <v>Enemigo hp=1 y dos balas en contacto simultáneo.</v>
      </c>
      <c r="G20" s="25" t="str">
        <v>Resolver ambos contactos en el mismo paso.</v>
      </c>
      <c r="H20" s="25" t="str">
        <v>Dos impactos letales en el mismo paso producen una sola baja y recompensa.</v>
      </c>
      <c r="I20" s="25" t="str"/>
      <c r="J20" s="25" t="str"/>
      <c r="K20" s="34"/>
      <c r="L20"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20"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21" ht="36" customHeight="1">
      <c r="A21" s="13" t="str">
        <v>V-014</v>
      </c>
      <c r="B21" s="25" t="str">
        <v>RQ-014</v>
      </c>
      <c r="C21" s="25" t="str">
        <v>Uri</v>
      </c>
      <c r="D21" s="25" t="str">
        <v>Sin ejecutar</v>
      </c>
      <c r="E21" s="25" t="str">
        <v>Oleada 1</v>
      </c>
      <c r="F21" s="25" t="str">
        <v>Sesión nueva; registro de spawn.</v>
      </c>
      <c r="G21" s="25" t="str">
        <v>Ejecutar el programa de aparición de oleada 1.</v>
      </c>
      <c r="H21" s="25" t="str">
        <v>Se crean exactamente 18 enemigos de los tipos indicados.</v>
      </c>
      <c r="I21" s="25" t="str"/>
      <c r="J21" s="25" t="str"/>
      <c r="K21" s="34"/>
      <c r="L21"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21"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22" ht="36" customHeight="1">
      <c r="A22" s="23" t="str">
        <v>V-015</v>
      </c>
      <c r="B22" s="25" t="str">
        <v>RQ-015</v>
      </c>
      <c r="C22" s="25" t="str">
        <v>Uri</v>
      </c>
      <c r="D22" s="25" t="str">
        <v>Sin ejecutar</v>
      </c>
      <c r="E22" s="25" t="str">
        <v>Oleada 2</v>
      </c>
      <c r="F22" s="25" t="str">
        <v>Oleada 1 completada; registro de spawn.</v>
      </c>
      <c r="G22" s="25" t="str">
        <v>Completar transición y programa de oleada 2.</v>
      </c>
      <c r="H22" s="25" t="str">
        <v>Se crean 24 enemigos; guardián hp=2.</v>
      </c>
      <c r="I22" s="25" t="str"/>
      <c r="J22" s="25" t="str"/>
      <c r="K22" s="34"/>
      <c r="L22"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22"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23" ht="36" customHeight="1">
      <c r="A23" s="13" t="str">
        <v>V-016</v>
      </c>
      <c r="B23" s="25" t="str">
        <v>RQ-016</v>
      </c>
      <c r="C23" s="25" t="str">
        <v>Uri</v>
      </c>
      <c r="D23" s="25" t="str">
        <v>Sin ejecutar</v>
      </c>
      <c r="E23" s="25" t="str">
        <v>Oleada 3</v>
      </c>
      <c r="F23" s="25" t="str">
        <v>Oleada 3 activa.</v>
      </c>
      <c r="G23" s="25" t="str">
        <v>Ejecutar aparición y varios ciclos de ataque.</v>
      </c>
      <c r="H23" s="25" t="str">
        <v>Se crean 30 enemigos; máximo de tres picados simultáneos.</v>
      </c>
      <c r="I23" s="25" t="str"/>
      <c r="J23" s="25" t="str"/>
      <c r="K23" s="34"/>
      <c r="L23"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23"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24" ht="36" customHeight="1">
      <c r="A24" s="23" t="str">
        <v>V-017</v>
      </c>
      <c r="B24" s="25" t="str">
        <v>RQ-017</v>
      </c>
      <c r="C24" s="25" t="str">
        <v>Uri</v>
      </c>
      <c r="D24" s="25" t="str">
        <v>Sin ejecutar</v>
      </c>
      <c r="E24" s="25" t="str">
        <v>Condición de fin</v>
      </c>
      <c r="F24" s="25" t="str">
        <v>Un único enemigo vivo en Retorno, fuera del encuadre.</v>
      </c>
      <c r="G24" s="25" t="str">
        <v>Comprobar estado; destruirlo y comprobar transición.</v>
      </c>
      <c r="H24" s="25" t="str">
        <v>Un enemigo fuera de pantalla en Retorno impide la transición.</v>
      </c>
      <c r="I24" s="25" t="str"/>
      <c r="J24" s="25" t="str"/>
      <c r="K24" s="34"/>
      <c r="L24"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24"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25" ht="36" customHeight="1">
      <c r="A25" s="13" t="str">
        <v>V-018</v>
      </c>
      <c r="B25" s="25" t="str">
        <v>RQ-018</v>
      </c>
      <c r="C25" s="25" t="str">
        <v>Uri</v>
      </c>
      <c r="D25" s="25" t="str">
        <v>Sin ejecutar</v>
      </c>
      <c r="E25" s="25" t="str">
        <v>Jefe de 24 hp</v>
      </c>
      <c r="F25" s="25" t="str">
        <v>Oleada 3 completada; jefe tras Entrada.</v>
      </c>
      <c r="G25" s="25" t="str">
        <v>Contar impactos válidos y hp.</v>
      </c>
      <c r="H25" s="25" t="str">
        <v>No aparece antes; 24 impactos de daño 1 lo destruyen cuando es vulnerable.</v>
      </c>
      <c r="I25" s="25" t="str"/>
      <c r="J25" s="25" t="str"/>
      <c r="K25" s="34"/>
      <c r="L25"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25"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26" ht="36" customHeight="1">
      <c r="A26" s="23" t="str">
        <v>V-019</v>
      </c>
      <c r="B26" s="25" t="str">
        <v>RQ-019</v>
      </c>
      <c r="C26" s="25" t="str">
        <v>Uri</v>
      </c>
      <c r="D26" s="25" t="str">
        <v>Sin ejecutar</v>
      </c>
      <c r="E26" s="25" t="str">
        <v>Dos fases del jefe</v>
      </c>
      <c r="F26" s="25" t="str">
        <v>Jefe hp=13 durante Ráfaga.</v>
      </c>
      <c r="G26" s="25" t="str">
        <v>Causar un daño y observar el siguiente Aviso y ataque.</v>
      </c>
      <c r="H26" s="25" t="str">
        <v>No se mezcla un ataque iniciado en fase 1 con la nueva fase.</v>
      </c>
      <c r="I26" s="25" t="str"/>
      <c r="J26" s="25" t="str"/>
      <c r="K26" s="34"/>
      <c r="L26"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26"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27" ht="36" customHeight="1">
      <c r="A27" s="13" t="str">
        <v>V-020</v>
      </c>
      <c r="B27" s="25" t="str">
        <v>RQ-020</v>
      </c>
      <c r="C27" s="25" t="str">
        <v>Uri</v>
      </c>
      <c r="D27" s="25" t="str">
        <v>Sin ejecutar</v>
      </c>
      <c r="E27" s="25" t="str">
        <v>Contacto de borde</v>
      </c>
      <c r="F27" s="25" t="str">
        <v>Bala radio 0,10 y enemigo 0,36; centros separados 0,46.</v>
      </c>
      <c r="G27" s="25" t="str">
        <v>Ejecutar detector sin movimiento.</v>
      </c>
      <c r="H27" s="25" t="str">
        <v>Con distancia igual a suma de radios se registra contacto.</v>
      </c>
      <c r="I27" s="25" t="str"/>
      <c r="J27" s="25" t="str"/>
      <c r="K27" s="34"/>
      <c r="L27"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27"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28" ht="36" customHeight="1">
      <c r="A28" s="23" t="str">
        <v>V-021</v>
      </c>
      <c r="B28" s="25" t="str">
        <v>RQ-021</v>
      </c>
      <c r="C28" s="25" t="str">
        <v>Uri</v>
      </c>
      <c r="D28" s="25" t="str">
        <v>Sin ejecutar</v>
      </c>
      <c r="E28" s="25" t="str">
        <v>Barrido relativo</v>
      </c>
      <c r="F28" s="25" t="str">
        <v>Bala de x=-1 a x=1; enemigo en x=0,y=0; R=0,46.</v>
      </c>
      <c r="G28" s="25" t="str">
        <v>Calcular primer instante de contacto.</v>
      </c>
      <c r="H28" s="25" t="str">
        <v>Una bala que cruza completamente el collider produce impacto.</v>
      </c>
      <c r="I28" s="25" t="str"/>
      <c r="J28" s="25" t="str"/>
      <c r="K28" s="34"/>
      <c r="L28"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28"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29" ht="40" customHeight="1">
      <c r="A29" s="13" t="str">
        <v>V-022</v>
      </c>
      <c r="B29" s="25" t="str">
        <v>RQ-022</v>
      </c>
      <c r="C29" s="25" t="str">
        <v>Uri</v>
      </c>
      <c r="D29" s="25" t="str">
        <v>Sin ejecutar</v>
      </c>
      <c r="E29" s="25" t="str">
        <v>Primer objetivo alcanzado</v>
      </c>
      <c r="F29" s="25" t="str">
        <v>Dos enemigos alineados en recorrido; invertir orden en almacenamiento.</v>
      </c>
      <c r="G29" s="25" t="str">
        <v>Emitir una bala y comparar resultado en ambos órdenes.</v>
      </c>
      <c r="H29" s="25" t="str">
        <v>Solo se daña el enemigo con menor t de contacto, independientemente del vector.</v>
      </c>
      <c r="I29" s="25" t="str"/>
      <c r="J29" s="25" t="str"/>
      <c r="K29" s="34"/>
      <c r="L29"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29"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30" ht="40" customHeight="1">
      <c r="A30" s="23" t="str">
        <v>V-023</v>
      </c>
      <c r="B30" s="25" t="str">
        <v>RQ-023</v>
      </c>
      <c r="C30" s="25" t="str">
        <v>Uri</v>
      </c>
      <c r="D30" s="25" t="str">
        <v>Sin ejecutar</v>
      </c>
      <c r="E30" s="25" t="str">
        <v>Filtro por equipo</v>
      </c>
      <c r="F30" s="25" t="str">
        <v>Dos balas de equipos distintos cruzándose; dos enemigos solapados.</v>
      </c>
      <c r="G30" s="25" t="str">
        <v>Simular contactos y comprobar vidas y consumo.</v>
      </c>
      <c r="H30" s="25" t="str">
        <v>Balas entre sí y enemigos entre sí se atraviesan sin daño.</v>
      </c>
      <c r="I30" s="25" t="str"/>
      <c r="J30" s="25" t="str"/>
      <c r="K30" s="34"/>
      <c r="L30"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30"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31" ht="36" customHeight="1">
      <c r="A31" s="13" t="str">
        <v>V-024</v>
      </c>
      <c r="B31" s="25" t="str">
        <v>RQ-024</v>
      </c>
      <c r="C31" s="25" t="str">
        <v>Uri</v>
      </c>
      <c r="D31" s="25" t="str">
        <v>Sin ejecutar</v>
      </c>
      <c r="E31" s="25" t="str">
        <v>Daño único por paso</v>
      </c>
      <c r="F31" s="25" t="str">
        <v>Jugador 3 vidas, inv=0; dos balas hostiles en contacto.</v>
      </c>
      <c r="G31" s="25" t="str">
        <v>Resolver el paso y observar vidas.</v>
      </c>
      <c r="H31" s="25" t="str">
        <v>Dos balas simultáneas restan una vida y activan invulnerabilidad.</v>
      </c>
      <c r="I31" s="25" t="str"/>
      <c r="J31" s="25" t="str"/>
      <c r="K31" s="34"/>
      <c r="L31"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31"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32" ht="54" customHeight="1">
      <c r="A32" s="23" t="str">
        <v>V-025</v>
      </c>
      <c r="B32" s="25" t="str">
        <v>RQ-025</v>
      </c>
      <c r="C32" s="25" t="str">
        <v>Uri</v>
      </c>
      <c r="D32" s="25" t="str">
        <v>Sin ejecutar</v>
      </c>
      <c r="E32" s="25" t="str">
        <v>Reaparición</v>
      </c>
      <c r="F32" s="25" t="str">
        <v>Jugador vulnerable con 2 vidas.</v>
      </c>
      <c r="G32" s="25" t="str">
        <v>Provocar impacto y observar tiempos y estado.</v>
      </c>
      <c r="H32" s="25" t="str">
        <v>Tras daño no letal: una vida menos; sin control durante 0,75 s ±h. Reaparece en x=0 ±0,01 u y el mismo plano con 1,5 s ±h de protección. Un contacto a los 0,5 s de reaparecer no resta vida.</v>
      </c>
      <c r="I32" s="25" t="str"/>
      <c r="J32" s="25" t="str"/>
      <c r="K32" s="34"/>
      <c r="L32"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32"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33" ht="36" customHeight="1">
      <c r="A33" s="13" t="str">
        <v>V-026</v>
      </c>
      <c r="B33" s="25" t="str">
        <v>RQ-026</v>
      </c>
      <c r="C33" s="25" t="str">
        <v>Uri</v>
      </c>
      <c r="D33" s="25" t="str">
        <v>Sin ejecutar</v>
      </c>
      <c r="E33" s="25" t="str">
        <v>Pausa completa</v>
      </c>
      <c r="F33" s="25" t="str">
        <v>Picado y cooldown activos.</v>
      </c>
      <c r="G33" s="25" t="str">
        <v>Pausar 3 s y reanudar.</v>
      </c>
      <c r="H33" s="25" t="str">
        <v>Tras 3 s reales pausado, los valores de simulación no cambian.</v>
      </c>
      <c r="I33" s="25" t="str"/>
      <c r="J33" s="25" t="str"/>
      <c r="K33" s="34"/>
      <c r="L33"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33"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34" ht="36" customHeight="1">
      <c r="A34" s="23" t="str">
        <v>V-027</v>
      </c>
      <c r="B34" s="25" t="str">
        <v>RQ-027</v>
      </c>
      <c r="C34" s="25" t="str">
        <v>Uri</v>
      </c>
      <c r="D34" s="25" t="str">
        <v>Sin ejecutar</v>
      </c>
      <c r="E34" s="25" t="str">
        <v>Pérdida de foco</v>
      </c>
      <c r="F34" s="25" t="str">
        <v>Jugador moviéndose y disparando.</v>
      </c>
      <c r="G34" s="25" t="str">
        <v>Cambiar foco y volver; reanudar sin pulsar controles.</v>
      </c>
      <c r="H34" s="25" t="str">
        <v>Al volver no continúa una dirección ni emite una acción vieja.</v>
      </c>
      <c r="I34" s="25" t="str"/>
      <c r="J34" s="25" t="str"/>
      <c r="K34" s="34"/>
      <c r="L34"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34"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35" ht="36" customHeight="1">
      <c r="A35" s="13" t="str">
        <v>V-028</v>
      </c>
      <c r="B35" s="25" t="str">
        <v>RQ-028</v>
      </c>
      <c r="C35" s="25" t="str">
        <v>Uri</v>
      </c>
      <c r="D35" s="25" t="str">
        <v>Sin ejecutar</v>
      </c>
      <c r="E35" s="25" t="str">
        <v>Reinicio limpio</v>
      </c>
      <c r="F35" s="25" t="str">
        <v>Derrota con puntos, balas e input retenido.</v>
      </c>
      <c r="G35" s="25" t="str">
        <v>Reiniciar.</v>
      </c>
      <c r="H35" s="25" t="str">
        <v>3 vidas, 0 puntos, oleada 1 y ninguna bala o mejora de sesión previa.</v>
      </c>
      <c r="I35" s="25" t="str"/>
      <c r="J35" s="25" t="str"/>
      <c r="K35" s="34"/>
      <c r="L35"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35"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36" ht="36" customHeight="1">
      <c r="A36" s="23" t="str">
        <v>V-029</v>
      </c>
      <c r="B36" s="25" t="str">
        <v>RQ-029</v>
      </c>
      <c r="C36" s="25" t="str">
        <v>Uri</v>
      </c>
      <c r="D36" s="25" t="str">
        <v>Sin ejecutar</v>
      </c>
      <c r="E36" s="25" t="str">
        <v>Muerte simultánea</v>
      </c>
      <c r="F36" s="25" t="str">
        <v>Jugador 1 vida y jefe hp=1; contactos letales simultáneos.</v>
      </c>
      <c r="G36" s="25" t="str">
        <v>Resolver un paso completo.</v>
      </c>
      <c r="H36" s="25" t="str">
        <v>Se muestra Derrota y no se procesa una Victoria posterior.</v>
      </c>
      <c r="I36" s="25" t="str"/>
      <c r="J36" s="25" t="str"/>
      <c r="K36" s="34"/>
      <c r="L36"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36"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37" ht="36" customHeight="1">
      <c r="A37" s="13" t="str">
        <v>V-030</v>
      </c>
      <c r="B37" s="25" t="str">
        <v>RQ-030</v>
      </c>
      <c r="C37" s="25" t="str">
        <v>Uri</v>
      </c>
      <c r="D37" s="25" t="str">
        <v>Sin ejecutar</v>
      </c>
      <c r="E37" s="25" t="str">
        <v>Puntos por estado letal</v>
      </c>
      <c r="F37" s="25" t="str">
        <v>Cuatro exploradores con hp=1, uno por estado indicado.</v>
      </c>
      <c r="G37" s="25" t="str">
        <v>Destruirlos y comprobar eventos.</v>
      </c>
      <c r="H37" s="25" t="str">
        <v>Explorador en Picado da 150; en Formación, Aviso o Retorno da 100.</v>
      </c>
      <c r="I37" s="25" t="str"/>
      <c r="J37" s="25" t="str"/>
      <c r="K37" s="34"/>
      <c r="L37"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37"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38" ht="40" customHeight="1">
      <c r="A38" s="23" t="str">
        <v>V-031</v>
      </c>
      <c r="B38" s="25" t="str">
        <v>RQ-031</v>
      </c>
      <c r="C38" s="25" t="str">
        <v>Uri</v>
      </c>
      <c r="D38" s="25" t="str">
        <v>Sin ejecutar</v>
      </c>
      <c r="E38" s="25" t="str">
        <v>Modelos volumétricos</v>
      </c>
      <c r="F38" s="25" t="str">
        <v>Escena de inspección con malla y cámara orbitable solo para revisión.</v>
      </c>
      <c r="G38" s="25" t="str">
        <v>Girar 90 grados alrededor del modelo y capturar dos vistas.</v>
      </c>
      <c r="H38" s="25" t="str">
        <v>Rotar modelo en vista de inspección permite ver volumen; no es un sprite plano.</v>
      </c>
      <c r="I38" s="25" t="str"/>
      <c r="J38" s="25" t="str"/>
      <c r="K38" s="34"/>
      <c r="L38"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38"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39" ht="54" customHeight="1">
      <c r="A39" s="13" t="str">
        <v>V-032</v>
      </c>
      <c r="B39" s="25" t="str">
        <v>RQ-032</v>
      </c>
      <c r="C39" s="25" t="str">
        <v>Uri</v>
      </c>
      <c r="D39" s="25" t="str">
        <v>Sin ejecutar</v>
      </c>
      <c r="E39" s="25" t="str">
        <v>Transformaciones correctas</v>
      </c>
      <c r="F39" s="25" t="str">
        <v>Cámara fija; registrar matrices Model, View y Projection con seis decimales o más.</v>
      </c>
      <c r="G39" s="25" t="str">
        <v>Mover únicamente la nave 1 u en x y comparar cada elemento de las matrices registradas.</v>
      </c>
      <c r="H39" s="25" t="str">
        <v>Con cámara fija, registrar las matrices antes y después de mover solo la nave 1 u en x. Su Model cambia únicamente en la traslación prevista; View, Projection y Model de cada enemigo conservan sus elementos con diferencia absoluta ≤10⁻⁶.</v>
      </c>
      <c r="I39" s="25" t="str"/>
      <c r="J39" s="25" t="str"/>
      <c r="K39" s="34"/>
      <c r="L39"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39"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40" ht="36" customHeight="1">
      <c r="A40" s="23" t="str">
        <v>V-033</v>
      </c>
      <c r="B40" s="25" t="str">
        <v>RQ-033</v>
      </c>
      <c r="C40" s="25" t="str">
        <v>Uri</v>
      </c>
      <c r="D40" s="25" t="str">
        <v>Sin ejecutar</v>
      </c>
      <c r="E40" s="25" t="str">
        <v>Iluminación de volumen</v>
      </c>
      <c r="F40" s="25" t="str">
        <v>Malla de prueba con normales y material.</v>
      </c>
      <c r="G40" s="25" t="str">
        <v>Mover la luz entre dos posiciones y comparar capturas.</v>
      </c>
      <c r="H40" s="25" t="str">
        <v>Cambiar dirección de luz cambia la respuesta de normales sin alterar colisión.</v>
      </c>
      <c r="I40" s="25" t="str"/>
      <c r="J40" s="25" t="str"/>
      <c r="K40" s="34"/>
      <c r="L40"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40"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41" ht="36" customHeight="1">
      <c r="A41" s="13" t="str">
        <v>V-034</v>
      </c>
      <c r="B41" s="25" t="str">
        <v>RQ-034</v>
      </c>
      <c r="C41" s="25" t="str">
        <v>Uri</v>
      </c>
      <c r="D41" s="25" t="str">
        <v>Sin ejecutar</v>
      </c>
      <c r="E41" s="25" t="str">
        <v>Oclusión geométrica</v>
      </c>
      <c r="F41" s="25" t="str">
        <v>Dos mallas opacas superpuestas en z distinta.</v>
      </c>
      <c r="G41" s="25" t="str">
        <v>Invertir el orden de draw calls.</v>
      </c>
      <c r="H41" s="25" t="str">
        <v>Objeto opaco cercano tapa al lejano independientemente del orden de dibujo.</v>
      </c>
      <c r="I41" s="25" t="str"/>
      <c r="J41" s="25" t="str"/>
      <c r="K41" s="34"/>
      <c r="L41"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41"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42" ht="68" customHeight="1">
      <c r="A42" s="23" t="str">
        <v>V-035</v>
      </c>
      <c r="B42" s="25" t="str">
        <v>RQ-035</v>
      </c>
      <c r="C42" s="25" t="str">
        <v>Uri</v>
      </c>
      <c r="D42" s="25" t="str">
        <v>Sin ejecutar</v>
      </c>
      <c r="E42" s="25" t="str">
        <v>Orientación en trayectorias</v>
      </c>
      <c r="F42" s="25" t="str">
        <v>Build identificada, eje frontal del modelo conocido, tangentes y matrices instrumentadas.</v>
      </c>
      <c r="G42" s="25" t="str">
        <v>Recorrer Entrada, Picado y Retorno; registrar 100 muestras, ángulos, velocidad, posición y radio. Detener la velocidad y repetir con alabeo visual.</v>
      </c>
      <c r="H42" s="25" t="str">
        <v>Registrar 100 muestras de Entrada, Picado y Retorno. Con velocidad ≥0,01 u/s, el ángulo entre eje frontal y tangente es ≤5° y el alabeo absoluto ≤20°. En velocidad menor se conserva la última orientación. Rotar solo el modelo no cambia posición ni radio del collider.</v>
      </c>
      <c r="I42" s="25" t="str"/>
      <c r="J42" s="25" t="str"/>
      <c r="K42" s="34"/>
      <c r="L42"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42"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43" ht="68" customHeight="1">
      <c r="A43" s="13" t="str">
        <v>V-036</v>
      </c>
      <c r="B43" s="25" t="str">
        <v>RQ-036</v>
      </c>
      <c r="C43" s="25" t="str">
        <v>Uri</v>
      </c>
      <c r="D43" s="25" t="str">
        <v>Sin ejecutar</v>
      </c>
      <c r="E43" s="25" t="str">
        <v>Cámara fija legible</v>
      </c>
      <c r="F43" s="25" t="str">
        <v>Dos resoluciones; nave en extremos.</v>
      </c>
      <c r="G43" s="25" t="str">
        <v>Cambiar ventana y recorrer límites.</v>
      </c>
      <c r="H43" s="25" t="str">
        <v>En 1280×720 y 1024×768, guardar capturas con la nave en ambos límites y durante la oleada 3. Los cuatro bordes del campo definido son visibles; todos los indicadores del HUD quedan íntegros dentro del viewport y se puede leer vida, puntos, oleada y plano sin solaparse.</v>
      </c>
      <c r="I43" s="25" t="str"/>
      <c r="J43" s="25" t="str"/>
      <c r="K43" s="34"/>
      <c r="L43"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43"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44" ht="36" customHeight="1">
      <c r="A44" s="23" t="str">
        <v>V-037</v>
      </c>
      <c r="B44" s="25" t="str">
        <v>RQ-037</v>
      </c>
      <c r="C44" s="25" t="str">
        <v>Uri</v>
      </c>
      <c r="D44" s="25" t="str">
        <v>Sin ejecutar</v>
      </c>
      <c r="E44" s="25" t="str">
        <v>HUD completo</v>
      </c>
      <c r="F44" s="25" t="str">
        <v>Partida atravesando oleada, jefe y pausa.</v>
      </c>
      <c r="G44" s="25" t="str">
        <v>Cambiar puntos/vidas y observar indicadores.</v>
      </c>
      <c r="H44" s="25" t="str">
        <v>Cada indicador refleja el estado real; jefe sin barra durante oleadas normales.</v>
      </c>
      <c r="I44" s="25" t="str"/>
      <c r="J44" s="25" t="str"/>
      <c r="K44" s="34"/>
      <c r="L44"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44"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45" ht="36" customHeight="1">
      <c r="A45" s="13" t="str">
        <v>V-038</v>
      </c>
      <c r="B45" s="25" t="str">
        <v>RQ-038</v>
      </c>
      <c r="C45" s="25" t="str">
        <v>Uri</v>
      </c>
      <c r="D45" s="25" t="str">
        <v>Sin ejecutar</v>
      </c>
      <c r="E45" s="25" t="str">
        <v>Planos discretos</v>
      </c>
      <c r="F45" s="25" t="str">
        <v>Jugador en A; profundidad activada.</v>
      </c>
      <c r="G45" s="25" t="str">
        <v>Pulsar E con recarga libre y registrar z y PlaneId.</v>
      </c>
      <c r="H45" s="25" t="str">
        <v>El cambio modifica la posición z del modelo y el plano lógico al terminar.</v>
      </c>
      <c r="I45" s="25" t="str"/>
      <c r="J45" s="25" t="str"/>
      <c r="K45" s="34"/>
      <c r="L45"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45"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46" ht="54" customHeight="1">
      <c r="A46" s="23" t="str">
        <v>V-039</v>
      </c>
      <c r="B46" s="25" t="str">
        <v>RQ-039</v>
      </c>
      <c r="C46" s="25" t="str">
        <v>Uri</v>
      </c>
      <c r="D46" s="25" t="str">
        <v>Sin ejecutar</v>
      </c>
      <c r="E46" s="25" t="str">
        <v>Cambio con coste</v>
      </c>
      <c r="F46" s="25" t="str">
        <v>Bala hostil próxima y Espacio mantenido.</v>
      </c>
      <c r="G46" s="25" t="str">
        <v>Iniciar cambio con Espacio mantenido y una bala hostil próxima. Registrar todos los pasos hasta finalizar.</v>
      </c>
      <c r="H46" s="25" t="str">
        <v>Durante el cambio no hay tiro ni contactos del jugador. Se completa entre 0,25 s y 0,25 s+h (h=1/60 s); z final y PlaneId coinciden con el destino y empieza entonces la recarga.</v>
      </c>
      <c r="I46" s="25" t="str"/>
      <c r="J46" s="25" t="str"/>
      <c r="K46" s="34"/>
      <c r="L46"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46"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47" ht="36" customHeight="1">
      <c r="A47" s="13" t="str">
        <v>V-040</v>
      </c>
      <c r="B47" s="25" t="str">
        <v>RQ-040</v>
      </c>
      <c r="C47" s="25" t="str">
        <v>Uri</v>
      </c>
      <c r="D47" s="25" t="str">
        <v>Sin ejecutar</v>
      </c>
      <c r="E47" s="25" t="str">
        <v>Recarga de plano</v>
      </c>
      <c r="F47" s="25" t="str">
        <v>Acabar transición; mantener o repetir E.</v>
      </c>
      <c r="G47" s="25" t="str">
        <v>Esperar recarga y comprobar que exige una pulsación nueva.</v>
      </c>
      <c r="H47" s="25" t="str">
        <v>E durante recarga no se ejecuta ni queda almacenada.</v>
      </c>
      <c r="I47" s="25" t="str"/>
      <c r="J47" s="25" t="str"/>
      <c r="K47" s="34"/>
      <c r="L47"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47"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48" ht="36" customHeight="1">
      <c r="A48" s="23" t="str">
        <v>V-041</v>
      </c>
      <c r="B48" s="25" t="str">
        <v>RQ-041</v>
      </c>
      <c r="C48" s="25" t="str">
        <v>Uri</v>
      </c>
      <c r="D48" s="25" t="str">
        <v>Sin ejecutar</v>
      </c>
      <c r="E48" s="25" t="str">
        <v>Impacto por plano</v>
      </c>
      <c r="F48" s="25" t="str">
        <v>Bala A y enemigo B en mismo x/y.</v>
      </c>
      <c r="G48" s="25" t="str">
        <v>Repetir contacto con enemigo B y luego A.</v>
      </c>
      <c r="H48" s="25" t="str">
        <v>Solapar x/y en planos distintos no produce contacto; mismo plano sí.</v>
      </c>
      <c r="I48" s="25" t="str"/>
      <c r="J48" s="25" t="str"/>
      <c r="K48" s="34"/>
      <c r="L48"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48"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49" ht="36" customHeight="1">
      <c r="A49" s="13" t="str">
        <v>V-042</v>
      </c>
      <c r="B49" s="25" t="str">
        <v>RQ-042</v>
      </c>
      <c r="C49" s="25" t="str">
        <v>Uri</v>
      </c>
      <c r="D49" s="25" t="str">
        <v>Sin ejecutar</v>
      </c>
      <c r="E49" s="25" t="str">
        <v>Plano de proyectiles</v>
      </c>
      <c r="F49" s="25" t="str">
        <v>Emitir bala en A y mantenerla activa.</v>
      </c>
      <c r="G49" s="25" t="str">
        <v>Cambiar a B y emitir otra bala.</v>
      </c>
      <c r="H49" s="25" t="str">
        <v>Cambiar la nave no desplaza en z las balas ya emitidas.</v>
      </c>
      <c r="I49" s="25" t="str"/>
      <c r="J49" s="25" t="str"/>
      <c r="K49" s="34"/>
      <c r="L49"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49"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50" ht="54" customHeight="1">
      <c r="A50" s="23" t="str">
        <v>V-043</v>
      </c>
      <c r="B50" s="25" t="str">
        <v>RQ-043</v>
      </c>
      <c r="C50" s="25" t="str">
        <v>Uri</v>
      </c>
      <c r="D50" s="25" t="str">
        <v>Sin ejecutar</v>
      </c>
      <c r="E50" s="25" t="str">
        <v>Señal de plano redundante</v>
      </c>
      <c r="F50" s="25" t="str">
        <v>Cinco escenas preparadas, incluyendo cambio y recarga.</v>
      </c>
      <c r="G50" s="25" t="str">
        <v>Pedir a tres personas que identifiquen plano y contactos posibles.</v>
      </c>
      <c r="H50" s="25" t="str">
        <v>Tres personas identifican el plano y si hay contacto posible en cinco escenas sin explicación previa. Cada persona acierta al menos 4/5; se conservan respuestas y capturas, incluida una versión en escala de grises.</v>
      </c>
      <c r="I50" s="25" t="str"/>
      <c r="J50" s="25" t="str"/>
      <c r="K50" s="34"/>
      <c r="L50"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50"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51" ht="36" customHeight="1">
      <c r="A51" s="13" t="str">
        <v>V-044</v>
      </c>
      <c r="B51" s="25" t="str">
        <v>RQ-044</v>
      </c>
      <c r="C51" s="25" t="str">
        <v>Uri</v>
      </c>
      <c r="D51" s="25" t="str">
        <v>Sin ejecutar</v>
      </c>
      <c r="E51" s="25" t="str">
        <v>Compatibilidad con pausa</v>
      </c>
      <c r="F51" s="25" t="str">
        <v>Cambio al 50 por ciento.</v>
      </c>
      <c r="G51" s="25" t="str">
        <v>Pausar 3 s reales y reanudar.</v>
      </c>
      <c r="H51" s="25" t="str">
        <v>No salta al destino al reanudar; termina tras el tiempo activo restante.</v>
      </c>
      <c r="I51" s="25" t="str"/>
      <c r="J51" s="25" t="str"/>
      <c r="K51" s="34"/>
      <c r="L51"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51"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52" ht="36" customHeight="1">
      <c r="A52" s="23" t="str">
        <v>V-045</v>
      </c>
      <c r="B52" s="25" t="str">
        <v>RQ-045</v>
      </c>
      <c r="C52" s="25" t="str">
        <v>Uri</v>
      </c>
      <c r="D52" s="25" t="str">
        <v>Sin ejecutar</v>
      </c>
      <c r="E52" s="25" t="str">
        <v>Jefe anuncia plano</v>
      </c>
      <c r="F52" s="25" t="str">
        <v>Jefe en Recuperación; P1 activo.</v>
      </c>
      <c r="G52" s="25" t="str">
        <v>Comenzar Aviso y observar marca, transición y ráfaga.</v>
      </c>
      <c r="H52" s="25" t="str">
        <v>No recibe daño ni dispara durante su transición de 0,25 s.</v>
      </c>
      <c r="I52" s="25" t="str"/>
      <c r="J52" s="25" t="str"/>
      <c r="K52" s="34"/>
      <c r="L52"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52"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53" ht="54" customHeight="1">
      <c r="A53" s="13" t="str">
        <v>V-046</v>
      </c>
      <c r="B53" s="25" t="str">
        <v>RQ-046</v>
      </c>
      <c r="C53" s="25" t="str">
        <v>Uri</v>
      </c>
      <c r="D53" s="25" t="str">
        <v>Sin ejecutar</v>
      </c>
      <c r="E53" s="25" t="str">
        <v>Paso fijo</v>
      </c>
      <c r="F53" s="25" t="str">
        <v>Misma semilla y entradas; tres tasas de dibujo.</v>
      </c>
      <c r="G53" s="25" t="str">
        <v>Ejecutar 10 s y comparar estado lógico.</v>
      </c>
      <c r="H53" s="25" t="str">
        <v>A 30, 60 y 120 FPS de render, la misma semilla y entrada durante 10 s producen vidas y puntos idénticos y posiciones con diferencia ≤0,01 u. No se descarta tiempo de simulación durante este ensayo.</v>
      </c>
      <c r="I53" s="25" t="str"/>
      <c r="J53" s="25" t="str"/>
      <c r="K53" s="34"/>
      <c r="L53"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53"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54" ht="68" customHeight="1">
      <c r="A54" s="23" t="str">
        <v>V-047</v>
      </c>
      <c r="B54" s="25" t="str">
        <v>RQ-047</v>
      </c>
      <c r="C54" s="25" t="str">
        <v>Uri</v>
      </c>
      <c r="D54" s="25" t="str">
        <v>Sin ejecutar</v>
      </c>
      <c r="E54" s="25" t="str">
        <v>Rendimiento medido</v>
      </c>
      <c r="F54" s="25" t="str">
        <v>Equipo de entrega identificado; Release; 1280×720; oleada 3 y efectos; sin instrumentación pesada.</v>
      </c>
      <c r="G54" s="25" t="str">
        <v>Calentar 10 s, capturar 60 s y calcular p95. Anotar si se cumple el mínimo y el objetivo de 60 FPS.</v>
      </c>
      <c r="H54" s="25" t="str">
        <v>Build Release a 1280×720: tras 10 s de calentamiento, registrar 60 s con la oleada 3 y efectos previstos. p95 del tiempo de frame ≤33,3 ms (mínimo propuesto de 30 FPS); 16,7 ms es objetivo adicional. Registrar CPU, GPU y build. Confirmar este presupuesto con la rúbrica.</v>
      </c>
      <c r="I54" s="25" t="str"/>
      <c r="J54" s="25" t="str"/>
      <c r="K54" s="34"/>
      <c r="L54"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54"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55" ht="68" customHeight="1">
      <c r="A55" s="13" t="str">
        <v>V-048</v>
      </c>
      <c r="B55" s="25" t="str">
        <v>RQ-048</v>
      </c>
      <c r="C55" s="25" t="str">
        <v>Uri</v>
      </c>
      <c r="D55" s="25" t="str">
        <v>Sin ejecutar</v>
      </c>
      <c r="E55" s="25" t="str">
        <v>Entidades limitadas</v>
      </c>
      <c r="F55" s="25" t="str">
        <v>Partida con balas y efectos; contador de entidades.</v>
      </c>
      <c r="G55" s="25" t="str">
        <v>Reiniciar cinco veces y comparar memoria estabilizada.</v>
      </c>
      <c r="H55" s="25" t="str">
        <v>Tras cinco reinicios, el contador de entidades de cada nueva sesión coincide con el de la primera sesión. Ningún id de la sesión anterior sigue activo. Tras la carga inicial, los contadores de mallas/texturas/buffers persistentes no aumentan por reiniciar. Registrar memoria como diagnóstico.</v>
      </c>
      <c r="I55" s="25" t="str"/>
      <c r="J55" s="25" t="str"/>
      <c r="K55" s="34"/>
      <c r="L55"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55"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56" ht="54" customHeight="1">
      <c r="A56" s="23" t="str">
        <v>V-049</v>
      </c>
      <c r="B56" s="25" t="str">
        <v>RQ-049</v>
      </c>
      <c r="C56" s="25" t="str">
        <v>Uri</v>
      </c>
      <c r="D56" s="25" t="str">
        <v>Sin ejecutar</v>
      </c>
      <c r="E56" s="25" t="str">
        <v>Evidencias reales</v>
      </c>
      <c r="F56" s="25" t="str">
        <v>Registro de requisitos y pruebas actualizados.</v>
      </c>
      <c r="G56" s="25" t="str">
        <v>Revisar ids y abrir evidencias seleccionadas.</v>
      </c>
      <c r="H56" s="25" t="str">
        <v>Para cada requisito incluido, la memoria indica estado y prueba/evidencia o causa pendiente. Abrir todas las evidencias de los requisitos aceptados y comprobar que la build coincide. Identificar los P2 no incluidos y atribuir imágenes y vídeos externos.</v>
      </c>
      <c r="I56" s="25" t="str"/>
      <c r="J56" s="25" t="str"/>
      <c r="K56" s="34"/>
      <c r="L56"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56"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57" ht="36" customHeight="1">
      <c r="A57" s="13" t="str">
        <v>V-050</v>
      </c>
      <c r="B57" s="25" t="str">
        <v>RQ-050</v>
      </c>
      <c r="C57" s="25" t="str">
        <v>Uri</v>
      </c>
      <c r="D57" s="25" t="str">
        <v>Sin ejecutar</v>
      </c>
      <c r="E57" s="25" t="str">
        <v>Entorno de VGI</v>
      </c>
      <c r="F57" s="25" t="str">
        <v>Plantilla del curso y solución Visual Studio.</v>
      </c>
      <c r="G57" s="25" t="str">
        <v>Compilar, ejecutar y revisar dependencias.</v>
      </c>
      <c r="H57" s="25" t="str">
        <v>Build de la plantilla del curso ejecuta la partida; sin sustituirla por Canvas.</v>
      </c>
      <c r="I57" s="25" t="str"/>
      <c r="J57" s="25" t="str"/>
      <c r="K57" s="34"/>
      <c r="L57"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57"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58" ht="36" customHeight="1">
      <c r="A58" s="23" t="str">
        <v>V-051</v>
      </c>
      <c r="B58" s="25" t="str">
        <v>RQ-051</v>
      </c>
      <c r="C58" s="25" t="str">
        <v>Uri</v>
      </c>
      <c r="D58" s="25" t="str">
        <v>Sin ejecutar</v>
      </c>
      <c r="E58" s="25" t="str">
        <v>Aliada liberada</v>
      </c>
      <c r="F58" s="25" t="str">
        <v>Portador con aliada cautiva, en Picado y hp=1.</v>
      </c>
      <c r="G58" s="25" t="str">
        <v>Destruirlo y seguir la liberación de 1 s.</v>
      </c>
      <c r="H58" s="25" t="str">
        <v>Un rescate; sin vida extra y sin repetir evento de liberación.</v>
      </c>
      <c r="I58" s="25" t="str"/>
      <c r="J58" s="25" t="str"/>
      <c r="K58" s="34"/>
      <c r="L58"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58"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59" ht="40" customHeight="1">
      <c r="A59" s="13" t="str">
        <v>V-052</v>
      </c>
      <c r="B59" s="25" t="str">
        <v>RQ-052</v>
      </c>
      <c r="C59" s="25" t="str">
        <v>Uri</v>
      </c>
      <c r="D59" s="25" t="str">
        <v>Sin ejecutar</v>
      </c>
      <c r="E59" s="25" t="str">
        <v>Doble nave y daño</v>
      </c>
      <c r="F59" s="25" t="str">
        <v>Aliada acoplada; dos balas hostiles simultáneas.</v>
      </c>
      <c r="G59" s="25" t="str">
        <v>Resolver contactos y observar vidas, aliado y disparo siguiente.</v>
      </c>
      <c r="H59" s="25" t="str">
        <v>Un contacto elimina aliada, conserva vidas y activa 1,5 s de invulnerabilidad.</v>
      </c>
      <c r="I59" s="25" t="str"/>
      <c r="J59" s="25" t="str"/>
      <c r="K59" s="34"/>
      <c r="L59"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59"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60" ht="36" customHeight="1">
      <c r="A60" s="23" t="str">
        <v>V-053</v>
      </c>
      <c r="B60" s="25" t="str">
        <v>RQ-038</v>
      </c>
      <c r="C60" s="25" t="str">
        <v>Uri</v>
      </c>
      <c r="D60" s="25" t="str">
        <v>Sin ejecutar</v>
      </c>
      <c r="E60" s="25" t="str">
        <v>Cambio sin disponibilidad</v>
      </c>
      <c r="F60" s="25" t="str">
        <v>Jugador en Pausa, Intro o Resultado.</v>
      </c>
      <c r="G60" s="25" t="str">
        <v>Pulsar E en cada estado.</v>
      </c>
      <c r="H60" s="25" t="str">
        <v>No empieza transición.</v>
      </c>
      <c r="I60" s="25" t="str"/>
      <c r="J60" s="25" t="str"/>
      <c r="K60" s="34"/>
      <c r="L60"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60"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61" ht="40" customHeight="1">
      <c r="A61" s="13" t="str">
        <v>V-054</v>
      </c>
      <c r="B61" s="25" t="str">
        <v>RQ-039</v>
      </c>
      <c r="C61" s="25" t="str">
        <v>Uri</v>
      </c>
      <c r="D61" s="25" t="str">
        <v>Sin ejecutar</v>
      </c>
      <c r="E61" s="25" t="str">
        <v>Paso de transición exacto</v>
      </c>
      <c r="F61" s="25" t="str">
        <v>Inicio de cambio; temporizador con tolerancia de coma flotante.</v>
      </c>
      <c r="G61" s="25" t="str">
        <v>Ejecutar hasta completar duración.</v>
      </c>
      <c r="H61" s="25" t="str">
        <v>Final entre 0,25 s y 0,25 s + un paso; no queda tiempo residual negativo.</v>
      </c>
      <c r="I61" s="25" t="str"/>
      <c r="J61" s="25" t="str"/>
      <c r="K61" s="34"/>
      <c r="L61"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61"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62" ht="36" customHeight="1">
      <c r="A62" s="23" t="str">
        <v>V-055</v>
      </c>
      <c r="B62" s="25" t="str">
        <v>RQ-025</v>
      </c>
      <c r="C62" s="25" t="str">
        <v>Uri</v>
      </c>
      <c r="D62" s="25" t="str">
        <v>Sin ejecutar</v>
      </c>
      <c r="E62" s="25" t="str">
        <v>Invulnerabilidad de reaparición</v>
      </c>
      <c r="F62" s="25" t="str">
        <v>Jugador recién reaparecido con inv=1,5.</v>
      </c>
      <c r="G62" s="25" t="str">
        <v>Contacto hostil tras 0,5 s.</v>
      </c>
      <c r="H62" s="25" t="str">
        <v>No resta vida; bala que toca se consume.</v>
      </c>
      <c r="I62" s="25" t="str"/>
      <c r="J62" s="25" t="str"/>
      <c r="K62" s="34"/>
      <c r="L62"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62"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63" ht="36" customHeight="1">
      <c r="A63" s="13" t="str">
        <v>V-056</v>
      </c>
      <c r="B63" s="25" t="str">
        <v>RQ-043</v>
      </c>
      <c r="C63" s="25" t="str">
        <v>Uri</v>
      </c>
      <c r="D63" s="25" t="str">
        <v>Sin ejecutar</v>
      </c>
      <c r="E63" s="25" t="str">
        <v>Legibilidad sin color</v>
      </c>
      <c r="F63" s="25" t="str">
        <v>HUD A/B con imagen en escala de grises.</v>
      </c>
      <c r="G63" s="25" t="str">
        <v>Identificar letras y formas en cinco escenas.</v>
      </c>
      <c r="H63" s="25" t="str">
        <v>Al menos 4 de 5 respuestas correctas.</v>
      </c>
      <c r="I63" s="25" t="str"/>
      <c r="J63" s="25" t="str"/>
      <c r="K63" s="34"/>
      <c r="L63"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63"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64" ht="40" customHeight="1">
      <c r="A64" s="23" t="str">
        <v>V-057</v>
      </c>
      <c r="B64" s="25" t="str">
        <v>RQ-034</v>
      </c>
      <c r="C64" s="25" t="str">
        <v>Uri</v>
      </c>
      <c r="D64" s="25" t="str">
        <v>Sin ejecutar</v>
      </c>
      <c r="E64" s="25" t="str">
        <v>Depth test desactivado como control</v>
      </c>
      <c r="F64" s="25" t="str">
        <v>Mismas dos mallas y orden invertido.</v>
      </c>
      <c r="G64" s="25" t="str">
        <v>Comparar con depth test activo y desactivado.</v>
      </c>
      <c r="H64" s="25" t="str">
        <v>La prueba activa elimina dependencia del orden para superficies opacas.</v>
      </c>
      <c r="I64" s="25" t="str"/>
      <c r="J64" s="25" t="str"/>
      <c r="K64" s="34"/>
      <c r="L64"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64"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65" ht="40" customHeight="1">
      <c r="A65" s="13" t="str">
        <v>V-058</v>
      </c>
      <c r="B65" s="25" t="str">
        <v>RQ-029</v>
      </c>
      <c r="C65" s="25" t="str">
        <v>Uri</v>
      </c>
      <c r="D65" s="25" t="str">
        <v>Sin ejecutar</v>
      </c>
      <c r="E65" s="25" t="str">
        <v>Jefe muerto sin muerte del jugador</v>
      </c>
      <c r="F65" s="25" t="str">
        <v>Jefe hp=1; jugador 2 vidas y sin contacto hostil.</v>
      </c>
      <c r="G65" s="25" t="str">
        <v>Causar daño letal al jefe.</v>
      </c>
      <c r="H65" s="25" t="str">
        <v>Victoria y limpieza de balas hostiles.</v>
      </c>
      <c r="I65" s="25" t="str"/>
      <c r="J65" s="25" t="str"/>
      <c r="K65" s="34"/>
      <c r="L65"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65"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66" ht="36" customHeight="1">
      <c r="A66" s="23" t="str">
        <v>V-059</v>
      </c>
      <c r="B66" s="25" t="str">
        <v>RQ-028</v>
      </c>
      <c r="C66" s="25" t="str">
        <v>Uri</v>
      </c>
      <c r="D66" s="25" t="str">
        <v>Sin ejecutar</v>
      </c>
      <c r="E66" s="25" t="str">
        <v>Reinicio durante cambio anterior</v>
      </c>
      <c r="F66" s="25" t="str">
        <v>Sesión perdida después de un cambio; timers no cero.</v>
      </c>
      <c r="G66" s="25" t="str">
        <v>Reiniciar desde resultado.</v>
      </c>
      <c r="H66" s="25" t="str">
        <v>Plano A, cooldown 0, sin transición ni aliado.</v>
      </c>
      <c r="I66" s="25" t="str"/>
      <c r="J66" s="25" t="str"/>
      <c r="K66" s="34"/>
      <c r="L66"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66"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67" ht="36" customHeight="1">
      <c r="A67" s="13" t="str">
        <v>V-060</v>
      </c>
      <c r="B67" s="25" t="str">
        <v>RQ-051</v>
      </c>
      <c r="C67" s="25" t="str">
        <v>Uri</v>
      </c>
      <c r="D67" s="25" t="str">
        <v>Sin ejecutar</v>
      </c>
      <c r="E67" s="25" t="str">
        <v>Portador muerto en Formación</v>
      </c>
      <c r="F67" s="25" t="str">
        <v>Aliada cautiva; portador en Formación.</v>
      </c>
      <c r="G67" s="25" t="str">
        <v>Destruir portador.</v>
      </c>
      <c r="H67" s="25" t="str">
        <v>Aliada Perdida; sin modo doble.</v>
      </c>
      <c r="I67" s="25" t="str"/>
      <c r="J67" s="25" t="str"/>
      <c r="K67" s="34"/>
      <c r="L67" s="44" t="str">
        <f>IF(TblPruebas[[#This Row],[ID]]="","",IF(TblPruebas[[#This Row],[Control]]&lt;&gt;"OK","Revisar datos",IF(TblPruebas[[#This Row],[Resultado]]&lt;&gt;"Aprobada",TblPruebas[[#This Row],[Resultado]],IF(AND(TblPruebas[[#This Row],[Evidencia]]&lt;&gt;"",TblPruebas[[#This Row],[Build]]&lt;&gt;"",IF(ISNUMBER(TblPruebas[[#This Row],[Fecha]]),TblPruebas[[#This Row],[Fecha]]&gt;0,FALSE)),"Valida","Falta evidencia, build o fecha"))))</f>
        <v>Sin ejecutar</v>
      </c>
      <c r="M67" s="44" t="str">
        <f>IF(TblPruebas[[#This Row],[ID]]="","",IF(COUNTIF(TblPruebas[ID],TblPruebas[[#This Row],[ID]])&lt;&gt;1,"Duplicado ID",IF(COUNTIF(TblRequisitos[ID],TblPruebas[[#This Row],[Requisito]])&lt;&gt;1,"No existe requisito unico",IF(OR(COUNTIF(TblEquipo[Persona],TblPruebas[[#This Row],[Ejecuta]])&lt;&gt;1,TblPruebas[[#This Row],[Caso]]="",TblPruebas[[#This Row],[Preparacion]]="",TblPruebas[[#This Row],[Pasos]]="",TblPruebas[[#This Row],[Esperado]]=""),"Falta ejecutor o caso","OK"))))</f>
        <v>OK</v>
      </c>
    </row>
    <row r="68" ht="22" customHeight="1">
      <c r="A68" s="3"/>
      <c r="B68" s="3"/>
      <c r="C68" s="9"/>
      <c r="D68" s="9"/>
      <c r="E68" s="3"/>
      <c r="F68" s="3"/>
      <c r="G68" s="3"/>
      <c r="H68" s="3"/>
      <c r="I68" s="3"/>
      <c r="J68" s="3"/>
      <c r="K68" s="3"/>
      <c r="L68" s="3"/>
      <c r="M68" s="3"/>
    </row>
    <row r="69" ht="22" customHeight="1">
      <c r="A69" s="3"/>
      <c r="B69" s="3"/>
      <c r="C69" s="9"/>
      <c r="D69" s="9"/>
      <c r="E69" s="3"/>
      <c r="F69" s="3"/>
      <c r="G69" s="3"/>
      <c r="H69" s="3"/>
      <c r="I69" s="3"/>
      <c r="J69" s="3"/>
      <c r="K69" s="3"/>
      <c r="L69" s="3"/>
      <c r="M69" s="3"/>
    </row>
    <row r="70" ht="22" customHeight="1">
      <c r="A70" s="3"/>
      <c r="B70" s="3"/>
      <c r="C70" s="9"/>
      <c r="D70" s="9"/>
      <c r="E70" s="3"/>
      <c r="F70" s="3"/>
      <c r="G70" s="3"/>
      <c r="H70" s="3"/>
      <c r="I70" s="3"/>
      <c r="J70" s="3"/>
      <c r="K70" s="3"/>
      <c r="L70" s="3"/>
      <c r="M70" s="3"/>
    </row>
    <row r="71" ht="22" customHeight="1">
      <c r="A71" s="3"/>
      <c r="B71" s="3"/>
      <c r="C71" s="9"/>
      <c r="D71" s="9"/>
      <c r="E71" s="3"/>
      <c r="F71" s="3"/>
      <c r="G71" s="3"/>
      <c r="H71" s="3"/>
      <c r="I71" s="3"/>
      <c r="J71" s="3"/>
      <c r="K71" s="3"/>
      <c r="L71" s="3"/>
      <c r="M71" s="3"/>
    </row>
    <row r="72" ht="22" customHeight="1">
      <c r="A72" s="3"/>
      <c r="B72" s="3"/>
      <c r="C72" s="9"/>
      <c r="D72" s="9"/>
      <c r="E72" s="3"/>
      <c r="F72" s="3"/>
      <c r="G72" s="3"/>
      <c r="H72" s="3"/>
      <c r="I72" s="3"/>
      <c r="J72" s="3"/>
      <c r="K72" s="3"/>
      <c r="L72" s="3"/>
      <c r="M72" s="3"/>
    </row>
    <row r="73" ht="22" customHeight="1">
      <c r="A73" s="3"/>
      <c r="B73" s="3"/>
      <c r="C73" s="9"/>
      <c r="D73" s="9"/>
      <c r="E73" s="3"/>
      <c r="F73" s="3"/>
      <c r="G73" s="3"/>
      <c r="H73" s="3"/>
      <c r="I73" s="3"/>
      <c r="J73" s="3"/>
      <c r="K73" s="3"/>
      <c r="L73" s="3"/>
      <c r="M73" s="3"/>
    </row>
    <row r="74" ht="22" customHeight="1">
      <c r="A74" s="3"/>
      <c r="B74" s="3"/>
      <c r="C74" s="9"/>
      <c r="D74" s="9"/>
      <c r="E74" s="3"/>
      <c r="F74" s="3"/>
      <c r="G74" s="3"/>
      <c r="H74" s="3"/>
      <c r="I74" s="3"/>
      <c r="J74" s="3"/>
      <c r="K74" s="3"/>
      <c r="L74" s="3"/>
      <c r="M74" s="3"/>
    </row>
    <row r="75" ht="22" customHeight="1">
      <c r="A75" s="3"/>
      <c r="B75" s="3"/>
      <c r="C75" s="9"/>
      <c r="D75" s="9"/>
      <c r="E75" s="3"/>
      <c r="F75" s="3"/>
      <c r="G75" s="3"/>
      <c r="H75" s="3"/>
      <c r="I75" s="3"/>
      <c r="J75" s="3"/>
      <c r="K75" s="3"/>
      <c r="L75" s="3"/>
      <c r="M75" s="3"/>
    </row>
    <row r="76" ht="22" customHeight="1">
      <c r="A76" s="3"/>
      <c r="B76" s="3"/>
      <c r="C76" s="9"/>
      <c r="D76" s="9"/>
      <c r="E76" s="3"/>
      <c r="F76" s="3"/>
      <c r="G76" s="3"/>
      <c r="H76" s="3"/>
      <c r="I76" s="3"/>
      <c r="J76" s="3"/>
      <c r="K76" s="3"/>
      <c r="L76" s="3"/>
      <c r="M76" s="3"/>
    </row>
    <row r="77" ht="22" customHeight="1">
      <c r="A77" s="3"/>
      <c r="B77" s="3"/>
      <c r="C77" s="9"/>
      <c r="D77" s="9"/>
      <c r="E77" s="3"/>
      <c r="F77" s="3"/>
      <c r="G77" s="3"/>
      <c r="H77" s="3"/>
      <c r="I77" s="3"/>
      <c r="J77" s="3"/>
      <c r="K77" s="3"/>
      <c r="L77" s="3"/>
      <c r="M77" s="3"/>
    </row>
    <row r="78" ht="22" customHeight="1">
      <c r="A78" s="3"/>
      <c r="B78" s="3"/>
      <c r="C78" s="9"/>
      <c r="D78" s="9"/>
      <c r="E78" s="3"/>
      <c r="F78" s="3"/>
      <c r="G78" s="3"/>
      <c r="H78" s="3"/>
      <c r="I78" s="3"/>
      <c r="J78" s="3"/>
      <c r="K78" s="3"/>
      <c r="L78" s="3"/>
      <c r="M78" s="3"/>
    </row>
    <row r="79" ht="22" customHeight="1">
      <c r="A79" s="3"/>
      <c r="B79" s="3"/>
      <c r="C79" s="9"/>
      <c r="D79" s="9"/>
      <c r="E79" s="3"/>
      <c r="F79" s="3"/>
      <c r="G79" s="3"/>
      <c r="H79" s="3"/>
      <c r="I79" s="3"/>
      <c r="J79" s="3"/>
      <c r="K79" s="3"/>
      <c r="L79" s="3"/>
      <c r="M79" s="3"/>
    </row>
    <row r="80" ht="22" customHeight="1">
      <c r="A80" s="3"/>
      <c r="B80" s="3"/>
      <c r="C80" s="9"/>
      <c r="D80" s="9"/>
      <c r="E80" s="3"/>
      <c r="F80" s="3"/>
      <c r="G80" s="3"/>
      <c r="H80" s="3"/>
      <c r="I80" s="3"/>
      <c r="J80" s="3"/>
      <c r="K80" s="3"/>
      <c r="L80" s="3"/>
      <c r="M80" s="3"/>
    </row>
    <row r="81">
      <c r="C81" s="26"/>
      <c r="D81" s="26"/>
    </row>
    <row r="82">
      <c r="C82" s="26"/>
      <c r="D82" s="26"/>
    </row>
    <row r="83">
      <c r="C83" s="26"/>
      <c r="D83" s="26"/>
    </row>
    <row r="84">
      <c r="C84" s="26"/>
      <c r="D84" s="26"/>
    </row>
    <row r="85">
      <c r="C85" s="26"/>
      <c r="D85" s="26"/>
    </row>
    <row r="86">
      <c r="C86" s="26"/>
      <c r="D86" s="26"/>
    </row>
    <row r="87">
      <c r="C87" s="26"/>
      <c r="D87" s="26"/>
    </row>
    <row r="88">
      <c r="C88" s="26"/>
      <c r="D88" s="26"/>
    </row>
    <row r="89">
      <c r="C89" s="26"/>
      <c r="D89" s="26"/>
    </row>
    <row r="90">
      <c r="C90" s="26"/>
      <c r="D90" s="26"/>
    </row>
    <row r="91">
      <c r="C91" s="26"/>
      <c r="D91" s="26"/>
    </row>
    <row r="92">
      <c r="C92" s="26"/>
      <c r="D92" s="26"/>
    </row>
    <row r="93">
      <c r="C93" s="26"/>
      <c r="D93" s="26"/>
    </row>
    <row r="94">
      <c r="C94" s="26"/>
      <c r="D94" s="26"/>
    </row>
    <row r="95">
      <c r="C95" s="26"/>
      <c r="D95" s="26"/>
    </row>
    <row r="96">
      <c r="C96" s="26"/>
      <c r="D96" s="26"/>
    </row>
    <row r="97">
      <c r="C97" s="26"/>
      <c r="D97" s="26"/>
    </row>
    <row r="98">
      <c r="C98" s="26"/>
      <c r="D98" s="26"/>
    </row>
    <row r="99">
      <c r="C99" s="26"/>
      <c r="D99" s="26"/>
    </row>
    <row r="100">
      <c r="C100" s="26"/>
      <c r="D100" s="26"/>
    </row>
    <row r="101">
      <c r="C101" s="26"/>
      <c r="D101" s="26"/>
    </row>
    <row r="102">
      <c r="C102" s="26"/>
      <c r="D102" s="26"/>
    </row>
    <row r="103">
      <c r="C103" s="26"/>
      <c r="D103" s="26"/>
    </row>
    <row r="104">
      <c r="C104" s="26"/>
      <c r="D104" s="26"/>
    </row>
    <row r="105">
      <c r="C105" s="26"/>
      <c r="D105" s="26"/>
    </row>
    <row r="106">
      <c r="C106" s="26"/>
      <c r="D106" s="26"/>
    </row>
    <row r="107">
      <c r="C107" s="26"/>
      <c r="D107" s="26"/>
    </row>
    <row r="108">
      <c r="C108" s="26"/>
      <c r="D108" s="26"/>
    </row>
    <row r="109">
      <c r="C109" s="26"/>
      <c r="D109" s="26"/>
    </row>
    <row r="110">
      <c r="C110" s="26"/>
      <c r="D110" s="26"/>
    </row>
    <row r="111">
      <c r="C111" s="26"/>
      <c r="D111" s="26"/>
    </row>
    <row r="112">
      <c r="C112" s="26"/>
      <c r="D112" s="26"/>
    </row>
    <row r="113">
      <c r="C113" s="26"/>
      <c r="D113" s="26"/>
    </row>
    <row r="114">
      <c r="C114" s="26"/>
      <c r="D114" s="26"/>
    </row>
    <row r="115">
      <c r="C115" s="26"/>
      <c r="D115" s="26"/>
    </row>
    <row r="116">
      <c r="C116" s="26"/>
      <c r="D116" s="26"/>
    </row>
    <row r="117">
      <c r="C117" s="26"/>
      <c r="D117" s="26"/>
    </row>
    <row r="118">
      <c r="C118" s="26"/>
      <c r="D118" s="26"/>
    </row>
    <row r="119">
      <c r="C119" s="26"/>
      <c r="D119" s="26"/>
    </row>
    <row r="120">
      <c r="C120" s="26"/>
      <c r="D120" s="26"/>
    </row>
    <row r="121">
      <c r="C121" s="26"/>
      <c r="D121" s="26"/>
    </row>
    <row r="122">
      <c r="C122" s="26"/>
      <c r="D122" s="26"/>
    </row>
    <row r="123">
      <c r="C123" s="26"/>
      <c r="D123" s="26"/>
    </row>
    <row r="124">
      <c r="C124" s="26"/>
      <c r="D124" s="26"/>
    </row>
    <row r="125">
      <c r="C125" s="26"/>
      <c r="D125" s="26"/>
    </row>
    <row r="126">
      <c r="C126" s="26"/>
      <c r="D126" s="26"/>
    </row>
    <row r="127">
      <c r="C127" s="26"/>
      <c r="D127" s="26"/>
    </row>
    <row r="128">
      <c r="C128" s="26"/>
      <c r="D128" s="26"/>
    </row>
    <row r="129">
      <c r="C129" s="26"/>
      <c r="D129" s="26"/>
    </row>
    <row r="130">
      <c r="C130" s="26"/>
      <c r="D130" s="26"/>
    </row>
    <row r="131">
      <c r="C131" s="26"/>
      <c r="D131" s="26"/>
    </row>
    <row r="132">
      <c r="C132" s="26"/>
      <c r="D132" s="26"/>
    </row>
    <row r="133">
      <c r="C133" s="26"/>
      <c r="D133" s="26"/>
    </row>
    <row r="134">
      <c r="C134" s="26"/>
      <c r="D134" s="26"/>
    </row>
    <row r="135">
      <c r="C135" s="26"/>
      <c r="D135" s="26"/>
    </row>
    <row r="136">
      <c r="C136" s="26"/>
      <c r="D136" s="26"/>
    </row>
    <row r="137">
      <c r="C137" s="26"/>
      <c r="D137" s="26"/>
    </row>
    <row r="138">
      <c r="C138" s="26"/>
      <c r="D138" s="26"/>
    </row>
    <row r="139">
      <c r="C139" s="26"/>
      <c r="D139" s="26"/>
    </row>
    <row r="140">
      <c r="C140" s="26"/>
      <c r="D140" s="26"/>
    </row>
    <row r="141">
      <c r="C141" s="26"/>
      <c r="D141" s="26"/>
    </row>
    <row r="142">
      <c r="C142" s="26"/>
      <c r="D142" s="26"/>
    </row>
    <row r="143">
      <c r="C143" s="26"/>
      <c r="D143" s="26"/>
    </row>
    <row r="144">
      <c r="C144" s="26"/>
      <c r="D144" s="26"/>
    </row>
    <row r="145">
      <c r="C145" s="26"/>
      <c r="D145" s="26"/>
    </row>
    <row r="146">
      <c r="C146" s="26"/>
      <c r="D146" s="26"/>
    </row>
    <row r="147">
      <c r="C147" s="26"/>
      <c r="D147" s="26"/>
    </row>
    <row r="148">
      <c r="C148" s="26"/>
      <c r="D148" s="26"/>
    </row>
    <row r="149">
      <c r="C149" s="26"/>
      <c r="D149" s="26"/>
    </row>
    <row r="150">
      <c r="C150" s="26"/>
      <c r="D150" s="26"/>
    </row>
    <row r="151">
      <c r="C151" s="26"/>
      <c r="D151" s="26"/>
    </row>
    <row r="152">
      <c r="C152" s="26"/>
      <c r="D152" s="26"/>
    </row>
    <row r="153">
      <c r="C153" s="26"/>
      <c r="D153" s="26"/>
    </row>
    <row r="154">
      <c r="C154" s="26"/>
      <c r="D154" s="26"/>
    </row>
    <row r="155">
      <c r="C155" s="26"/>
      <c r="D155" s="26"/>
    </row>
    <row r="156">
      <c r="C156" s="26"/>
      <c r="D156" s="26"/>
    </row>
    <row r="157">
      <c r="C157" s="26"/>
      <c r="D157" s="26"/>
    </row>
    <row r="158">
      <c r="C158" s="26"/>
      <c r="D158" s="26"/>
    </row>
    <row r="159">
      <c r="C159" s="26"/>
      <c r="D159" s="26"/>
    </row>
    <row r="160">
      <c r="C160" s="26"/>
      <c r="D160" s="26"/>
    </row>
    <row r="161">
      <c r="C161" s="26"/>
      <c r="D161" s="26"/>
    </row>
    <row r="162">
      <c r="C162" s="26"/>
      <c r="D162" s="26"/>
    </row>
    <row r="163">
      <c r="C163" s="26"/>
      <c r="D163" s="26"/>
    </row>
    <row r="164">
      <c r="C164" s="26"/>
      <c r="D164" s="26"/>
    </row>
    <row r="165">
      <c r="C165" s="26"/>
      <c r="D165" s="26"/>
    </row>
    <row r="166">
      <c r="C166" s="26"/>
      <c r="D166" s="26"/>
    </row>
    <row r="167">
      <c r="C167" s="26"/>
      <c r="D167" s="26"/>
    </row>
    <row r="168">
      <c r="C168" s="26"/>
      <c r="D168" s="26"/>
    </row>
    <row r="169">
      <c r="C169" s="26"/>
      <c r="D169" s="26"/>
    </row>
    <row r="170">
      <c r="C170" s="26"/>
      <c r="D170" s="26"/>
    </row>
    <row r="171">
      <c r="C171" s="26"/>
      <c r="D171" s="26"/>
    </row>
    <row r="172">
      <c r="C172" s="26"/>
      <c r="D172" s="26"/>
    </row>
    <row r="173">
      <c r="C173" s="26"/>
      <c r="D173" s="26"/>
    </row>
    <row r="174">
      <c r="C174" s="26"/>
      <c r="D174" s="26"/>
    </row>
    <row r="175">
      <c r="C175" s="26"/>
      <c r="D175" s="26"/>
    </row>
    <row r="176">
      <c r="C176" s="26"/>
      <c r="D176" s="26"/>
    </row>
    <row r="177">
      <c r="C177" s="26"/>
      <c r="D177" s="26"/>
    </row>
    <row r="178">
      <c r="C178" s="26"/>
      <c r="D178" s="26"/>
    </row>
    <row r="179">
      <c r="C179" s="26"/>
      <c r="D179" s="26"/>
    </row>
    <row r="180">
      <c r="C180" s="26"/>
      <c r="D180" s="26"/>
    </row>
    <row r="181">
      <c r="C181" s="26"/>
      <c r="D181" s="26"/>
    </row>
    <row r="182">
      <c r="C182" s="26"/>
      <c r="D182" s="26"/>
    </row>
    <row r="183">
      <c r="C183" s="26"/>
      <c r="D183" s="26"/>
    </row>
    <row r="184">
      <c r="C184" s="26"/>
      <c r="D184" s="26"/>
    </row>
    <row r="185">
      <c r="C185" s="26"/>
      <c r="D185" s="26"/>
    </row>
    <row r="186">
      <c r="C186" s="26"/>
      <c r="D186" s="26"/>
    </row>
    <row r="187">
      <c r="C187" s="26"/>
      <c r="D187" s="26"/>
    </row>
    <row r="188">
      <c r="C188" s="26"/>
      <c r="D188" s="26"/>
    </row>
    <row r="189">
      <c r="C189" s="26"/>
      <c r="D189" s="26"/>
    </row>
    <row r="190">
      <c r="C190" s="26"/>
      <c r="D190" s="26"/>
    </row>
    <row r="191">
      <c r="C191" s="26"/>
      <c r="D191" s="26"/>
    </row>
    <row r="192">
      <c r="C192" s="26"/>
      <c r="D192" s="26"/>
    </row>
    <row r="193">
      <c r="C193" s="26"/>
      <c r="D193" s="26"/>
    </row>
    <row r="194">
      <c r="C194" s="26"/>
      <c r="D194" s="26"/>
    </row>
    <row r="195">
      <c r="C195" s="26"/>
      <c r="D195" s="26"/>
    </row>
    <row r="196">
      <c r="C196" s="26"/>
      <c r="D196" s="26"/>
    </row>
    <row r="197">
      <c r="C197" s="26"/>
      <c r="D197" s="26"/>
    </row>
    <row r="198">
      <c r="C198" s="26"/>
      <c r="D198" s="26"/>
    </row>
    <row r="199">
      <c r="C199" s="26"/>
      <c r="D199" s="26"/>
    </row>
    <row r="200">
      <c r="C200" s="26"/>
      <c r="D200" s="26"/>
    </row>
    <row r="201">
      <c r="C201" s="26"/>
      <c r="D201" s="26"/>
    </row>
    <row r="202">
      <c r="C202" s="26"/>
      <c r="D202" s="26"/>
    </row>
    <row r="203">
      <c r="C203" s="26"/>
      <c r="D203" s="26"/>
    </row>
    <row r="204">
      <c r="C204" s="26"/>
      <c r="D204" s="26"/>
    </row>
    <row r="205">
      <c r="C205" s="26"/>
      <c r="D205" s="26"/>
    </row>
    <row r="206">
      <c r="C206" s="26"/>
      <c r="D206" s="26"/>
    </row>
    <row r="207">
      <c r="C207" s="26"/>
      <c r="D207" s="26"/>
    </row>
    <row r="208">
      <c r="C208" s="26"/>
      <c r="D208" s="26"/>
    </row>
    <row r="209">
      <c r="C209" s="26"/>
      <c r="D209" s="26"/>
    </row>
    <row r="210">
      <c r="C210" s="26"/>
      <c r="D210" s="26"/>
    </row>
    <row r="211">
      <c r="C211" s="26"/>
      <c r="D211" s="26"/>
    </row>
    <row r="212">
      <c r="C212" s="26"/>
      <c r="D212" s="26"/>
    </row>
    <row r="213">
      <c r="C213" s="26"/>
      <c r="D213" s="26"/>
    </row>
    <row r="214">
      <c r="C214" s="26"/>
      <c r="D214" s="26"/>
    </row>
    <row r="215">
      <c r="C215" s="26"/>
      <c r="D215" s="26"/>
    </row>
    <row r="216">
      <c r="C216" s="26"/>
      <c r="D216" s="26"/>
    </row>
    <row r="217">
      <c r="C217" s="26"/>
      <c r="D217" s="26"/>
    </row>
    <row r="218">
      <c r="C218" s="26"/>
      <c r="D218" s="26"/>
    </row>
    <row r="219">
      <c r="C219" s="26"/>
      <c r="D219" s="26"/>
    </row>
    <row r="220">
      <c r="C220" s="26"/>
      <c r="D220" s="26"/>
    </row>
    <row r="221">
      <c r="C221" s="26"/>
      <c r="D221" s="26"/>
    </row>
    <row r="222">
      <c r="C222" s="26"/>
      <c r="D222" s="26"/>
    </row>
    <row r="223">
      <c r="C223" s="26"/>
      <c r="D223" s="26"/>
    </row>
    <row r="224">
      <c r="C224" s="26"/>
      <c r="D224" s="26"/>
    </row>
    <row r="225">
      <c r="C225" s="26"/>
      <c r="D225" s="26"/>
    </row>
    <row r="226">
      <c r="C226" s="26"/>
      <c r="D226" s="26"/>
    </row>
    <row r="227">
      <c r="C227" s="26"/>
      <c r="D227" s="26"/>
    </row>
    <row r="228">
      <c r="C228" s="26"/>
      <c r="D228" s="26"/>
    </row>
    <row r="229">
      <c r="C229" s="26"/>
      <c r="D229" s="26"/>
    </row>
    <row r="230">
      <c r="C230" s="26"/>
      <c r="D230" s="26"/>
    </row>
    <row r="231">
      <c r="C231" s="26"/>
      <c r="D231" s="26"/>
    </row>
    <row r="232">
      <c r="C232" s="26"/>
      <c r="D232" s="26"/>
    </row>
    <row r="233">
      <c r="C233" s="26"/>
      <c r="D233" s="26"/>
    </row>
    <row r="234">
      <c r="C234" s="26"/>
      <c r="D234" s="26"/>
    </row>
    <row r="235">
      <c r="C235" s="26"/>
      <c r="D235" s="26"/>
    </row>
    <row r="236">
      <c r="C236" s="26"/>
      <c r="D236" s="26"/>
    </row>
    <row r="237">
      <c r="C237" s="26"/>
      <c r="D237" s="26"/>
    </row>
    <row r="238">
      <c r="C238" s="26"/>
      <c r="D238" s="26"/>
    </row>
    <row r="239">
      <c r="C239" s="26"/>
      <c r="D239" s="26"/>
    </row>
    <row r="240">
      <c r="C240" s="26"/>
      <c r="D240" s="26"/>
    </row>
    <row r="241">
      <c r="C241" s="26"/>
      <c r="D241" s="26"/>
    </row>
    <row r="242">
      <c r="C242" s="26"/>
      <c r="D242" s="26"/>
    </row>
    <row r="243">
      <c r="C243" s="26"/>
      <c r="D243" s="26"/>
    </row>
    <row r="244">
      <c r="C244" s="26"/>
      <c r="D244" s="26"/>
    </row>
    <row r="245">
      <c r="C245" s="26"/>
      <c r="D245" s="26"/>
    </row>
    <row r="246">
      <c r="C246" s="26"/>
      <c r="D246" s="26"/>
    </row>
    <row r="247">
      <c r="C247" s="26"/>
      <c r="D247" s="26"/>
    </row>
    <row r="248">
      <c r="C248" s="26"/>
      <c r="D248" s="26"/>
    </row>
    <row r="249">
      <c r="C249" s="26"/>
      <c r="D249" s="26"/>
    </row>
    <row r="250">
      <c r="C250" s="26"/>
      <c r="D250" s="26"/>
    </row>
    <row r="251">
      <c r="C251" s="26"/>
      <c r="D251" s="26"/>
    </row>
    <row r="252">
      <c r="C252" s="26"/>
      <c r="D252" s="26"/>
    </row>
    <row r="253">
      <c r="C253" s="26"/>
      <c r="D253" s="26"/>
    </row>
    <row r="254">
      <c r="C254" s="26"/>
      <c r="D254" s="26"/>
    </row>
    <row r="255">
      <c r="C255" s="26"/>
      <c r="D255" s="26"/>
    </row>
    <row r="256">
      <c r="C256" s="26"/>
      <c r="D256" s="26"/>
    </row>
    <row r="257">
      <c r="C257" s="26"/>
      <c r="D257" s="26"/>
    </row>
    <row r="258">
      <c r="C258" s="26"/>
      <c r="D258" s="26"/>
    </row>
    <row r="259">
      <c r="C259" s="26"/>
      <c r="D259" s="26"/>
    </row>
    <row r="260">
      <c r="C260" s="26"/>
      <c r="D260" s="26"/>
    </row>
    <row r="261">
      <c r="C261" s="26"/>
      <c r="D261" s="26"/>
    </row>
    <row r="262">
      <c r="C262" s="26"/>
      <c r="D262" s="26"/>
    </row>
    <row r="263">
      <c r="C263" s="26"/>
      <c r="D263" s="26"/>
    </row>
    <row r="264">
      <c r="C264" s="26"/>
      <c r="D264" s="26"/>
    </row>
    <row r="265">
      <c r="C265" s="26"/>
      <c r="D265" s="26"/>
    </row>
    <row r="266">
      <c r="C266" s="26"/>
      <c r="D266" s="26"/>
    </row>
    <row r="267">
      <c r="C267" s="26"/>
      <c r="D267" s="26"/>
    </row>
    <row r="268">
      <c r="C268" s="26"/>
      <c r="D268" s="26"/>
    </row>
    <row r="269">
      <c r="C269" s="26"/>
      <c r="D269" s="26"/>
    </row>
    <row r="270">
      <c r="C270" s="26"/>
      <c r="D270" s="26"/>
    </row>
    <row r="271">
      <c r="C271" s="26"/>
      <c r="D271" s="26"/>
    </row>
    <row r="272">
      <c r="C272" s="26"/>
      <c r="D272" s="26"/>
    </row>
    <row r="273">
      <c r="C273" s="26"/>
      <c r="D273" s="26"/>
    </row>
    <row r="274">
      <c r="C274" s="26"/>
      <c r="D274" s="26"/>
    </row>
    <row r="275">
      <c r="C275" s="26"/>
      <c r="D275" s="26"/>
    </row>
    <row r="276">
      <c r="C276" s="26"/>
      <c r="D276" s="26"/>
    </row>
    <row r="277">
      <c r="C277" s="26"/>
      <c r="D277" s="26"/>
    </row>
    <row r="278">
      <c r="C278" s="26"/>
      <c r="D278" s="26"/>
    </row>
    <row r="279">
      <c r="C279" s="26"/>
      <c r="D279" s="26"/>
    </row>
    <row r="280">
      <c r="C280" s="26"/>
      <c r="D280" s="26"/>
    </row>
    <row r="281">
      <c r="C281" s="26"/>
      <c r="D281" s="26"/>
    </row>
    <row r="282">
      <c r="C282" s="26"/>
      <c r="D282" s="26"/>
    </row>
    <row r="283">
      <c r="C283" s="26"/>
      <c r="D283" s="26"/>
    </row>
    <row r="284">
      <c r="C284" s="26"/>
      <c r="D284" s="26"/>
    </row>
    <row r="285">
      <c r="C285" s="26"/>
      <c r="D285" s="26"/>
    </row>
    <row r="286">
      <c r="C286" s="26"/>
      <c r="D286" s="26"/>
    </row>
    <row r="287">
      <c r="C287" s="26"/>
      <c r="D287" s="26"/>
    </row>
    <row r="288">
      <c r="C288" s="26"/>
      <c r="D288" s="26"/>
    </row>
    <row r="289">
      <c r="C289" s="26"/>
      <c r="D289" s="26"/>
    </row>
    <row r="290">
      <c r="C290" s="26"/>
      <c r="D290" s="26"/>
    </row>
    <row r="291">
      <c r="C291" s="26"/>
      <c r="D291" s="26"/>
    </row>
    <row r="292">
      <c r="C292" s="26"/>
      <c r="D292" s="26"/>
    </row>
    <row r="293">
      <c r="C293" s="26"/>
      <c r="D293" s="26"/>
    </row>
    <row r="294">
      <c r="C294" s="26"/>
      <c r="D294" s="26"/>
    </row>
    <row r="295">
      <c r="C295" s="26"/>
      <c r="D295" s="26"/>
    </row>
    <row r="296">
      <c r="C296" s="26"/>
      <c r="D296" s="26"/>
    </row>
    <row r="297">
      <c r="C297" s="26"/>
      <c r="D297" s="26"/>
    </row>
    <row r="298">
      <c r="C298" s="26"/>
      <c r="D298" s="26"/>
    </row>
    <row r="299">
      <c r="C299" s="26"/>
      <c r="D299" s="26"/>
    </row>
    <row r="300">
      <c r="C300" s="26"/>
      <c r="D300" s="26"/>
    </row>
    <row r="301">
      <c r="C301" s="26"/>
      <c r="D301" s="26"/>
    </row>
    <row r="302">
      <c r="C302" s="26"/>
      <c r="D302" s="26"/>
    </row>
    <row r="303">
      <c r="C303" s="26"/>
      <c r="D303" s="26"/>
    </row>
    <row r="304">
      <c r="C304" s="26"/>
      <c r="D304" s="26"/>
    </row>
    <row r="305">
      <c r="C305" s="26"/>
      <c r="D305" s="26"/>
    </row>
    <row r="306">
      <c r="C306" s="26"/>
      <c r="D306" s="26"/>
    </row>
    <row r="307">
      <c r="C307" s="26"/>
      <c r="D307" s="26"/>
    </row>
    <row r="308">
      <c r="C308" s="26"/>
      <c r="D308" s="26"/>
    </row>
    <row r="309">
      <c r="C309" s="26"/>
      <c r="D309" s="26"/>
    </row>
    <row r="310">
      <c r="C310" s="26"/>
      <c r="D310" s="26"/>
    </row>
    <row r="311">
      <c r="C311" s="26"/>
      <c r="D311" s="26"/>
    </row>
    <row r="312">
      <c r="C312" s="26"/>
      <c r="D312" s="26"/>
    </row>
    <row r="313">
      <c r="C313" s="26"/>
      <c r="D313" s="26"/>
    </row>
    <row r="314">
      <c r="C314" s="26"/>
      <c r="D314" s="26"/>
    </row>
    <row r="315">
      <c r="C315" s="26"/>
      <c r="D315" s="26"/>
    </row>
    <row r="316">
      <c r="C316" s="26"/>
      <c r="D316" s="26"/>
    </row>
    <row r="317">
      <c r="C317" s="26"/>
      <c r="D317" s="26"/>
    </row>
    <row r="318">
      <c r="C318" s="26"/>
      <c r="D318" s="26"/>
    </row>
    <row r="319">
      <c r="C319" s="26"/>
      <c r="D319" s="26"/>
    </row>
    <row r="320">
      <c r="C320" s="26"/>
      <c r="D320" s="26"/>
    </row>
    <row r="321">
      <c r="C321" s="26"/>
      <c r="D321" s="26"/>
    </row>
    <row r="322">
      <c r="C322" s="26"/>
      <c r="D322" s="26"/>
    </row>
    <row r="323">
      <c r="C323" s="26"/>
      <c r="D323" s="26"/>
    </row>
    <row r="324">
      <c r="C324" s="26"/>
      <c r="D324" s="26"/>
    </row>
    <row r="325">
      <c r="C325" s="26"/>
      <c r="D325" s="26"/>
    </row>
    <row r="326">
      <c r="C326" s="26"/>
      <c r="D326" s="26"/>
    </row>
    <row r="327">
      <c r="C327" s="26"/>
      <c r="D327" s="26"/>
    </row>
    <row r="328">
      <c r="C328" s="26"/>
      <c r="D328" s="26"/>
    </row>
    <row r="329">
      <c r="C329" s="26"/>
      <c r="D329" s="26"/>
    </row>
    <row r="330">
      <c r="C330" s="26"/>
      <c r="D330" s="26"/>
    </row>
    <row r="331">
      <c r="C331" s="26"/>
      <c r="D331" s="26"/>
    </row>
    <row r="332">
      <c r="C332" s="26"/>
      <c r="D332" s="26"/>
    </row>
    <row r="333">
      <c r="C333" s="26"/>
      <c r="D333" s="26"/>
    </row>
    <row r="334">
      <c r="C334" s="26"/>
      <c r="D334" s="26"/>
    </row>
    <row r="335">
      <c r="C335" s="26"/>
      <c r="D335" s="26"/>
    </row>
    <row r="336">
      <c r="C336" s="26"/>
      <c r="D336" s="26"/>
    </row>
    <row r="337">
      <c r="C337" s="26"/>
      <c r="D337" s="26"/>
    </row>
    <row r="338">
      <c r="C338" s="26"/>
      <c r="D338" s="26"/>
    </row>
    <row r="339">
      <c r="C339" s="26"/>
      <c r="D339" s="26"/>
    </row>
    <row r="340">
      <c r="C340" s="26"/>
      <c r="D340" s="26"/>
    </row>
    <row r="341">
      <c r="C341" s="26"/>
      <c r="D341" s="26"/>
    </row>
    <row r="342">
      <c r="C342" s="26"/>
      <c r="D342" s="26"/>
    </row>
    <row r="343">
      <c r="C343" s="26"/>
      <c r="D343" s="26"/>
    </row>
    <row r="344">
      <c r="C344" s="26"/>
      <c r="D344" s="26"/>
    </row>
    <row r="345">
      <c r="C345" s="26"/>
      <c r="D345" s="26"/>
    </row>
    <row r="346">
      <c r="C346" s="26"/>
      <c r="D346" s="26"/>
    </row>
    <row r="347">
      <c r="C347" s="26"/>
      <c r="D347" s="26"/>
    </row>
    <row r="348">
      <c r="C348" s="26"/>
      <c r="D348" s="26"/>
    </row>
    <row r="349">
      <c r="C349" s="26"/>
      <c r="D349" s="26"/>
    </row>
    <row r="350">
      <c r="C350" s="26"/>
      <c r="D350" s="26"/>
    </row>
    <row r="351">
      <c r="C351" s="26"/>
      <c r="D351" s="26"/>
    </row>
    <row r="352">
      <c r="C352" s="26"/>
      <c r="D352" s="26"/>
    </row>
    <row r="353">
      <c r="C353" s="26"/>
      <c r="D353" s="26"/>
    </row>
    <row r="354">
      <c r="C354" s="26"/>
      <c r="D354" s="26"/>
    </row>
    <row r="355">
      <c r="C355" s="26"/>
      <c r="D355" s="26"/>
    </row>
    <row r="356">
      <c r="C356" s="26"/>
      <c r="D356" s="26"/>
    </row>
    <row r="357">
      <c r="C357" s="26"/>
      <c r="D357" s="26"/>
    </row>
    <row r="358">
      <c r="C358" s="26"/>
      <c r="D358" s="26"/>
    </row>
    <row r="359">
      <c r="C359" s="26"/>
      <c r="D359" s="26"/>
    </row>
    <row r="360">
      <c r="C360" s="26"/>
      <c r="D360" s="26"/>
    </row>
    <row r="361">
      <c r="C361" s="26"/>
      <c r="D361" s="26"/>
    </row>
    <row r="362">
      <c r="C362" s="26"/>
      <c r="D362" s="26"/>
    </row>
    <row r="363">
      <c r="C363" s="26"/>
      <c r="D363" s="26"/>
    </row>
    <row r="364">
      <c r="C364" s="26"/>
      <c r="D364" s="26"/>
    </row>
    <row r="365">
      <c r="C365" s="26"/>
      <c r="D365" s="26"/>
    </row>
    <row r="366">
      <c r="C366" s="26"/>
      <c r="D366" s="26"/>
    </row>
    <row r="367">
      <c r="C367" s="26"/>
      <c r="D367" s="26"/>
    </row>
    <row r="368">
      <c r="C368" s="26"/>
      <c r="D368" s="26"/>
    </row>
    <row r="369">
      <c r="C369" s="26"/>
      <c r="D369" s="26"/>
    </row>
    <row r="370">
      <c r="C370" s="26"/>
      <c r="D370" s="26"/>
    </row>
    <row r="371">
      <c r="C371" s="26"/>
      <c r="D371" s="26"/>
    </row>
    <row r="372">
      <c r="C372" s="26"/>
      <c r="D372" s="26"/>
    </row>
    <row r="373">
      <c r="C373" s="26"/>
      <c r="D373" s="26"/>
    </row>
    <row r="374">
      <c r="C374" s="26"/>
      <c r="D374" s="26"/>
    </row>
    <row r="375">
      <c r="C375" s="26"/>
      <c r="D375" s="26"/>
    </row>
    <row r="376">
      <c r="C376" s="26"/>
      <c r="D376" s="26"/>
    </row>
    <row r="377">
      <c r="C377" s="26"/>
      <c r="D377" s="26"/>
    </row>
    <row r="378">
      <c r="C378" s="26"/>
      <c r="D378" s="26"/>
    </row>
    <row r="379">
      <c r="C379" s="26"/>
      <c r="D379" s="26"/>
    </row>
    <row r="380">
      <c r="C380" s="26"/>
      <c r="D380" s="26"/>
    </row>
    <row r="381">
      <c r="C381" s="26"/>
      <c r="D381" s="26"/>
    </row>
    <row r="382">
      <c r="C382" s="26"/>
      <c r="D382" s="26"/>
    </row>
    <row r="383">
      <c r="C383" s="26"/>
      <c r="D383" s="26"/>
    </row>
    <row r="384">
      <c r="C384" s="26"/>
      <c r="D384" s="26"/>
    </row>
    <row r="385">
      <c r="C385" s="26"/>
      <c r="D385" s="26"/>
    </row>
    <row r="386">
      <c r="C386" s="26"/>
      <c r="D386" s="26"/>
    </row>
    <row r="387">
      <c r="C387" s="26"/>
      <c r="D387" s="26"/>
    </row>
    <row r="388">
      <c r="C388" s="26"/>
      <c r="D388" s="26"/>
    </row>
    <row r="389">
      <c r="C389" s="26"/>
      <c r="D389" s="26"/>
    </row>
    <row r="390">
      <c r="C390" s="26"/>
      <c r="D390" s="26"/>
    </row>
    <row r="391">
      <c r="C391" s="26"/>
      <c r="D391" s="26"/>
    </row>
    <row r="392">
      <c r="C392" s="26"/>
      <c r="D392" s="26"/>
    </row>
    <row r="393">
      <c r="C393" s="26"/>
      <c r="D393" s="26"/>
    </row>
    <row r="394">
      <c r="C394" s="26"/>
      <c r="D394" s="26"/>
    </row>
    <row r="395">
      <c r="C395" s="26"/>
      <c r="D395" s="26"/>
    </row>
    <row r="396">
      <c r="C396" s="26"/>
      <c r="D396" s="26"/>
    </row>
    <row r="397">
      <c r="C397" s="26"/>
      <c r="D397" s="26"/>
    </row>
    <row r="398">
      <c r="C398" s="26"/>
      <c r="D398" s="26"/>
    </row>
    <row r="399">
      <c r="C399" s="26"/>
      <c r="D399" s="26"/>
    </row>
    <row r="400">
      <c r="C400" s="26"/>
      <c r="D400" s="26"/>
    </row>
    <row r="401">
      <c r="C401" s="26"/>
      <c r="D401" s="26"/>
    </row>
    <row r="402">
      <c r="C402" s="26"/>
      <c r="D402" s="26"/>
    </row>
    <row r="403">
      <c r="C403" s="26"/>
      <c r="D403" s="26"/>
    </row>
    <row r="404">
      <c r="C404" s="26"/>
      <c r="D404" s="26"/>
    </row>
    <row r="405">
      <c r="C405" s="26"/>
      <c r="D405" s="26"/>
    </row>
    <row r="406">
      <c r="C406" s="26"/>
      <c r="D406" s="26"/>
    </row>
    <row r="407">
      <c r="C407" s="26"/>
      <c r="D407" s="26"/>
    </row>
    <row r="408">
      <c r="C408" s="26"/>
      <c r="D408" s="26"/>
    </row>
    <row r="409">
      <c r="C409" s="26"/>
      <c r="D409" s="26"/>
    </row>
    <row r="410">
      <c r="C410" s="26"/>
      <c r="D410" s="26"/>
    </row>
    <row r="411">
      <c r="C411" s="26"/>
      <c r="D411" s="26"/>
    </row>
    <row r="412">
      <c r="C412" s="26"/>
      <c r="D412" s="26"/>
    </row>
    <row r="413">
      <c r="C413" s="26"/>
      <c r="D413" s="26"/>
    </row>
    <row r="414">
      <c r="C414" s="26"/>
      <c r="D414" s="26"/>
    </row>
    <row r="415">
      <c r="C415" s="26"/>
      <c r="D415" s="26"/>
    </row>
    <row r="416">
      <c r="C416" s="26"/>
      <c r="D416" s="26"/>
    </row>
    <row r="417">
      <c r="C417" s="26"/>
      <c r="D417" s="26"/>
    </row>
    <row r="418">
      <c r="C418" s="26"/>
      <c r="D418" s="26"/>
    </row>
    <row r="419">
      <c r="C419" s="26"/>
      <c r="D419" s="26"/>
    </row>
    <row r="420">
      <c r="C420" s="26"/>
      <c r="D420" s="26"/>
    </row>
    <row r="421">
      <c r="C421" s="26"/>
      <c r="D421" s="26"/>
    </row>
    <row r="422">
      <c r="C422" s="26"/>
      <c r="D422" s="26"/>
    </row>
    <row r="423">
      <c r="C423" s="26"/>
      <c r="D423" s="26"/>
    </row>
    <row r="424">
      <c r="C424" s="26"/>
      <c r="D424" s="26"/>
    </row>
    <row r="425">
      <c r="C425" s="26"/>
      <c r="D425" s="26"/>
    </row>
    <row r="426">
      <c r="C426" s="26"/>
      <c r="D426" s="26"/>
    </row>
    <row r="427">
      <c r="C427" s="26"/>
      <c r="D427" s="26"/>
    </row>
    <row r="428">
      <c r="C428" s="26"/>
      <c r="D428" s="26"/>
    </row>
    <row r="429">
      <c r="C429" s="26"/>
      <c r="D429" s="26"/>
    </row>
    <row r="430">
      <c r="C430" s="26"/>
      <c r="D430" s="26"/>
    </row>
    <row r="431">
      <c r="C431" s="26"/>
      <c r="D431" s="26"/>
    </row>
    <row r="432">
      <c r="C432" s="26"/>
      <c r="D432" s="26"/>
    </row>
    <row r="433">
      <c r="C433" s="26"/>
      <c r="D433" s="26"/>
    </row>
    <row r="434">
      <c r="C434" s="26"/>
      <c r="D434" s="26"/>
    </row>
    <row r="435">
      <c r="C435" s="26"/>
      <c r="D435" s="26"/>
    </row>
    <row r="436">
      <c r="C436" s="26"/>
      <c r="D436" s="26"/>
    </row>
    <row r="437">
      <c r="C437" s="26"/>
      <c r="D437" s="26"/>
    </row>
    <row r="438">
      <c r="C438" s="26"/>
      <c r="D438" s="26"/>
    </row>
    <row r="439">
      <c r="C439" s="26"/>
      <c r="D439" s="26"/>
    </row>
    <row r="440">
      <c r="C440" s="26"/>
      <c r="D440" s="26"/>
    </row>
    <row r="441">
      <c r="C441" s="26"/>
      <c r="D441" s="26"/>
    </row>
    <row r="442">
      <c r="C442" s="26"/>
      <c r="D442" s="26"/>
    </row>
    <row r="443">
      <c r="C443" s="26"/>
      <c r="D443" s="26"/>
    </row>
    <row r="444">
      <c r="C444" s="26"/>
      <c r="D444" s="26"/>
    </row>
    <row r="445">
      <c r="C445" s="26"/>
      <c r="D445" s="26"/>
    </row>
    <row r="446">
      <c r="C446" s="26"/>
      <c r="D446" s="26"/>
    </row>
    <row r="447">
      <c r="C447" s="26"/>
      <c r="D447" s="26"/>
    </row>
    <row r="448">
      <c r="C448" s="26"/>
      <c r="D448" s="26"/>
    </row>
    <row r="449">
      <c r="C449" s="26"/>
      <c r="D449" s="26"/>
    </row>
    <row r="450">
      <c r="C450" s="26"/>
      <c r="D450" s="26"/>
    </row>
    <row r="451">
      <c r="C451" s="26"/>
      <c r="D451" s="26"/>
    </row>
    <row r="452">
      <c r="C452" s="26"/>
      <c r="D452" s="26"/>
    </row>
    <row r="453">
      <c r="C453" s="26"/>
      <c r="D453" s="26"/>
    </row>
    <row r="454">
      <c r="C454" s="26"/>
      <c r="D454" s="26"/>
    </row>
    <row r="455">
      <c r="C455" s="26"/>
      <c r="D455" s="26"/>
    </row>
    <row r="456">
      <c r="C456" s="26"/>
      <c r="D456" s="26"/>
    </row>
    <row r="457">
      <c r="C457" s="26"/>
      <c r="D457" s="26"/>
    </row>
    <row r="458">
      <c r="C458" s="26"/>
      <c r="D458" s="26"/>
    </row>
    <row r="459">
      <c r="C459" s="26"/>
      <c r="D459" s="26"/>
    </row>
    <row r="460">
      <c r="C460" s="26"/>
      <c r="D460" s="26"/>
    </row>
    <row r="461">
      <c r="C461" s="26"/>
      <c r="D461" s="26"/>
    </row>
    <row r="462">
      <c r="C462" s="26"/>
      <c r="D462" s="26"/>
    </row>
    <row r="463">
      <c r="C463" s="26"/>
      <c r="D463" s="26"/>
    </row>
    <row r="464">
      <c r="C464" s="26"/>
      <c r="D464" s="26"/>
    </row>
    <row r="465">
      <c r="C465" s="26"/>
      <c r="D465" s="26"/>
    </row>
    <row r="466">
      <c r="C466" s="26"/>
      <c r="D466" s="26"/>
    </row>
    <row r="467">
      <c r="C467" s="26"/>
      <c r="D467" s="26"/>
    </row>
    <row r="468">
      <c r="C468" s="26"/>
      <c r="D468" s="26"/>
    </row>
    <row r="469">
      <c r="C469" s="26"/>
      <c r="D469" s="26"/>
    </row>
    <row r="470">
      <c r="C470" s="26"/>
      <c r="D470" s="26"/>
    </row>
    <row r="471">
      <c r="C471" s="26"/>
      <c r="D471" s="26"/>
    </row>
    <row r="472">
      <c r="C472" s="26"/>
      <c r="D472" s="26"/>
    </row>
    <row r="473">
      <c r="C473" s="26"/>
      <c r="D473" s="26"/>
    </row>
    <row r="474">
      <c r="C474" s="26"/>
      <c r="D474" s="26"/>
    </row>
    <row r="475">
      <c r="C475" s="26"/>
      <c r="D475" s="26"/>
    </row>
    <row r="476">
      <c r="C476" s="26"/>
      <c r="D476" s="26"/>
    </row>
    <row r="477">
      <c r="C477" s="26"/>
      <c r="D477" s="26"/>
    </row>
    <row r="478">
      <c r="C478" s="26"/>
      <c r="D478" s="26"/>
    </row>
    <row r="479">
      <c r="C479" s="26"/>
      <c r="D479" s="26"/>
    </row>
    <row r="480">
      <c r="C480" s="26"/>
      <c r="D480" s="26"/>
    </row>
    <row r="481">
      <c r="C481" s="26"/>
      <c r="D481" s="26"/>
    </row>
    <row r="482">
      <c r="C482" s="26"/>
      <c r="D482" s="26"/>
    </row>
    <row r="483">
      <c r="C483" s="26"/>
      <c r="D483" s="26"/>
    </row>
    <row r="484">
      <c r="C484" s="26"/>
      <c r="D484" s="26"/>
    </row>
    <row r="485">
      <c r="C485" s="26"/>
      <c r="D485" s="26"/>
    </row>
    <row r="486">
      <c r="C486" s="26"/>
      <c r="D486" s="26"/>
    </row>
    <row r="487">
      <c r="C487" s="26"/>
      <c r="D487" s="26"/>
    </row>
    <row r="488">
      <c r="C488" s="26"/>
      <c r="D488" s="26"/>
    </row>
    <row r="489">
      <c r="C489" s="26"/>
      <c r="D489" s="26"/>
    </row>
    <row r="490">
      <c r="C490" s="26"/>
      <c r="D490" s="26"/>
    </row>
    <row r="491">
      <c r="C491" s="26"/>
      <c r="D491" s="26"/>
    </row>
    <row r="492">
      <c r="C492" s="26"/>
      <c r="D492" s="26"/>
    </row>
    <row r="493">
      <c r="C493" s="26"/>
      <c r="D493" s="26"/>
    </row>
    <row r="494">
      <c r="C494" s="26"/>
      <c r="D494" s="26"/>
    </row>
    <row r="495">
      <c r="C495" s="26"/>
      <c r="D495" s="26"/>
    </row>
    <row r="496">
      <c r="C496" s="26"/>
      <c r="D496" s="26"/>
    </row>
    <row r="497">
      <c r="C497" s="26"/>
      <c r="D497" s="26"/>
    </row>
    <row r="498">
      <c r="C498" s="26"/>
      <c r="D498" s="26"/>
    </row>
    <row r="499">
      <c r="C499" s="26"/>
      <c r="D499" s="26"/>
    </row>
    <row r="500">
      <c r="C500" s="26"/>
      <c r="D500" s="26"/>
    </row>
    <row r="501">
      <c r="C501" s="26"/>
      <c r="D501" s="26"/>
    </row>
    <row r="502">
      <c r="C502" s="26"/>
      <c r="D502" s="26"/>
    </row>
    <row r="503">
      <c r="C503" s="26"/>
      <c r="D503" s="26"/>
    </row>
    <row r="504">
      <c r="C504" s="26"/>
      <c r="D504" s="26"/>
    </row>
    <row r="505">
      <c r="C505" s="26"/>
      <c r="D505" s="26"/>
    </row>
    <row r="506">
      <c r="C506" s="26"/>
      <c r="D506" s="26"/>
    </row>
    <row r="507">
      <c r="C507" s="26"/>
      <c r="D507" s="26"/>
    </row>
    <row r="508">
      <c r="C508" s="26"/>
      <c r="D508" s="26"/>
    </row>
    <row r="509">
      <c r="C509" s="26"/>
      <c r="D509" s="26"/>
    </row>
    <row r="510">
      <c r="C510" s="26"/>
      <c r="D510" s="26"/>
    </row>
    <row r="511">
      <c r="C511" s="26"/>
      <c r="D511" s="26"/>
    </row>
    <row r="512">
      <c r="C512" s="26"/>
      <c r="D512" s="26"/>
    </row>
    <row r="513">
      <c r="C513" s="26"/>
      <c r="D513" s="26"/>
    </row>
    <row r="514">
      <c r="C514" s="26"/>
      <c r="D514" s="26"/>
    </row>
    <row r="515">
      <c r="C515" s="26"/>
      <c r="D515" s="26"/>
    </row>
    <row r="516">
      <c r="C516" s="26"/>
      <c r="D516" s="26"/>
    </row>
    <row r="517">
      <c r="C517" s="26"/>
      <c r="D517" s="26"/>
    </row>
    <row r="518">
      <c r="C518" s="26"/>
      <c r="D518" s="26"/>
    </row>
    <row r="519">
      <c r="C519" s="26"/>
      <c r="D519" s="26"/>
    </row>
    <row r="520">
      <c r="C520" s="26"/>
      <c r="D520" s="26"/>
    </row>
    <row r="521">
      <c r="C521" s="26"/>
      <c r="D521" s="26"/>
    </row>
    <row r="522">
      <c r="C522" s="26"/>
      <c r="D522" s="26"/>
    </row>
    <row r="523">
      <c r="C523" s="26"/>
      <c r="D523" s="26"/>
    </row>
    <row r="524">
      <c r="C524" s="26"/>
      <c r="D524" s="26"/>
    </row>
    <row r="525">
      <c r="C525" s="26"/>
      <c r="D525" s="26"/>
    </row>
    <row r="526">
      <c r="C526" s="26"/>
      <c r="D526" s="26"/>
    </row>
    <row r="527">
      <c r="C527" s="26"/>
      <c r="D527" s="26"/>
    </row>
    <row r="528">
      <c r="C528" s="26"/>
      <c r="D528" s="26"/>
    </row>
    <row r="529">
      <c r="C529" s="26"/>
      <c r="D529" s="26"/>
    </row>
    <row r="530">
      <c r="C530" s="26"/>
      <c r="D530" s="26"/>
    </row>
    <row r="531">
      <c r="C531" s="26"/>
      <c r="D531" s="26"/>
    </row>
    <row r="532">
      <c r="C532" s="26"/>
      <c r="D532" s="26"/>
    </row>
    <row r="533">
      <c r="C533" s="26"/>
      <c r="D533" s="26"/>
    </row>
    <row r="534">
      <c r="C534" s="26"/>
      <c r="D534" s="26"/>
    </row>
    <row r="535">
      <c r="C535" s="26"/>
      <c r="D535" s="26"/>
    </row>
    <row r="536">
      <c r="C536" s="26"/>
      <c r="D536" s="26"/>
    </row>
    <row r="537">
      <c r="C537" s="26"/>
      <c r="D537" s="26"/>
    </row>
    <row r="538">
      <c r="C538" s="26"/>
      <c r="D538" s="26"/>
    </row>
    <row r="539">
      <c r="C539" s="26"/>
      <c r="D539" s="26"/>
    </row>
    <row r="540">
      <c r="C540" s="26"/>
      <c r="D540" s="26"/>
    </row>
    <row r="541">
      <c r="C541" s="26"/>
      <c r="D541" s="26"/>
    </row>
    <row r="542">
      <c r="C542" s="26"/>
      <c r="D542" s="26"/>
    </row>
    <row r="543">
      <c r="C543" s="26"/>
      <c r="D543" s="26"/>
    </row>
    <row r="544">
      <c r="C544" s="26"/>
      <c r="D544" s="26"/>
    </row>
    <row r="545">
      <c r="C545" s="26"/>
      <c r="D545" s="26"/>
    </row>
    <row r="546">
      <c r="C546" s="26"/>
      <c r="D546" s="26"/>
    </row>
    <row r="547">
      <c r="C547" s="26"/>
      <c r="D547" s="26"/>
    </row>
    <row r="548">
      <c r="C548" s="26"/>
      <c r="D548" s="26"/>
    </row>
    <row r="549">
      <c r="C549" s="26"/>
      <c r="D549" s="26"/>
    </row>
    <row r="550">
      <c r="C550" s="26"/>
      <c r="D550" s="26"/>
    </row>
    <row r="551">
      <c r="C551" s="26"/>
      <c r="D551" s="26"/>
    </row>
    <row r="552">
      <c r="C552" s="26"/>
      <c r="D552" s="26"/>
    </row>
    <row r="553">
      <c r="C553" s="26"/>
      <c r="D553" s="26"/>
    </row>
    <row r="554">
      <c r="C554" s="26"/>
      <c r="D554" s="26"/>
    </row>
    <row r="555">
      <c r="C555" s="26"/>
      <c r="D555" s="26"/>
    </row>
    <row r="556">
      <c r="C556" s="26"/>
      <c r="D556" s="26"/>
    </row>
    <row r="557">
      <c r="C557" s="26"/>
      <c r="D557" s="26"/>
    </row>
    <row r="558">
      <c r="C558" s="26"/>
      <c r="D558" s="26"/>
    </row>
    <row r="559">
      <c r="C559" s="26"/>
      <c r="D559" s="26"/>
    </row>
    <row r="560">
      <c r="C560" s="26"/>
      <c r="D560" s="26"/>
    </row>
    <row r="561">
      <c r="C561" s="26"/>
      <c r="D561" s="26"/>
    </row>
    <row r="562">
      <c r="C562" s="26"/>
      <c r="D562" s="26"/>
    </row>
    <row r="563">
      <c r="C563" s="26"/>
      <c r="D563" s="26"/>
    </row>
    <row r="564">
      <c r="C564" s="26"/>
      <c r="D564" s="26"/>
    </row>
    <row r="565">
      <c r="C565" s="26"/>
      <c r="D565" s="26"/>
    </row>
    <row r="566">
      <c r="C566" s="26"/>
      <c r="D566" s="26"/>
    </row>
    <row r="567">
      <c r="C567" s="26"/>
      <c r="D567" s="26"/>
    </row>
    <row r="568">
      <c r="C568" s="26"/>
      <c r="D568" s="26"/>
    </row>
    <row r="569">
      <c r="C569" s="26"/>
      <c r="D569" s="26"/>
    </row>
    <row r="570">
      <c r="C570" s="26"/>
      <c r="D570" s="26"/>
    </row>
    <row r="571">
      <c r="C571" s="26"/>
      <c r="D571" s="26"/>
    </row>
    <row r="572">
      <c r="C572" s="26"/>
      <c r="D572" s="26"/>
    </row>
    <row r="573">
      <c r="C573" s="26"/>
      <c r="D573" s="26"/>
    </row>
    <row r="574">
      <c r="C574" s="26"/>
      <c r="D574" s="26"/>
    </row>
    <row r="575">
      <c r="C575" s="26"/>
      <c r="D575" s="26"/>
    </row>
    <row r="576">
      <c r="C576" s="26"/>
      <c r="D576" s="26"/>
    </row>
    <row r="577">
      <c r="C577" s="26"/>
      <c r="D577" s="26"/>
    </row>
    <row r="578">
      <c r="C578" s="26"/>
      <c r="D578" s="26"/>
    </row>
    <row r="579">
      <c r="C579" s="26"/>
      <c r="D579" s="26"/>
    </row>
    <row r="580">
      <c r="C580" s="26"/>
      <c r="D580" s="26"/>
    </row>
    <row r="581">
      <c r="C581" s="26"/>
      <c r="D581" s="26"/>
    </row>
    <row r="582">
      <c r="C582" s="26"/>
      <c r="D582" s="26"/>
    </row>
    <row r="583">
      <c r="C583" s="26"/>
      <c r="D583" s="26"/>
    </row>
    <row r="584">
      <c r="C584" s="26"/>
      <c r="D584" s="26"/>
    </row>
    <row r="585">
      <c r="C585" s="26"/>
      <c r="D585" s="26"/>
    </row>
    <row r="586">
      <c r="C586" s="26"/>
      <c r="D586" s="26"/>
    </row>
    <row r="587">
      <c r="C587" s="26"/>
      <c r="D587" s="26"/>
    </row>
    <row r="588">
      <c r="C588" s="26"/>
      <c r="D588" s="26"/>
    </row>
    <row r="589">
      <c r="C589" s="26"/>
      <c r="D589" s="26"/>
    </row>
    <row r="590">
      <c r="C590" s="26"/>
      <c r="D590" s="26"/>
    </row>
    <row r="591">
      <c r="C591" s="26"/>
      <c r="D591" s="26"/>
    </row>
    <row r="592">
      <c r="C592" s="26"/>
      <c r="D592" s="26"/>
    </row>
    <row r="593">
      <c r="C593" s="26"/>
      <c r="D593" s="26"/>
    </row>
    <row r="594">
      <c r="C594" s="26"/>
      <c r="D594" s="26"/>
    </row>
    <row r="595">
      <c r="C595" s="26"/>
      <c r="D595" s="26"/>
    </row>
    <row r="596">
      <c r="C596" s="26"/>
      <c r="D596" s="26"/>
    </row>
    <row r="597">
      <c r="C597" s="26"/>
      <c r="D597" s="26"/>
    </row>
    <row r="598">
      <c r="C598" s="26"/>
      <c r="D598" s="26"/>
    </row>
    <row r="599">
      <c r="C599" s="26"/>
      <c r="D599" s="26"/>
    </row>
    <row r="600">
      <c r="C600" s="26"/>
      <c r="D600" s="26"/>
    </row>
    <row r="601">
      <c r="C601" s="26"/>
      <c r="D601" s="26"/>
    </row>
    <row r="602">
      <c r="C602" s="26"/>
      <c r="D602" s="26"/>
    </row>
    <row r="603">
      <c r="C603" s="26"/>
      <c r="D603" s="26"/>
    </row>
    <row r="604">
      <c r="C604" s="26"/>
      <c r="D604" s="26"/>
    </row>
    <row r="605">
      <c r="C605" s="26"/>
      <c r="D605" s="26"/>
    </row>
    <row r="606">
      <c r="C606" s="26"/>
      <c r="D606" s="26"/>
    </row>
    <row r="607">
      <c r="C607" s="26"/>
      <c r="D607" s="26"/>
    </row>
    <row r="608">
      <c r="C608" s="26"/>
      <c r="D608" s="26"/>
    </row>
    <row r="609">
      <c r="C609" s="26"/>
      <c r="D609" s="26"/>
    </row>
    <row r="610">
      <c r="C610" s="26"/>
      <c r="D610" s="26"/>
    </row>
    <row r="611">
      <c r="C611" s="26"/>
      <c r="D611" s="26"/>
    </row>
    <row r="612">
      <c r="C612" s="26"/>
      <c r="D612" s="26"/>
    </row>
    <row r="613">
      <c r="C613" s="26"/>
      <c r="D613" s="26"/>
    </row>
    <row r="614">
      <c r="C614" s="26"/>
      <c r="D614" s="26"/>
    </row>
    <row r="615">
      <c r="C615" s="26"/>
      <c r="D615" s="26"/>
    </row>
    <row r="616">
      <c r="C616" s="26"/>
      <c r="D616" s="26"/>
    </row>
    <row r="617">
      <c r="C617" s="26"/>
      <c r="D617" s="26"/>
    </row>
    <row r="618">
      <c r="C618" s="26"/>
      <c r="D618" s="26"/>
    </row>
    <row r="619">
      <c r="C619" s="26"/>
      <c r="D619" s="26"/>
    </row>
    <row r="620">
      <c r="C620" s="26"/>
      <c r="D620" s="26"/>
    </row>
    <row r="621">
      <c r="C621" s="26"/>
      <c r="D621" s="26"/>
    </row>
    <row r="622">
      <c r="C622" s="26"/>
      <c r="D622" s="26"/>
    </row>
    <row r="623">
      <c r="C623" s="26"/>
      <c r="D623" s="26"/>
    </row>
    <row r="624">
      <c r="C624" s="26"/>
      <c r="D624" s="26"/>
    </row>
    <row r="625">
      <c r="C625" s="26"/>
      <c r="D625" s="26"/>
    </row>
    <row r="626">
      <c r="C626" s="26"/>
      <c r="D626" s="26"/>
    </row>
    <row r="627">
      <c r="C627" s="26"/>
      <c r="D627" s="26"/>
    </row>
    <row r="628">
      <c r="C628" s="26"/>
      <c r="D628" s="26"/>
    </row>
    <row r="629">
      <c r="C629" s="26"/>
      <c r="D629" s="26"/>
    </row>
    <row r="630">
      <c r="C630" s="26"/>
      <c r="D630" s="26"/>
    </row>
    <row r="631">
      <c r="C631" s="26"/>
      <c r="D631" s="26"/>
    </row>
    <row r="632">
      <c r="C632" s="26"/>
      <c r="D632" s="26"/>
    </row>
    <row r="633">
      <c r="C633" s="26"/>
      <c r="D633" s="26"/>
    </row>
    <row r="634">
      <c r="C634" s="26"/>
      <c r="D634" s="26"/>
    </row>
    <row r="635">
      <c r="C635" s="26"/>
      <c r="D635" s="26"/>
    </row>
    <row r="636">
      <c r="C636" s="26"/>
      <c r="D636" s="26"/>
    </row>
    <row r="637">
      <c r="C637" s="26"/>
      <c r="D637" s="26"/>
    </row>
    <row r="638">
      <c r="C638" s="26"/>
      <c r="D638" s="26"/>
    </row>
    <row r="639">
      <c r="C639" s="26"/>
      <c r="D639" s="26"/>
    </row>
    <row r="640">
      <c r="C640" s="26"/>
      <c r="D640" s="26"/>
    </row>
    <row r="641">
      <c r="C641" s="26"/>
      <c r="D641" s="26"/>
    </row>
    <row r="642">
      <c r="C642" s="26"/>
      <c r="D642" s="26"/>
    </row>
    <row r="643">
      <c r="C643" s="26"/>
      <c r="D643" s="26"/>
    </row>
    <row r="644">
      <c r="C644" s="26"/>
      <c r="D644" s="26"/>
    </row>
    <row r="645">
      <c r="C645" s="26"/>
      <c r="D645" s="26"/>
    </row>
    <row r="646">
      <c r="C646" s="26"/>
      <c r="D646" s="26"/>
    </row>
    <row r="647">
      <c r="C647" s="26"/>
      <c r="D647" s="26"/>
    </row>
    <row r="648">
      <c r="C648" s="26"/>
      <c r="D648" s="26"/>
    </row>
    <row r="649">
      <c r="C649" s="26"/>
      <c r="D649" s="26"/>
    </row>
    <row r="650">
      <c r="C650" s="26"/>
      <c r="D650" s="26"/>
    </row>
    <row r="651">
      <c r="C651" s="26"/>
      <c r="D651" s="26"/>
    </row>
    <row r="652">
      <c r="C652" s="26"/>
      <c r="D652" s="26"/>
    </row>
    <row r="653">
      <c r="C653" s="26"/>
      <c r="D653" s="26"/>
    </row>
    <row r="654">
      <c r="C654" s="26"/>
      <c r="D654" s="26"/>
    </row>
    <row r="655">
      <c r="C655" s="26"/>
      <c r="D655" s="26"/>
    </row>
    <row r="656">
      <c r="C656" s="26"/>
      <c r="D656" s="26"/>
    </row>
    <row r="657">
      <c r="C657" s="26"/>
      <c r="D657" s="26"/>
    </row>
    <row r="658">
      <c r="C658" s="26"/>
      <c r="D658" s="26"/>
    </row>
    <row r="659">
      <c r="C659" s="26"/>
      <c r="D659" s="26"/>
    </row>
    <row r="660">
      <c r="C660" s="26"/>
      <c r="D660" s="26"/>
    </row>
    <row r="661">
      <c r="C661" s="26"/>
      <c r="D661" s="26"/>
    </row>
    <row r="662">
      <c r="C662" s="26"/>
      <c r="D662" s="26"/>
    </row>
    <row r="663">
      <c r="C663" s="26"/>
      <c r="D663" s="26"/>
    </row>
    <row r="664">
      <c r="C664" s="26"/>
      <c r="D664" s="26"/>
    </row>
    <row r="665">
      <c r="C665" s="26"/>
      <c r="D665" s="26"/>
    </row>
    <row r="666">
      <c r="C666" s="26"/>
      <c r="D666" s="26"/>
    </row>
    <row r="667">
      <c r="C667" s="26"/>
      <c r="D667" s="26"/>
    </row>
    <row r="668">
      <c r="C668" s="26"/>
      <c r="D668" s="26"/>
    </row>
    <row r="669">
      <c r="C669" s="26"/>
      <c r="D669" s="26"/>
    </row>
    <row r="670">
      <c r="C670" s="26"/>
      <c r="D670" s="26"/>
    </row>
    <row r="671">
      <c r="C671" s="26"/>
      <c r="D671" s="26"/>
    </row>
    <row r="672">
      <c r="C672" s="26"/>
      <c r="D672" s="26"/>
    </row>
    <row r="673">
      <c r="C673" s="26"/>
      <c r="D673" s="26"/>
    </row>
    <row r="674">
      <c r="C674" s="26"/>
      <c r="D674" s="26"/>
    </row>
    <row r="675">
      <c r="C675" s="26"/>
      <c r="D675" s="26"/>
    </row>
    <row r="676">
      <c r="C676" s="26"/>
      <c r="D676" s="26"/>
    </row>
    <row r="677">
      <c r="C677" s="26"/>
      <c r="D677" s="26"/>
    </row>
    <row r="678">
      <c r="C678" s="26"/>
      <c r="D678" s="26"/>
    </row>
    <row r="679">
      <c r="C679" s="26"/>
      <c r="D679" s="26"/>
    </row>
    <row r="680">
      <c r="C680" s="26"/>
      <c r="D680" s="26"/>
    </row>
    <row r="681">
      <c r="C681" s="26"/>
      <c r="D681" s="26"/>
    </row>
    <row r="682">
      <c r="C682" s="26"/>
      <c r="D682" s="26"/>
    </row>
    <row r="683">
      <c r="C683" s="26"/>
      <c r="D683" s="26"/>
    </row>
    <row r="684">
      <c r="C684" s="26"/>
      <c r="D684" s="26"/>
    </row>
    <row r="685">
      <c r="C685" s="26"/>
      <c r="D685" s="26"/>
    </row>
    <row r="686">
      <c r="C686" s="26"/>
      <c r="D686" s="26"/>
    </row>
    <row r="687">
      <c r="C687" s="26"/>
      <c r="D687" s="26"/>
    </row>
    <row r="688">
      <c r="C688" s="26"/>
      <c r="D688" s="26"/>
    </row>
    <row r="689">
      <c r="C689" s="26"/>
      <c r="D689" s="26"/>
    </row>
    <row r="690">
      <c r="C690" s="26"/>
      <c r="D690" s="26"/>
    </row>
    <row r="691">
      <c r="C691" s="26"/>
      <c r="D691" s="26"/>
    </row>
    <row r="692">
      <c r="C692" s="26"/>
      <c r="D692" s="26"/>
    </row>
    <row r="693">
      <c r="C693" s="26"/>
      <c r="D693" s="26"/>
    </row>
    <row r="694">
      <c r="C694" s="26"/>
      <c r="D694" s="26"/>
    </row>
    <row r="695">
      <c r="C695" s="26"/>
      <c r="D695" s="26"/>
    </row>
    <row r="696">
      <c r="C696" s="26"/>
      <c r="D696" s="26"/>
    </row>
    <row r="697">
      <c r="C697" s="26"/>
      <c r="D697" s="26"/>
    </row>
    <row r="698">
      <c r="C698" s="26"/>
      <c r="D698" s="26"/>
    </row>
    <row r="699">
      <c r="C699" s="26"/>
      <c r="D699" s="26"/>
    </row>
    <row r="700">
      <c r="C700" s="26"/>
      <c r="D700" s="26"/>
    </row>
    <row r="701">
      <c r="C701" s="26"/>
      <c r="D701" s="26"/>
    </row>
    <row r="702">
      <c r="C702" s="26"/>
      <c r="D702" s="26"/>
    </row>
    <row r="703">
      <c r="C703" s="26"/>
      <c r="D703" s="26"/>
    </row>
    <row r="704">
      <c r="C704" s="26"/>
      <c r="D704" s="26"/>
    </row>
    <row r="705">
      <c r="C705" s="26"/>
      <c r="D705" s="26"/>
    </row>
    <row r="706">
      <c r="C706" s="26"/>
      <c r="D706" s="26"/>
    </row>
    <row r="707">
      <c r="C707" s="26"/>
      <c r="D707" s="26"/>
    </row>
    <row r="708">
      <c r="C708" s="26"/>
      <c r="D708" s="26"/>
    </row>
    <row r="709">
      <c r="C709" s="26"/>
      <c r="D709" s="26"/>
    </row>
    <row r="710">
      <c r="C710" s="26"/>
      <c r="D710" s="26"/>
    </row>
    <row r="711">
      <c r="C711" s="26"/>
      <c r="D711" s="26"/>
    </row>
    <row r="712">
      <c r="C712" s="26"/>
      <c r="D712" s="26"/>
    </row>
    <row r="713">
      <c r="C713" s="26"/>
      <c r="D713" s="26"/>
    </row>
    <row r="714">
      <c r="C714" s="26"/>
      <c r="D714" s="26"/>
    </row>
    <row r="715">
      <c r="C715" s="26"/>
      <c r="D715" s="26"/>
    </row>
    <row r="716">
      <c r="C716" s="26"/>
      <c r="D716" s="26"/>
    </row>
    <row r="717">
      <c r="C717" s="26"/>
      <c r="D717" s="26"/>
    </row>
    <row r="718">
      <c r="C718" s="26"/>
      <c r="D718" s="26"/>
    </row>
    <row r="719">
      <c r="C719" s="26"/>
      <c r="D719" s="26"/>
    </row>
    <row r="720">
      <c r="C720" s="26"/>
      <c r="D720" s="26"/>
    </row>
    <row r="721">
      <c r="C721" s="26"/>
      <c r="D721" s="26"/>
    </row>
    <row r="722">
      <c r="C722" s="26"/>
      <c r="D722" s="26"/>
    </row>
    <row r="723">
      <c r="C723" s="26"/>
      <c r="D723" s="26"/>
    </row>
    <row r="724">
      <c r="C724" s="26"/>
      <c r="D724" s="26"/>
    </row>
    <row r="725">
      <c r="C725" s="26"/>
      <c r="D725" s="26"/>
    </row>
    <row r="726">
      <c r="C726" s="26"/>
      <c r="D726" s="26"/>
    </row>
    <row r="727">
      <c r="C727" s="26"/>
      <c r="D727" s="26"/>
    </row>
    <row r="728">
      <c r="C728" s="26"/>
      <c r="D728" s="26"/>
    </row>
    <row r="729">
      <c r="C729" s="26"/>
      <c r="D729" s="26"/>
    </row>
    <row r="730">
      <c r="C730" s="26"/>
      <c r="D730" s="26"/>
    </row>
    <row r="731">
      <c r="C731" s="26"/>
      <c r="D731" s="26"/>
    </row>
    <row r="732">
      <c r="C732" s="26"/>
      <c r="D732" s="26"/>
    </row>
    <row r="733">
      <c r="C733" s="26"/>
      <c r="D733" s="26"/>
    </row>
    <row r="734">
      <c r="C734" s="26"/>
      <c r="D734" s="26"/>
    </row>
    <row r="735">
      <c r="C735" s="26"/>
      <c r="D735" s="26"/>
    </row>
    <row r="736">
      <c r="C736" s="26"/>
      <c r="D736" s="26"/>
    </row>
    <row r="737">
      <c r="C737" s="26"/>
      <c r="D737" s="26"/>
    </row>
    <row r="738">
      <c r="C738" s="26"/>
      <c r="D738" s="26"/>
    </row>
    <row r="739">
      <c r="C739" s="26"/>
      <c r="D739" s="26"/>
    </row>
    <row r="740">
      <c r="C740" s="26"/>
      <c r="D740" s="26"/>
    </row>
    <row r="741">
      <c r="C741" s="26"/>
      <c r="D741" s="26"/>
    </row>
    <row r="742">
      <c r="C742" s="26"/>
      <c r="D742" s="26"/>
    </row>
    <row r="743">
      <c r="C743" s="26"/>
      <c r="D743" s="26"/>
    </row>
    <row r="744">
      <c r="C744" s="26"/>
      <c r="D744" s="26"/>
    </row>
    <row r="745">
      <c r="C745" s="26"/>
      <c r="D745" s="26"/>
    </row>
    <row r="746">
      <c r="C746" s="26"/>
      <c r="D746" s="26"/>
    </row>
    <row r="747">
      <c r="C747" s="26"/>
      <c r="D747" s="26"/>
    </row>
    <row r="748">
      <c r="C748" s="26"/>
      <c r="D748" s="26"/>
    </row>
    <row r="749">
      <c r="C749" s="26"/>
      <c r="D749" s="26"/>
    </row>
    <row r="750">
      <c r="C750" s="26"/>
      <c r="D750" s="26"/>
    </row>
    <row r="751">
      <c r="C751" s="26"/>
      <c r="D751" s="26"/>
    </row>
    <row r="752">
      <c r="C752" s="26"/>
      <c r="D752" s="26"/>
    </row>
    <row r="753">
      <c r="C753" s="26"/>
      <c r="D753" s="26"/>
    </row>
    <row r="754">
      <c r="C754" s="26"/>
      <c r="D754" s="26"/>
    </row>
    <row r="755">
      <c r="C755" s="26"/>
      <c r="D755" s="26"/>
    </row>
    <row r="756">
      <c r="C756" s="26"/>
      <c r="D756" s="26"/>
    </row>
    <row r="757">
      <c r="C757" s="26"/>
      <c r="D757" s="26"/>
    </row>
    <row r="758">
      <c r="C758" s="26"/>
      <c r="D758" s="26"/>
    </row>
    <row r="759">
      <c r="C759" s="26"/>
      <c r="D759" s="26"/>
    </row>
    <row r="760">
      <c r="C760" s="26"/>
      <c r="D760" s="26"/>
    </row>
    <row r="761">
      <c r="C761" s="26"/>
      <c r="D761" s="26"/>
    </row>
    <row r="762">
      <c r="C762" s="26"/>
      <c r="D762" s="26"/>
    </row>
    <row r="763">
      <c r="C763" s="26"/>
      <c r="D763" s="26"/>
    </row>
    <row r="764">
      <c r="C764" s="26"/>
      <c r="D764" s="26"/>
    </row>
    <row r="765">
      <c r="C765" s="26"/>
      <c r="D765" s="26"/>
    </row>
    <row r="766">
      <c r="C766" s="26"/>
      <c r="D766" s="26"/>
    </row>
    <row r="767">
      <c r="C767" s="26"/>
      <c r="D767" s="26"/>
    </row>
    <row r="768">
      <c r="C768" s="26"/>
      <c r="D768" s="26"/>
    </row>
    <row r="769">
      <c r="C769" s="26"/>
      <c r="D769" s="26"/>
    </row>
    <row r="770">
      <c r="C770" s="26"/>
      <c r="D770" s="26"/>
    </row>
    <row r="771">
      <c r="C771" s="26"/>
      <c r="D771" s="26"/>
    </row>
    <row r="772">
      <c r="C772" s="26"/>
      <c r="D772" s="26"/>
    </row>
    <row r="773">
      <c r="C773" s="26"/>
      <c r="D773" s="26"/>
    </row>
    <row r="774">
      <c r="C774" s="26"/>
      <c r="D774" s="26"/>
    </row>
    <row r="775">
      <c r="C775" s="26"/>
      <c r="D775" s="26"/>
    </row>
    <row r="776">
      <c r="C776" s="26"/>
      <c r="D776" s="26"/>
    </row>
    <row r="777">
      <c r="C777" s="26"/>
      <c r="D777" s="26"/>
    </row>
    <row r="778">
      <c r="C778" s="26"/>
      <c r="D778" s="26"/>
    </row>
    <row r="779">
      <c r="C779" s="26"/>
      <c r="D779" s="26"/>
    </row>
    <row r="780">
      <c r="C780" s="26"/>
      <c r="D780" s="26"/>
    </row>
    <row r="781">
      <c r="C781" s="26"/>
      <c r="D781" s="26"/>
    </row>
    <row r="782">
      <c r="C782" s="26"/>
      <c r="D782" s="26"/>
    </row>
    <row r="783">
      <c r="C783" s="26"/>
      <c r="D783" s="26"/>
    </row>
    <row r="784">
      <c r="C784" s="26"/>
      <c r="D784" s="26"/>
    </row>
    <row r="785">
      <c r="C785" s="26"/>
      <c r="D785" s="26"/>
    </row>
    <row r="786">
      <c r="C786" s="26"/>
      <c r="D786" s="26"/>
    </row>
    <row r="787">
      <c r="C787" s="26"/>
      <c r="D787" s="26"/>
    </row>
    <row r="788">
      <c r="C788" s="26"/>
      <c r="D788" s="26"/>
    </row>
    <row r="789">
      <c r="C789" s="26"/>
      <c r="D789" s="26"/>
    </row>
    <row r="790">
      <c r="C790" s="26"/>
      <c r="D790" s="26"/>
    </row>
    <row r="791">
      <c r="C791" s="26"/>
      <c r="D791" s="26"/>
    </row>
    <row r="792">
      <c r="C792" s="26"/>
      <c r="D792" s="26"/>
    </row>
    <row r="793">
      <c r="C793" s="26"/>
      <c r="D793" s="26"/>
    </row>
    <row r="794">
      <c r="C794" s="26"/>
      <c r="D794" s="26"/>
    </row>
    <row r="795">
      <c r="C795" s="26"/>
      <c r="D795" s="26"/>
    </row>
    <row r="796">
      <c r="C796" s="26"/>
      <c r="D796" s="26"/>
    </row>
    <row r="797">
      <c r="C797" s="26"/>
      <c r="D797" s="26"/>
    </row>
    <row r="798">
      <c r="C798" s="26"/>
      <c r="D798" s="26"/>
    </row>
    <row r="799">
      <c r="C799" s="26"/>
      <c r="D799" s="26"/>
    </row>
    <row r="800">
      <c r="C800" s="26"/>
      <c r="D800" s="26"/>
    </row>
    <row r="801">
      <c r="C801" s="26"/>
      <c r="D801" s="26"/>
    </row>
    <row r="802">
      <c r="C802" s="26"/>
      <c r="D802" s="26"/>
    </row>
    <row r="803">
      <c r="C803" s="26"/>
      <c r="D803" s="26"/>
    </row>
    <row r="804">
      <c r="C804" s="26"/>
      <c r="D804" s="26"/>
    </row>
    <row r="805">
      <c r="C805" s="26"/>
      <c r="D805" s="26"/>
    </row>
    <row r="806">
      <c r="C806" s="26"/>
      <c r="D806" s="26"/>
    </row>
    <row r="807">
      <c r="C807" s="26"/>
      <c r="D807" s="26"/>
    </row>
    <row r="808">
      <c r="C808" s="26"/>
      <c r="D808" s="26"/>
    </row>
    <row r="809">
      <c r="C809" s="26"/>
      <c r="D809" s="26"/>
    </row>
    <row r="810">
      <c r="C810" s="26"/>
      <c r="D810" s="26"/>
    </row>
    <row r="811">
      <c r="C811" s="26"/>
      <c r="D811" s="26"/>
    </row>
    <row r="812">
      <c r="C812" s="26"/>
      <c r="D812" s="26"/>
    </row>
    <row r="813">
      <c r="C813" s="26"/>
      <c r="D813" s="26"/>
    </row>
    <row r="814">
      <c r="C814" s="26"/>
      <c r="D814" s="26"/>
    </row>
    <row r="815">
      <c r="C815" s="26"/>
      <c r="D815" s="26"/>
    </row>
    <row r="816">
      <c r="C816" s="26"/>
      <c r="D816" s="26"/>
    </row>
    <row r="817">
      <c r="C817" s="26"/>
      <c r="D817" s="26"/>
    </row>
    <row r="818">
      <c r="C818" s="26"/>
      <c r="D818" s="26"/>
    </row>
    <row r="819">
      <c r="C819" s="26"/>
      <c r="D819" s="26"/>
    </row>
    <row r="820">
      <c r="C820" s="26"/>
      <c r="D820" s="26"/>
    </row>
    <row r="821">
      <c r="C821" s="26"/>
      <c r="D821" s="26"/>
    </row>
    <row r="822">
      <c r="C822" s="26"/>
      <c r="D822" s="26"/>
    </row>
    <row r="823">
      <c r="C823" s="26"/>
      <c r="D823" s="26"/>
    </row>
    <row r="824">
      <c r="C824" s="26"/>
      <c r="D824" s="26"/>
    </row>
    <row r="825">
      <c r="C825" s="26"/>
      <c r="D825" s="26"/>
    </row>
    <row r="826">
      <c r="C826" s="26"/>
      <c r="D826" s="26"/>
    </row>
    <row r="827">
      <c r="C827" s="26"/>
      <c r="D827" s="26"/>
    </row>
    <row r="828">
      <c r="C828" s="26"/>
      <c r="D828" s="26"/>
    </row>
    <row r="829">
      <c r="C829" s="26"/>
      <c r="D829" s="26"/>
    </row>
    <row r="830">
      <c r="C830" s="26"/>
      <c r="D830" s="26"/>
    </row>
    <row r="831">
      <c r="C831" s="26"/>
      <c r="D831" s="26"/>
    </row>
    <row r="832">
      <c r="C832" s="26"/>
      <c r="D832" s="26"/>
    </row>
    <row r="833">
      <c r="C833" s="26"/>
      <c r="D833" s="26"/>
    </row>
    <row r="834">
      <c r="C834" s="26"/>
      <c r="D834" s="26"/>
    </row>
    <row r="835">
      <c r="C835" s="26"/>
      <c r="D835" s="26"/>
    </row>
    <row r="836">
      <c r="C836" s="26"/>
      <c r="D836" s="26"/>
    </row>
    <row r="837">
      <c r="C837" s="26"/>
      <c r="D837" s="26"/>
    </row>
    <row r="838">
      <c r="C838" s="26"/>
      <c r="D838" s="26"/>
    </row>
    <row r="839">
      <c r="C839" s="26"/>
      <c r="D839" s="26"/>
    </row>
    <row r="840">
      <c r="C840" s="26"/>
      <c r="D840" s="26"/>
    </row>
    <row r="841">
      <c r="C841" s="26"/>
      <c r="D841" s="26"/>
    </row>
    <row r="842">
      <c r="C842" s="26"/>
      <c r="D842" s="26"/>
    </row>
    <row r="843">
      <c r="C843" s="26"/>
      <c r="D843" s="26"/>
    </row>
    <row r="844">
      <c r="C844" s="26"/>
      <c r="D844" s="26"/>
    </row>
    <row r="845">
      <c r="C845" s="26"/>
      <c r="D845" s="26"/>
    </row>
    <row r="846">
      <c r="C846" s="26"/>
      <c r="D846" s="26"/>
    </row>
    <row r="847">
      <c r="C847" s="26"/>
      <c r="D847" s="26"/>
    </row>
    <row r="848">
      <c r="C848" s="26"/>
      <c r="D848" s="26"/>
    </row>
    <row r="849">
      <c r="C849" s="26"/>
      <c r="D849" s="26"/>
    </row>
    <row r="850">
      <c r="C850" s="26"/>
      <c r="D850" s="26"/>
    </row>
    <row r="851">
      <c r="C851" s="26"/>
      <c r="D851" s="26"/>
    </row>
    <row r="852">
      <c r="C852" s="26"/>
      <c r="D852" s="26"/>
    </row>
    <row r="853">
      <c r="C853" s="26"/>
      <c r="D853" s="26"/>
    </row>
    <row r="854">
      <c r="C854" s="26"/>
      <c r="D854" s="26"/>
    </row>
    <row r="855">
      <c r="C855" s="26"/>
      <c r="D855" s="26"/>
    </row>
    <row r="856">
      <c r="C856" s="26"/>
      <c r="D856" s="26"/>
    </row>
    <row r="857">
      <c r="C857" s="26"/>
      <c r="D857" s="26"/>
    </row>
    <row r="858">
      <c r="C858" s="26"/>
      <c r="D858" s="26"/>
    </row>
    <row r="859">
      <c r="C859" s="26"/>
      <c r="D859" s="26"/>
    </row>
    <row r="860">
      <c r="C860" s="26"/>
      <c r="D860" s="26"/>
    </row>
    <row r="861">
      <c r="C861" s="26"/>
      <c r="D861" s="26"/>
    </row>
    <row r="862">
      <c r="C862" s="26"/>
      <c r="D862" s="26"/>
    </row>
    <row r="863">
      <c r="C863" s="26"/>
      <c r="D863" s="26"/>
    </row>
    <row r="864">
      <c r="C864" s="26"/>
      <c r="D864" s="26"/>
    </row>
    <row r="865">
      <c r="C865" s="26"/>
      <c r="D865" s="26"/>
    </row>
    <row r="866">
      <c r="C866" s="26"/>
      <c r="D866" s="26"/>
    </row>
    <row r="867">
      <c r="C867" s="26"/>
      <c r="D867" s="26"/>
    </row>
    <row r="868">
      <c r="C868" s="26"/>
      <c r="D868" s="26"/>
    </row>
    <row r="869">
      <c r="C869" s="26"/>
      <c r="D869" s="26"/>
    </row>
    <row r="870">
      <c r="C870" s="26"/>
      <c r="D870" s="26"/>
    </row>
    <row r="871">
      <c r="C871" s="26"/>
      <c r="D871" s="26"/>
    </row>
    <row r="872">
      <c r="C872" s="26"/>
      <c r="D872" s="26"/>
    </row>
    <row r="873">
      <c r="C873" s="26"/>
      <c r="D873" s="26"/>
    </row>
    <row r="874">
      <c r="C874" s="26"/>
      <c r="D874" s="26"/>
    </row>
    <row r="875">
      <c r="C875" s="26"/>
      <c r="D875" s="26"/>
    </row>
    <row r="876">
      <c r="C876" s="26"/>
      <c r="D876" s="26"/>
    </row>
    <row r="877">
      <c r="C877" s="26"/>
      <c r="D877" s="26"/>
    </row>
    <row r="878">
      <c r="C878" s="26"/>
      <c r="D878" s="26"/>
    </row>
    <row r="879">
      <c r="C879" s="26"/>
      <c r="D879" s="26"/>
    </row>
    <row r="880">
      <c r="C880" s="26"/>
      <c r="D880" s="26"/>
    </row>
    <row r="881">
      <c r="C881" s="26"/>
      <c r="D881" s="26"/>
    </row>
    <row r="882">
      <c r="C882" s="26"/>
      <c r="D882" s="26"/>
    </row>
    <row r="883">
      <c r="C883" s="26"/>
      <c r="D883" s="26"/>
    </row>
    <row r="884">
      <c r="C884" s="26"/>
      <c r="D884" s="26"/>
    </row>
    <row r="885">
      <c r="C885" s="26"/>
      <c r="D885" s="26"/>
    </row>
    <row r="886">
      <c r="C886" s="26"/>
      <c r="D886" s="26"/>
    </row>
    <row r="887">
      <c r="C887" s="26"/>
      <c r="D887" s="26"/>
    </row>
    <row r="888">
      <c r="C888" s="26"/>
      <c r="D888" s="26"/>
    </row>
    <row r="889">
      <c r="C889" s="26"/>
      <c r="D889" s="26"/>
    </row>
    <row r="890">
      <c r="C890" s="26"/>
      <c r="D890" s="26"/>
    </row>
    <row r="891">
      <c r="C891" s="26"/>
      <c r="D891" s="26"/>
    </row>
    <row r="892">
      <c r="C892" s="26"/>
      <c r="D892" s="26"/>
    </row>
    <row r="893">
      <c r="C893" s="26"/>
      <c r="D893" s="26"/>
    </row>
    <row r="894">
      <c r="C894" s="26"/>
      <c r="D894" s="26"/>
    </row>
    <row r="895">
      <c r="C895" s="26"/>
      <c r="D895" s="26"/>
    </row>
    <row r="896">
      <c r="C896" s="26"/>
      <c r="D896" s="26"/>
    </row>
    <row r="897">
      <c r="C897" s="26"/>
      <c r="D897" s="26"/>
    </row>
    <row r="898">
      <c r="C898" s="26"/>
      <c r="D898" s="26"/>
    </row>
    <row r="899">
      <c r="C899" s="26"/>
      <c r="D899" s="26"/>
    </row>
    <row r="900">
      <c r="C900" s="26"/>
      <c r="D900" s="26"/>
    </row>
    <row r="901">
      <c r="C901" s="26"/>
      <c r="D901" s="26"/>
    </row>
    <row r="902">
      <c r="C902" s="26"/>
      <c r="D902" s="26"/>
    </row>
    <row r="903">
      <c r="C903" s="26"/>
      <c r="D903" s="26"/>
    </row>
    <row r="904">
      <c r="C904" s="26"/>
      <c r="D904" s="26"/>
    </row>
    <row r="905">
      <c r="C905" s="26"/>
      <c r="D905" s="26"/>
    </row>
    <row r="906">
      <c r="C906" s="26"/>
      <c r="D906" s="26"/>
    </row>
    <row r="907">
      <c r="C907" s="26"/>
      <c r="D907" s="26"/>
    </row>
    <row r="908">
      <c r="C908" s="26"/>
      <c r="D908" s="26"/>
    </row>
    <row r="909">
      <c r="C909" s="26"/>
      <c r="D909" s="26"/>
    </row>
    <row r="910">
      <c r="C910" s="26"/>
      <c r="D910" s="26"/>
    </row>
    <row r="911">
      <c r="C911" s="26"/>
      <c r="D911" s="26"/>
    </row>
    <row r="912">
      <c r="C912" s="26"/>
      <c r="D912" s="26"/>
    </row>
    <row r="913">
      <c r="C913" s="26"/>
      <c r="D913" s="26"/>
    </row>
    <row r="914">
      <c r="C914" s="26"/>
      <c r="D914" s="26"/>
    </row>
    <row r="915">
      <c r="C915" s="26"/>
      <c r="D915" s="26"/>
    </row>
    <row r="916">
      <c r="C916" s="26"/>
      <c r="D916" s="26"/>
    </row>
    <row r="917">
      <c r="C917" s="26"/>
      <c r="D917" s="26"/>
    </row>
    <row r="918">
      <c r="C918" s="26"/>
      <c r="D918" s="26"/>
    </row>
    <row r="919">
      <c r="C919" s="26"/>
      <c r="D919" s="26"/>
    </row>
    <row r="920">
      <c r="C920" s="26"/>
      <c r="D920" s="26"/>
    </row>
    <row r="921">
      <c r="C921" s="26"/>
      <c r="D921" s="26"/>
    </row>
    <row r="922">
      <c r="C922" s="26"/>
      <c r="D922" s="26"/>
    </row>
    <row r="923">
      <c r="C923" s="26"/>
      <c r="D923" s="26"/>
    </row>
    <row r="924">
      <c r="C924" s="26"/>
      <c r="D924" s="26"/>
    </row>
    <row r="925">
      <c r="C925" s="26"/>
      <c r="D925" s="26"/>
    </row>
    <row r="926">
      <c r="C926" s="26"/>
      <c r="D926" s="26"/>
    </row>
    <row r="927">
      <c r="C927" s="26"/>
      <c r="D927" s="26"/>
    </row>
    <row r="928">
      <c r="C928" s="26"/>
      <c r="D928" s="26"/>
    </row>
    <row r="929">
      <c r="C929" s="26"/>
      <c r="D929" s="26"/>
    </row>
    <row r="930">
      <c r="C930" s="26"/>
      <c r="D930" s="26"/>
    </row>
    <row r="931">
      <c r="C931" s="26"/>
      <c r="D931" s="26"/>
    </row>
    <row r="932">
      <c r="C932" s="26"/>
      <c r="D932" s="26"/>
    </row>
    <row r="933">
      <c r="C933" s="26"/>
      <c r="D933" s="26"/>
    </row>
    <row r="934">
      <c r="C934" s="26"/>
      <c r="D934" s="26"/>
    </row>
    <row r="935">
      <c r="C935" s="26"/>
      <c r="D935" s="26"/>
    </row>
    <row r="936">
      <c r="C936" s="26"/>
      <c r="D936" s="26"/>
    </row>
    <row r="937">
      <c r="C937" s="26"/>
      <c r="D937" s="26"/>
    </row>
    <row r="938">
      <c r="C938" s="26"/>
      <c r="D938" s="26"/>
    </row>
    <row r="939">
      <c r="C939" s="26"/>
      <c r="D939" s="26"/>
    </row>
    <row r="940">
      <c r="C940" s="26"/>
      <c r="D940" s="26"/>
    </row>
    <row r="941">
      <c r="C941" s="26"/>
      <c r="D941" s="26"/>
    </row>
    <row r="942">
      <c r="C942" s="26"/>
      <c r="D942" s="26"/>
    </row>
    <row r="943">
      <c r="C943" s="26"/>
      <c r="D943" s="26"/>
    </row>
    <row r="944">
      <c r="C944" s="26"/>
      <c r="D944" s="26"/>
    </row>
    <row r="945">
      <c r="C945" s="26"/>
      <c r="D945" s="26"/>
    </row>
    <row r="946">
      <c r="C946" s="26"/>
      <c r="D946" s="26"/>
    </row>
    <row r="947">
      <c r="C947" s="26"/>
      <c r="D947" s="26"/>
    </row>
    <row r="948">
      <c r="C948" s="26"/>
      <c r="D948" s="26"/>
    </row>
    <row r="949">
      <c r="C949" s="26"/>
      <c r="D949" s="26"/>
    </row>
    <row r="950">
      <c r="C950" s="26"/>
      <c r="D950" s="26"/>
    </row>
    <row r="951">
      <c r="C951" s="26"/>
      <c r="D951" s="26"/>
    </row>
    <row r="952">
      <c r="C952" s="26"/>
      <c r="D952" s="26"/>
    </row>
    <row r="953">
      <c r="C953" s="26"/>
      <c r="D953" s="26"/>
    </row>
    <row r="954">
      <c r="C954" s="26"/>
      <c r="D954" s="26"/>
    </row>
    <row r="955">
      <c r="C955" s="26"/>
      <c r="D955" s="26"/>
    </row>
    <row r="956">
      <c r="C956" s="26"/>
      <c r="D956" s="26"/>
    </row>
    <row r="957">
      <c r="C957" s="26"/>
      <c r="D957" s="26"/>
    </row>
    <row r="958">
      <c r="C958" s="26"/>
      <c r="D958" s="26"/>
    </row>
    <row r="959">
      <c r="C959" s="26"/>
      <c r="D959" s="26"/>
    </row>
    <row r="960">
      <c r="C960" s="26"/>
      <c r="D960" s="26"/>
    </row>
    <row r="961">
      <c r="C961" s="26"/>
      <c r="D961" s="26"/>
    </row>
    <row r="962">
      <c r="C962" s="26"/>
      <c r="D962" s="26"/>
    </row>
    <row r="963">
      <c r="C963" s="26"/>
      <c r="D963" s="26"/>
    </row>
    <row r="964">
      <c r="C964" s="26"/>
      <c r="D964" s="26"/>
    </row>
    <row r="965">
      <c r="C965" s="26"/>
      <c r="D965" s="26"/>
    </row>
    <row r="966">
      <c r="C966" s="26"/>
      <c r="D966" s="26"/>
    </row>
    <row r="967">
      <c r="C967" s="26"/>
      <c r="D967" s="26"/>
    </row>
    <row r="968">
      <c r="C968" s="26"/>
      <c r="D968" s="26"/>
    </row>
    <row r="969">
      <c r="C969" s="26"/>
      <c r="D969" s="26"/>
    </row>
    <row r="970">
      <c r="C970" s="26"/>
      <c r="D970" s="26"/>
    </row>
    <row r="971">
      <c r="C971" s="26"/>
      <c r="D971" s="26"/>
    </row>
    <row r="972">
      <c r="C972" s="26"/>
      <c r="D972" s="26"/>
    </row>
    <row r="973">
      <c r="C973" s="26"/>
      <c r="D973" s="26"/>
    </row>
    <row r="974">
      <c r="C974" s="26"/>
      <c r="D974" s="26"/>
    </row>
    <row r="975">
      <c r="C975" s="26"/>
      <c r="D975" s="26"/>
    </row>
    <row r="976">
      <c r="C976" s="26"/>
      <c r="D976" s="26"/>
    </row>
    <row r="977">
      <c r="C977" s="26"/>
      <c r="D977" s="26"/>
    </row>
    <row r="978">
      <c r="C978" s="26"/>
      <c r="D978" s="26"/>
    </row>
    <row r="979">
      <c r="C979" s="26"/>
      <c r="D979" s="26"/>
    </row>
    <row r="980">
      <c r="C980" s="26"/>
      <c r="D980" s="26"/>
    </row>
    <row r="981">
      <c r="C981" s="26"/>
      <c r="D981" s="26"/>
    </row>
    <row r="982">
      <c r="C982" s="26"/>
      <c r="D982" s="26"/>
    </row>
    <row r="983">
      <c r="C983" s="26"/>
      <c r="D983" s="26"/>
    </row>
    <row r="984">
      <c r="C984" s="26"/>
      <c r="D984" s="26"/>
    </row>
    <row r="985">
      <c r="C985" s="26"/>
      <c r="D985" s="26"/>
    </row>
    <row r="986">
      <c r="C986" s="26"/>
      <c r="D986" s="26"/>
    </row>
    <row r="987">
      <c r="C987" s="26"/>
      <c r="D987" s="26"/>
    </row>
    <row r="988">
      <c r="C988" s="26"/>
      <c r="D988" s="26"/>
    </row>
    <row r="989">
      <c r="C989" s="26"/>
      <c r="D989" s="26"/>
    </row>
    <row r="990">
      <c r="C990" s="26"/>
      <c r="D990" s="26"/>
    </row>
    <row r="991">
      <c r="C991" s="26"/>
      <c r="D991" s="26"/>
    </row>
    <row r="992">
      <c r="C992" s="26"/>
      <c r="D992" s="26"/>
    </row>
    <row r="993">
      <c r="C993" s="26"/>
      <c r="D993" s="26"/>
    </row>
    <row r="994">
      <c r="C994" s="26"/>
      <c r="D994" s="26"/>
    </row>
    <row r="995">
      <c r="C995" s="26"/>
      <c r="D995" s="26"/>
    </row>
    <row r="996">
      <c r="C996" s="26"/>
      <c r="D996" s="26"/>
    </row>
    <row r="997">
      <c r="C997" s="26"/>
      <c r="D997" s="26"/>
    </row>
    <row r="998">
      <c r="C998" s="26"/>
      <c r="D998" s="26"/>
    </row>
    <row r="999">
      <c r="C999" s="26"/>
      <c r="D999" s="26"/>
    </row>
    <row r="1000">
      <c r="C1000" s="26"/>
      <c r="D1000" s="26"/>
    </row>
    <row r="1001">
      <c r="C1001" s="26"/>
      <c r="D1001" s="26"/>
    </row>
    <row r="1002">
      <c r="C1002" s="26"/>
      <c r="D1002" s="26"/>
    </row>
    <row r="1003">
      <c r="C1003" s="26"/>
      <c r="D1003" s="26"/>
    </row>
    <row r="1004">
      <c r="C1004" s="26"/>
      <c r="D1004" s="26"/>
    </row>
    <row r="1005">
      <c r="C1005" s="26"/>
      <c r="D1005" s="26"/>
    </row>
    <row r="1006">
      <c r="C1006" s="26"/>
      <c r="D1006" s="26"/>
    </row>
    <row r="1007">
      <c r="C1007" s="26"/>
      <c r="D1007" s="26"/>
    </row>
    <row r="1008">
      <c r="C1008" s="26"/>
      <c r="D1008" s="26"/>
    </row>
    <row r="1009">
      <c r="C1009" s="26"/>
      <c r="D1009" s="26"/>
    </row>
    <row r="1010">
      <c r="C1010" s="26"/>
      <c r="D1010" s="26"/>
    </row>
    <row r="1011">
      <c r="C1011" s="26"/>
      <c r="D1011" s="26"/>
    </row>
    <row r="1012">
      <c r="C1012" s="26"/>
      <c r="D1012" s="26"/>
    </row>
    <row r="1013">
      <c r="C1013" s="26"/>
      <c r="D1013" s="26"/>
    </row>
    <row r="1014">
      <c r="C1014" s="26"/>
      <c r="D1014" s="26"/>
    </row>
    <row r="1015">
      <c r="C1015" s="26"/>
      <c r="D1015" s="26"/>
    </row>
    <row r="1016">
      <c r="C1016" s="26"/>
      <c r="D1016" s="26"/>
    </row>
    <row r="1017">
      <c r="C1017" s="26"/>
      <c r="D1017" s="26"/>
    </row>
    <row r="1018">
      <c r="C1018" s="26"/>
      <c r="D1018" s="26"/>
    </row>
    <row r="1019">
      <c r="C1019" s="26"/>
      <c r="D1019" s="26"/>
    </row>
    <row r="1020">
      <c r="C1020" s="26"/>
      <c r="D1020" s="26"/>
    </row>
    <row r="1021">
      <c r="C1021" s="26"/>
      <c r="D1021" s="26"/>
    </row>
    <row r="1022">
      <c r="C1022" s="26"/>
      <c r="D1022" s="26"/>
    </row>
    <row r="1023">
      <c r="C1023" s="26"/>
      <c r="D1023" s="26"/>
    </row>
    <row r="1024">
      <c r="C1024" s="26"/>
      <c r="D1024" s="26"/>
    </row>
    <row r="1025">
      <c r="C1025" s="26"/>
      <c r="D1025" s="26"/>
    </row>
    <row r="1026">
      <c r="C1026" s="26"/>
      <c r="D1026" s="26"/>
    </row>
    <row r="1027">
      <c r="C1027" s="26"/>
      <c r="D1027" s="26"/>
    </row>
    <row r="1028">
      <c r="C1028" s="26"/>
      <c r="D1028" s="26"/>
    </row>
    <row r="1029">
      <c r="C1029" s="26"/>
      <c r="D1029" s="26"/>
    </row>
    <row r="1030">
      <c r="C1030" s="26"/>
      <c r="D1030" s="26"/>
    </row>
    <row r="1031">
      <c r="C1031" s="26"/>
      <c r="D1031" s="26"/>
    </row>
    <row r="1032">
      <c r="C1032" s="26"/>
      <c r="D1032" s="26"/>
    </row>
    <row r="1033">
      <c r="C1033" s="26"/>
      <c r="D1033" s="26"/>
    </row>
    <row r="1034">
      <c r="C1034" s="26"/>
      <c r="D1034" s="26"/>
    </row>
    <row r="1035">
      <c r="C1035" s="26"/>
      <c r="D1035" s="26"/>
    </row>
    <row r="1036">
      <c r="C1036" s="26"/>
      <c r="D1036" s="26"/>
    </row>
    <row r="1037">
      <c r="C1037" s="26"/>
      <c r="D1037" s="26"/>
    </row>
    <row r="1038">
      <c r="C1038" s="26"/>
      <c r="D1038" s="26"/>
    </row>
    <row r="1039">
      <c r="C1039" s="26"/>
      <c r="D1039" s="26"/>
    </row>
    <row r="1040">
      <c r="C1040" s="26"/>
      <c r="D1040" s="26"/>
    </row>
    <row r="1041">
      <c r="C1041" s="26"/>
      <c r="D1041" s="26"/>
    </row>
    <row r="1042">
      <c r="C1042" s="26"/>
      <c r="D1042" s="26"/>
    </row>
    <row r="1043">
      <c r="C1043" s="26"/>
      <c r="D1043" s="26"/>
    </row>
    <row r="1044">
      <c r="C1044" s="26"/>
      <c r="D1044" s="26"/>
    </row>
    <row r="1045">
      <c r="C1045" s="26"/>
      <c r="D1045" s="26"/>
    </row>
    <row r="1046">
      <c r="C1046" s="26"/>
      <c r="D1046" s="26"/>
    </row>
    <row r="1047">
      <c r="C1047" s="26"/>
      <c r="D1047" s="26"/>
    </row>
    <row r="1048">
      <c r="C1048" s="26"/>
      <c r="D1048" s="26"/>
    </row>
    <row r="1049">
      <c r="C1049" s="26"/>
      <c r="D1049" s="26"/>
    </row>
    <row r="1050">
      <c r="C1050" s="26"/>
      <c r="D1050" s="26"/>
    </row>
    <row r="1051">
      <c r="C1051" s="26"/>
      <c r="D1051" s="26"/>
    </row>
    <row r="1052">
      <c r="C1052" s="26"/>
      <c r="D1052" s="26"/>
    </row>
    <row r="1053">
      <c r="C1053" s="26"/>
      <c r="D1053" s="26"/>
    </row>
    <row r="1054">
      <c r="C1054" s="26"/>
      <c r="D1054" s="26"/>
    </row>
    <row r="1055">
      <c r="C1055" s="26"/>
      <c r="D1055" s="26"/>
    </row>
    <row r="1056">
      <c r="C1056" s="26"/>
      <c r="D1056" s="26"/>
    </row>
    <row r="1057">
      <c r="C1057" s="26"/>
      <c r="D1057" s="26"/>
    </row>
    <row r="1058">
      <c r="C1058" s="26"/>
      <c r="D1058" s="26"/>
    </row>
    <row r="1059">
      <c r="C1059" s="26"/>
      <c r="D1059" s="26"/>
    </row>
    <row r="1060">
      <c r="C1060" s="26"/>
      <c r="D1060" s="26"/>
    </row>
    <row r="1061">
      <c r="C1061" s="26"/>
      <c r="D1061" s="26"/>
    </row>
    <row r="1062">
      <c r="C1062" s="26"/>
      <c r="D1062" s="26"/>
    </row>
    <row r="1063">
      <c r="C1063" s="26"/>
      <c r="D1063" s="26"/>
    </row>
    <row r="1064">
      <c r="C1064" s="26"/>
      <c r="D1064" s="26"/>
    </row>
    <row r="1065">
      <c r="C1065" s="26"/>
      <c r="D1065" s="26"/>
    </row>
    <row r="1066">
      <c r="C1066" s="26"/>
      <c r="D1066" s="26"/>
    </row>
    <row r="1067">
      <c r="C1067" s="26"/>
      <c r="D1067" s="26"/>
    </row>
    <row r="1068">
      <c r="C1068" s="26"/>
      <c r="D1068" s="26"/>
    </row>
    <row r="1069">
      <c r="C1069" s="26"/>
      <c r="D1069" s="26"/>
    </row>
    <row r="1070">
      <c r="C1070" s="26"/>
      <c r="D1070" s="26"/>
    </row>
    <row r="1071">
      <c r="C1071" s="26"/>
      <c r="D1071" s="26"/>
    </row>
    <row r="1072">
      <c r="C1072" s="26"/>
      <c r="D1072" s="26"/>
    </row>
    <row r="1073">
      <c r="C1073" s="26"/>
      <c r="D1073" s="26"/>
    </row>
    <row r="1074">
      <c r="C1074" s="26"/>
      <c r="D1074" s="26"/>
    </row>
    <row r="1075">
      <c r="C1075" s="26"/>
      <c r="D1075" s="26"/>
    </row>
    <row r="1076">
      <c r="C1076" s="26"/>
      <c r="D1076" s="26"/>
    </row>
    <row r="1077">
      <c r="C1077" s="26"/>
      <c r="D1077" s="26"/>
    </row>
    <row r="1078">
      <c r="C1078" s="26"/>
      <c r="D1078" s="26"/>
    </row>
    <row r="1079">
      <c r="C1079" s="26"/>
      <c r="D1079" s="26"/>
    </row>
    <row r="1080">
      <c r="C1080" s="26"/>
      <c r="D1080" s="26"/>
    </row>
    <row r="1081">
      <c r="C1081" s="26"/>
      <c r="D1081" s="26"/>
    </row>
    <row r="1082">
      <c r="C1082" s="26"/>
      <c r="D1082" s="26"/>
    </row>
    <row r="1083">
      <c r="C1083" s="26"/>
      <c r="D1083" s="26"/>
    </row>
    <row r="1084">
      <c r="C1084" s="26"/>
      <c r="D1084" s="26"/>
    </row>
    <row r="1085">
      <c r="C1085" s="26"/>
      <c r="D1085" s="26"/>
    </row>
    <row r="1086">
      <c r="C1086" s="26"/>
      <c r="D1086" s="26"/>
    </row>
    <row r="1087">
      <c r="C1087" s="26"/>
      <c r="D1087" s="26"/>
    </row>
    <row r="1088">
      <c r="C1088" s="26"/>
      <c r="D1088" s="26"/>
    </row>
    <row r="1089">
      <c r="C1089" s="26"/>
      <c r="D1089" s="26"/>
    </row>
    <row r="1090">
      <c r="C1090" s="26"/>
      <c r="D1090" s="26"/>
    </row>
    <row r="1091">
      <c r="C1091" s="26"/>
      <c r="D1091" s="26"/>
    </row>
    <row r="1092">
      <c r="C1092" s="26"/>
      <c r="D1092" s="26"/>
    </row>
    <row r="1093">
      <c r="C1093" s="26"/>
      <c r="D1093" s="26"/>
    </row>
    <row r="1094">
      <c r="C1094" s="26"/>
      <c r="D1094" s="26"/>
    </row>
    <row r="1095">
      <c r="C1095" s="26"/>
      <c r="D1095" s="26"/>
    </row>
    <row r="1096">
      <c r="C1096" s="26"/>
      <c r="D1096" s="26"/>
    </row>
    <row r="1097">
      <c r="C1097" s="26"/>
      <c r="D1097" s="26"/>
    </row>
    <row r="1098">
      <c r="C1098" s="26"/>
      <c r="D1098" s="26"/>
    </row>
    <row r="1099">
      <c r="C1099" s="26"/>
      <c r="D1099" s="26"/>
    </row>
    <row r="1100">
      <c r="C1100" s="26"/>
      <c r="D1100" s="26"/>
    </row>
    <row r="1101">
      <c r="C1101" s="26"/>
      <c r="D1101" s="26"/>
    </row>
    <row r="1102">
      <c r="C1102" s="26"/>
      <c r="D1102" s="26"/>
    </row>
    <row r="1103">
      <c r="C1103" s="26"/>
      <c r="D1103" s="26"/>
    </row>
    <row r="1104">
      <c r="C1104" s="26"/>
      <c r="D1104" s="26"/>
    </row>
    <row r="1105">
      <c r="C1105" s="26"/>
      <c r="D1105" s="26"/>
    </row>
    <row r="1106">
      <c r="C1106" s="26"/>
      <c r="D1106" s="26"/>
    </row>
    <row r="1107">
      <c r="C1107" s="26"/>
      <c r="D1107" s="26"/>
    </row>
    <row r="1108">
      <c r="C1108" s="26"/>
      <c r="D1108" s="26"/>
    </row>
    <row r="1109">
      <c r="C1109" s="26"/>
      <c r="D1109" s="26"/>
    </row>
    <row r="1110">
      <c r="C1110" s="26"/>
      <c r="D1110" s="26"/>
    </row>
    <row r="1111">
      <c r="C1111" s="26"/>
      <c r="D1111" s="26"/>
    </row>
    <row r="1112">
      <c r="C1112" s="26"/>
      <c r="D1112" s="26"/>
    </row>
    <row r="1113">
      <c r="C1113" s="26"/>
      <c r="D1113" s="26"/>
    </row>
    <row r="1114">
      <c r="C1114" s="26"/>
      <c r="D1114" s="26"/>
    </row>
    <row r="1115">
      <c r="C1115" s="26"/>
      <c r="D1115" s="26"/>
    </row>
    <row r="1116">
      <c r="C1116" s="26"/>
      <c r="D1116" s="26"/>
    </row>
    <row r="1117">
      <c r="C1117" s="26"/>
      <c r="D1117" s="26"/>
    </row>
    <row r="1118">
      <c r="C1118" s="26"/>
      <c r="D1118" s="26"/>
    </row>
    <row r="1119">
      <c r="C1119" s="26"/>
      <c r="D1119" s="26"/>
    </row>
    <row r="1120">
      <c r="C1120" s="26"/>
      <c r="D1120" s="26"/>
    </row>
    <row r="1121">
      <c r="C1121" s="26"/>
      <c r="D1121" s="26"/>
    </row>
    <row r="1122">
      <c r="C1122" s="26"/>
      <c r="D1122" s="26"/>
    </row>
    <row r="1123">
      <c r="C1123" s="26"/>
      <c r="D1123" s="26"/>
    </row>
    <row r="1124">
      <c r="C1124" s="26"/>
      <c r="D1124" s="26"/>
    </row>
    <row r="1125">
      <c r="C1125" s="26"/>
      <c r="D1125" s="26"/>
    </row>
    <row r="1126">
      <c r="C1126" s="26"/>
      <c r="D1126" s="26"/>
    </row>
    <row r="1127">
      <c r="C1127" s="26"/>
      <c r="D1127" s="26"/>
    </row>
    <row r="1128">
      <c r="C1128" s="26"/>
      <c r="D1128" s="26"/>
    </row>
    <row r="1129">
      <c r="C1129" s="26"/>
      <c r="D1129" s="26"/>
    </row>
    <row r="1130">
      <c r="C1130" s="26"/>
      <c r="D1130" s="26"/>
    </row>
    <row r="1131">
      <c r="C1131" s="26"/>
      <c r="D1131" s="26"/>
    </row>
    <row r="1132">
      <c r="C1132" s="26"/>
      <c r="D1132" s="26"/>
    </row>
    <row r="1133">
      <c r="C1133" s="26"/>
      <c r="D1133" s="26"/>
    </row>
    <row r="1134">
      <c r="C1134" s="26"/>
      <c r="D1134" s="26"/>
    </row>
    <row r="1135">
      <c r="C1135" s="26"/>
      <c r="D1135" s="26"/>
    </row>
    <row r="1136">
      <c r="C1136" s="26"/>
      <c r="D1136" s="26"/>
    </row>
    <row r="1137">
      <c r="C1137" s="26"/>
      <c r="D1137" s="26"/>
    </row>
    <row r="1138">
      <c r="C1138" s="26"/>
      <c r="D1138" s="26"/>
    </row>
    <row r="1139">
      <c r="C1139" s="26"/>
      <c r="D1139" s="26"/>
    </row>
    <row r="1140">
      <c r="C1140" s="26"/>
      <c r="D1140" s="26"/>
    </row>
    <row r="1141">
      <c r="C1141" s="26"/>
      <c r="D1141" s="26"/>
    </row>
    <row r="1142">
      <c r="C1142" s="26"/>
      <c r="D1142" s="26"/>
    </row>
    <row r="1143">
      <c r="C1143" s="26"/>
      <c r="D1143" s="26"/>
    </row>
    <row r="1144">
      <c r="C1144" s="26"/>
      <c r="D1144" s="26"/>
    </row>
    <row r="1145">
      <c r="C1145" s="26"/>
      <c r="D1145" s="26"/>
    </row>
    <row r="1146">
      <c r="C1146" s="26"/>
      <c r="D1146" s="26"/>
    </row>
    <row r="1147">
      <c r="C1147" s="26"/>
      <c r="D1147" s="26"/>
    </row>
    <row r="1148">
      <c r="C1148" s="26"/>
      <c r="D1148" s="26"/>
    </row>
    <row r="1149">
      <c r="C1149" s="26"/>
      <c r="D1149" s="26"/>
    </row>
    <row r="1150">
      <c r="C1150" s="26"/>
      <c r="D1150" s="26"/>
    </row>
    <row r="1151">
      <c r="C1151" s="26"/>
      <c r="D1151" s="26"/>
    </row>
    <row r="1152">
      <c r="C1152" s="26"/>
      <c r="D1152" s="26"/>
    </row>
    <row r="1153">
      <c r="C1153" s="26"/>
      <c r="D1153" s="26"/>
    </row>
    <row r="1154">
      <c r="C1154" s="26"/>
      <c r="D1154" s="26"/>
    </row>
    <row r="1155">
      <c r="C1155" s="26"/>
      <c r="D1155" s="26"/>
    </row>
    <row r="1156">
      <c r="C1156" s="26"/>
      <c r="D1156" s="26"/>
    </row>
    <row r="1157">
      <c r="C1157" s="26"/>
      <c r="D1157" s="26"/>
    </row>
    <row r="1158">
      <c r="C1158" s="26"/>
      <c r="D1158" s="26"/>
    </row>
    <row r="1159">
      <c r="C1159" s="26"/>
      <c r="D1159" s="26"/>
    </row>
    <row r="1160">
      <c r="C1160" s="26"/>
      <c r="D1160" s="26"/>
    </row>
    <row r="1161">
      <c r="C1161" s="26"/>
      <c r="D1161" s="26"/>
    </row>
    <row r="1162">
      <c r="C1162" s="26"/>
      <c r="D1162" s="26"/>
    </row>
    <row r="1163">
      <c r="C1163" s="26"/>
      <c r="D1163" s="26"/>
    </row>
    <row r="1164">
      <c r="C1164" s="26"/>
      <c r="D1164" s="26"/>
    </row>
    <row r="1165">
      <c r="C1165" s="26"/>
      <c r="D1165" s="26"/>
    </row>
    <row r="1166">
      <c r="C1166" s="26"/>
      <c r="D1166" s="26"/>
    </row>
    <row r="1167">
      <c r="C1167" s="26"/>
      <c r="D1167" s="26"/>
    </row>
    <row r="1168">
      <c r="C1168" s="26"/>
      <c r="D1168" s="26"/>
    </row>
    <row r="1169">
      <c r="C1169" s="26"/>
      <c r="D1169" s="26"/>
    </row>
    <row r="1170">
      <c r="C1170" s="26"/>
      <c r="D1170" s="26"/>
    </row>
    <row r="1171">
      <c r="C1171" s="26"/>
      <c r="D1171" s="26"/>
    </row>
    <row r="1172">
      <c r="C1172" s="26"/>
      <c r="D1172" s="26"/>
    </row>
    <row r="1173">
      <c r="C1173" s="26"/>
      <c r="D1173" s="26"/>
    </row>
    <row r="1174">
      <c r="C1174" s="26"/>
      <c r="D1174" s="26"/>
    </row>
    <row r="1175">
      <c r="C1175" s="26"/>
      <c r="D1175" s="26"/>
    </row>
    <row r="1176">
      <c r="C1176" s="26"/>
      <c r="D1176" s="26"/>
    </row>
    <row r="1177">
      <c r="C1177" s="26"/>
      <c r="D1177" s="26"/>
    </row>
    <row r="1178">
      <c r="C1178" s="26"/>
      <c r="D1178" s="26"/>
    </row>
    <row r="1179">
      <c r="C1179" s="26"/>
      <c r="D1179" s="26"/>
    </row>
    <row r="1180">
      <c r="C1180" s="26"/>
      <c r="D1180" s="26"/>
    </row>
    <row r="1181">
      <c r="C1181" s="26"/>
      <c r="D1181" s="26"/>
    </row>
    <row r="1182">
      <c r="C1182" s="26"/>
      <c r="D1182" s="26"/>
    </row>
    <row r="1183">
      <c r="C1183" s="26"/>
      <c r="D1183" s="26"/>
    </row>
    <row r="1184">
      <c r="C1184" s="26"/>
      <c r="D1184" s="26"/>
    </row>
    <row r="1185">
      <c r="C1185" s="26"/>
      <c r="D1185" s="26"/>
    </row>
    <row r="1186">
      <c r="C1186" s="26"/>
      <c r="D1186" s="26"/>
    </row>
    <row r="1187">
      <c r="C1187" s="26"/>
      <c r="D1187" s="26"/>
    </row>
    <row r="1188">
      <c r="C1188" s="26"/>
      <c r="D1188" s="26"/>
    </row>
    <row r="1189">
      <c r="C1189" s="26"/>
      <c r="D1189" s="26"/>
    </row>
    <row r="1190">
      <c r="C1190" s="26"/>
      <c r="D1190" s="26"/>
    </row>
    <row r="1191">
      <c r="C1191" s="26"/>
      <c r="D1191" s="26"/>
    </row>
    <row r="1192">
      <c r="C1192" s="26"/>
      <c r="D1192" s="26"/>
    </row>
    <row r="1193">
      <c r="C1193" s="26"/>
      <c r="D1193" s="26"/>
    </row>
    <row r="1194">
      <c r="C1194" s="26"/>
      <c r="D1194" s="26"/>
    </row>
    <row r="1195">
      <c r="C1195" s="26"/>
      <c r="D1195" s="26"/>
    </row>
    <row r="1196">
      <c r="C1196" s="26"/>
      <c r="D1196" s="26"/>
    </row>
    <row r="1197">
      <c r="C1197" s="26"/>
      <c r="D1197" s="26"/>
    </row>
    <row r="1198">
      <c r="C1198" s="26"/>
      <c r="D1198" s="26"/>
    </row>
    <row r="1199">
      <c r="C1199" s="26"/>
      <c r="D1199" s="26"/>
    </row>
    <row r="1200">
      <c r="C1200" s="26"/>
      <c r="D1200" s="26"/>
    </row>
    <row r="1201">
      <c r="C1201" s="26"/>
      <c r="D1201" s="26"/>
    </row>
    <row r="1202">
      <c r="C1202" s="26"/>
      <c r="D1202" s="26"/>
    </row>
    <row r="1203">
      <c r="C1203" s="26"/>
      <c r="D1203" s="26"/>
    </row>
    <row r="1204">
      <c r="C1204" s="26"/>
      <c r="D1204" s="26"/>
    </row>
    <row r="1205">
      <c r="C1205" s="26"/>
      <c r="D1205" s="26"/>
    </row>
    <row r="1206">
      <c r="C1206" s="26"/>
      <c r="D1206" s="26"/>
    </row>
    <row r="1207">
      <c r="C1207" s="26"/>
      <c r="D1207" s="26"/>
    </row>
    <row r="1208">
      <c r="C1208" s="26"/>
      <c r="D1208" s="26"/>
    </row>
    <row r="1209">
      <c r="C1209" s="26"/>
      <c r="D1209" s="26"/>
    </row>
    <row r="1210">
      <c r="C1210" s="26"/>
      <c r="D1210" s="26"/>
    </row>
    <row r="1211">
      <c r="C1211" s="26"/>
      <c r="D1211" s="26"/>
    </row>
    <row r="1212">
      <c r="C1212" s="26"/>
      <c r="D1212" s="26"/>
    </row>
    <row r="1213">
      <c r="C1213" s="26"/>
      <c r="D1213" s="26"/>
    </row>
    <row r="1214">
      <c r="C1214" s="26"/>
      <c r="D1214" s="26"/>
    </row>
    <row r="1215">
      <c r="C1215" s="26"/>
      <c r="D1215" s="26"/>
    </row>
    <row r="1216">
      <c r="C1216" s="26"/>
      <c r="D1216" s="26"/>
    </row>
    <row r="1217">
      <c r="C1217" s="26"/>
      <c r="D1217" s="26"/>
    </row>
    <row r="1218">
      <c r="C1218" s="26"/>
      <c r="D1218" s="26"/>
    </row>
    <row r="1219">
      <c r="C1219" s="26"/>
      <c r="D1219" s="26"/>
    </row>
    <row r="1220">
      <c r="C1220" s="26"/>
      <c r="D1220" s="26"/>
    </row>
    <row r="1221">
      <c r="C1221" s="26"/>
      <c r="D1221" s="26"/>
    </row>
    <row r="1222">
      <c r="C1222" s="26"/>
      <c r="D1222" s="26"/>
    </row>
    <row r="1223">
      <c r="C1223" s="26"/>
      <c r="D1223" s="26"/>
    </row>
    <row r="1224">
      <c r="C1224" s="26"/>
      <c r="D1224" s="26"/>
    </row>
    <row r="1225">
      <c r="C1225" s="26"/>
      <c r="D1225" s="26"/>
    </row>
    <row r="1226">
      <c r="C1226" s="26"/>
      <c r="D1226" s="26"/>
    </row>
    <row r="1227">
      <c r="C1227" s="26"/>
      <c r="D1227" s="26"/>
    </row>
    <row r="1228">
      <c r="C1228" s="26"/>
      <c r="D1228" s="26"/>
    </row>
    <row r="1229">
      <c r="C1229" s="26"/>
      <c r="D1229" s="26"/>
    </row>
    <row r="1230">
      <c r="C1230" s="26"/>
      <c r="D1230" s="26"/>
    </row>
    <row r="1231">
      <c r="C1231" s="26"/>
      <c r="D1231" s="26"/>
    </row>
    <row r="1232">
      <c r="C1232" s="26"/>
      <c r="D1232" s="26"/>
    </row>
    <row r="1233">
      <c r="C1233" s="26"/>
      <c r="D1233" s="26"/>
    </row>
    <row r="1234">
      <c r="C1234" s="26"/>
      <c r="D1234" s="26"/>
    </row>
    <row r="1235">
      <c r="C1235" s="26"/>
      <c r="D1235" s="26"/>
    </row>
    <row r="1236">
      <c r="C1236" s="26"/>
      <c r="D1236" s="26"/>
    </row>
    <row r="1237">
      <c r="C1237" s="26"/>
      <c r="D1237" s="26"/>
    </row>
    <row r="1238">
      <c r="C1238" s="26"/>
      <c r="D1238" s="26"/>
    </row>
    <row r="1239">
      <c r="C1239" s="26"/>
      <c r="D1239" s="26"/>
    </row>
    <row r="1240">
      <c r="C1240" s="26"/>
      <c r="D1240" s="26"/>
    </row>
    <row r="1241">
      <c r="C1241" s="26"/>
      <c r="D1241" s="26"/>
    </row>
    <row r="1242">
      <c r="C1242" s="26"/>
      <c r="D1242" s="26"/>
    </row>
    <row r="1243">
      <c r="C1243" s="26"/>
      <c r="D1243" s="26"/>
    </row>
    <row r="1244">
      <c r="C1244" s="26"/>
      <c r="D1244" s="26"/>
    </row>
    <row r="1245">
      <c r="C1245" s="26"/>
      <c r="D1245" s="26"/>
    </row>
    <row r="1246">
      <c r="C1246" s="26"/>
      <c r="D1246" s="26"/>
    </row>
    <row r="1247">
      <c r="C1247" s="26"/>
      <c r="D1247" s="26"/>
    </row>
    <row r="1248">
      <c r="C1248" s="26"/>
      <c r="D1248" s="26"/>
    </row>
    <row r="1249">
      <c r="C1249" s="26"/>
      <c r="D1249" s="26"/>
    </row>
    <row r="1250">
      <c r="C1250" s="26"/>
      <c r="D1250" s="26"/>
    </row>
    <row r="1251">
      <c r="C1251" s="26"/>
      <c r="D1251" s="26"/>
    </row>
    <row r="1252">
      <c r="C1252" s="26"/>
      <c r="D1252" s="26"/>
    </row>
    <row r="1253">
      <c r="C1253" s="26"/>
      <c r="D1253" s="26"/>
    </row>
    <row r="1254">
      <c r="C1254" s="26"/>
      <c r="D1254" s="26"/>
    </row>
    <row r="1255">
      <c r="C1255" s="26"/>
      <c r="D1255" s="26"/>
    </row>
    <row r="1256">
      <c r="C1256" s="26"/>
      <c r="D1256" s="26"/>
    </row>
    <row r="1257">
      <c r="C1257" s="26"/>
      <c r="D1257" s="26"/>
    </row>
    <row r="1258">
      <c r="C1258" s="26"/>
      <c r="D1258" s="26"/>
    </row>
    <row r="1259">
      <c r="C1259" s="26"/>
      <c r="D1259" s="26"/>
    </row>
    <row r="1260">
      <c r="C1260" s="26"/>
      <c r="D1260" s="26"/>
    </row>
    <row r="1261">
      <c r="C1261" s="26"/>
      <c r="D1261" s="26"/>
    </row>
    <row r="1262">
      <c r="C1262" s="26"/>
      <c r="D1262" s="26"/>
    </row>
    <row r="1263">
      <c r="C1263" s="26"/>
      <c r="D1263" s="26"/>
    </row>
    <row r="1264">
      <c r="C1264" s="26"/>
      <c r="D1264" s="26"/>
    </row>
    <row r="1265">
      <c r="C1265" s="26"/>
      <c r="D1265" s="26"/>
    </row>
    <row r="1266">
      <c r="C1266" s="26"/>
      <c r="D1266" s="26"/>
    </row>
    <row r="1267">
      <c r="C1267" s="26"/>
      <c r="D1267" s="26"/>
    </row>
    <row r="1268">
      <c r="C1268" s="26"/>
      <c r="D1268" s="26"/>
    </row>
    <row r="1269">
      <c r="C1269" s="26"/>
      <c r="D1269" s="26"/>
    </row>
    <row r="1270">
      <c r="C1270" s="26"/>
      <c r="D1270" s="26"/>
    </row>
    <row r="1271">
      <c r="C1271" s="26"/>
      <c r="D1271" s="26"/>
    </row>
    <row r="1272">
      <c r="C1272" s="26"/>
      <c r="D1272" s="26"/>
    </row>
    <row r="1273">
      <c r="C1273" s="26"/>
      <c r="D1273" s="26"/>
    </row>
    <row r="1274">
      <c r="C1274" s="26"/>
      <c r="D1274" s="26"/>
    </row>
    <row r="1275">
      <c r="C1275" s="26"/>
      <c r="D1275" s="26"/>
    </row>
    <row r="1276">
      <c r="C1276" s="26"/>
      <c r="D1276" s="26"/>
    </row>
    <row r="1277">
      <c r="C1277" s="26"/>
      <c r="D1277" s="26"/>
    </row>
    <row r="1278">
      <c r="C1278" s="26"/>
      <c r="D1278" s="26"/>
    </row>
    <row r="1279">
      <c r="C1279" s="26"/>
      <c r="D1279" s="26"/>
    </row>
    <row r="1280">
      <c r="C1280" s="26"/>
      <c r="D1280" s="26"/>
    </row>
    <row r="1281">
      <c r="C1281" s="26"/>
      <c r="D1281" s="26"/>
    </row>
    <row r="1282">
      <c r="C1282" s="26"/>
      <c r="D1282" s="26"/>
    </row>
    <row r="1283">
      <c r="C1283" s="26"/>
      <c r="D1283" s="26"/>
    </row>
    <row r="1284">
      <c r="C1284" s="26"/>
      <c r="D1284" s="26"/>
    </row>
    <row r="1285">
      <c r="C1285" s="26"/>
      <c r="D1285" s="26"/>
    </row>
    <row r="1286">
      <c r="C1286" s="26"/>
      <c r="D1286" s="26"/>
    </row>
    <row r="1287">
      <c r="C1287" s="26"/>
      <c r="D1287" s="26"/>
    </row>
    <row r="1288">
      <c r="C1288" s="26"/>
      <c r="D1288" s="26"/>
    </row>
    <row r="1289">
      <c r="C1289" s="26"/>
      <c r="D1289" s="26"/>
    </row>
    <row r="1290">
      <c r="C1290" s="26"/>
      <c r="D1290" s="26"/>
    </row>
    <row r="1291">
      <c r="C1291" s="26"/>
      <c r="D1291" s="26"/>
    </row>
    <row r="1292">
      <c r="C1292" s="26"/>
      <c r="D1292" s="26"/>
    </row>
    <row r="1293">
      <c r="C1293" s="26"/>
      <c r="D1293" s="26"/>
    </row>
    <row r="1294">
      <c r="C1294" s="26"/>
      <c r="D1294" s="26"/>
    </row>
    <row r="1295">
      <c r="C1295" s="26"/>
      <c r="D1295" s="26"/>
    </row>
    <row r="1296">
      <c r="C1296" s="26"/>
      <c r="D1296" s="26"/>
    </row>
    <row r="1297">
      <c r="C1297" s="26"/>
      <c r="D1297" s="26"/>
    </row>
    <row r="1298">
      <c r="C1298" s="26"/>
      <c r="D1298" s="26"/>
    </row>
    <row r="1299">
      <c r="C1299" s="26"/>
      <c r="D1299" s="26"/>
    </row>
    <row r="1300">
      <c r="C1300" s="26"/>
      <c r="D1300" s="26"/>
    </row>
    <row r="1301">
      <c r="C1301" s="26"/>
      <c r="D1301" s="26"/>
    </row>
    <row r="1302">
      <c r="C1302" s="26"/>
      <c r="D1302" s="26"/>
    </row>
    <row r="1303">
      <c r="C1303" s="26"/>
      <c r="D1303" s="26"/>
    </row>
    <row r="1304">
      <c r="C1304" s="26"/>
      <c r="D1304" s="26"/>
    </row>
    <row r="1305">
      <c r="C1305" s="26"/>
      <c r="D1305" s="26"/>
    </row>
    <row r="1306">
      <c r="C1306" s="26"/>
      <c r="D1306" s="26"/>
    </row>
    <row r="1307">
      <c r="C1307" s="26"/>
      <c r="D1307" s="26"/>
    </row>
    <row r="1308">
      <c r="C1308" s="26"/>
      <c r="D1308" s="26"/>
    </row>
    <row r="1309">
      <c r="C1309" s="26"/>
      <c r="D1309" s="26"/>
    </row>
    <row r="1310">
      <c r="C1310" s="26"/>
      <c r="D1310" s="26"/>
    </row>
    <row r="1311">
      <c r="C1311" s="26"/>
      <c r="D1311" s="26"/>
    </row>
    <row r="1312">
      <c r="C1312" s="26"/>
      <c r="D1312" s="26"/>
    </row>
    <row r="1313">
      <c r="C1313" s="26"/>
      <c r="D1313" s="26"/>
    </row>
    <row r="1314">
      <c r="C1314" s="26"/>
      <c r="D1314" s="26"/>
    </row>
    <row r="1315">
      <c r="C1315" s="26"/>
      <c r="D1315" s="26"/>
    </row>
    <row r="1316">
      <c r="C1316" s="26"/>
      <c r="D1316" s="26"/>
    </row>
    <row r="1317">
      <c r="C1317" s="26"/>
      <c r="D1317" s="26"/>
    </row>
    <row r="1318">
      <c r="C1318" s="26"/>
      <c r="D1318" s="26"/>
    </row>
    <row r="1319">
      <c r="C1319" s="26"/>
      <c r="D1319" s="26"/>
    </row>
    <row r="1320">
      <c r="C1320" s="26"/>
      <c r="D1320" s="26"/>
    </row>
    <row r="1321">
      <c r="C1321" s="26"/>
      <c r="D1321" s="26"/>
    </row>
    <row r="1322">
      <c r="C1322" s="26"/>
      <c r="D1322" s="26"/>
    </row>
    <row r="1323">
      <c r="C1323" s="26"/>
      <c r="D1323" s="26"/>
    </row>
    <row r="1324">
      <c r="C1324" s="26"/>
      <c r="D1324" s="26"/>
    </row>
    <row r="1325">
      <c r="C1325" s="26"/>
      <c r="D1325" s="26"/>
    </row>
    <row r="1326">
      <c r="C1326" s="26"/>
      <c r="D1326" s="26"/>
    </row>
    <row r="1327">
      <c r="C1327" s="26"/>
      <c r="D1327" s="26"/>
    </row>
    <row r="1328">
      <c r="C1328" s="26"/>
      <c r="D1328" s="26"/>
    </row>
    <row r="1329">
      <c r="C1329" s="26"/>
      <c r="D1329" s="26"/>
    </row>
    <row r="1330">
      <c r="C1330" s="26"/>
      <c r="D1330" s="26"/>
    </row>
    <row r="1331">
      <c r="C1331" s="26"/>
      <c r="D1331" s="26"/>
    </row>
    <row r="1332">
      <c r="C1332" s="26"/>
      <c r="D1332" s="26"/>
    </row>
    <row r="1333">
      <c r="C1333" s="26"/>
      <c r="D1333" s="26"/>
    </row>
    <row r="1334">
      <c r="C1334" s="26"/>
      <c r="D1334" s="26"/>
    </row>
    <row r="1335">
      <c r="C1335" s="26"/>
      <c r="D1335" s="26"/>
    </row>
    <row r="1336">
      <c r="C1336" s="26"/>
      <c r="D1336" s="26"/>
    </row>
    <row r="1337">
      <c r="C1337" s="26"/>
      <c r="D1337" s="26"/>
    </row>
    <row r="1338">
      <c r="C1338" s="26"/>
      <c r="D1338" s="26"/>
    </row>
    <row r="1339">
      <c r="C1339" s="26"/>
      <c r="D1339" s="26"/>
    </row>
    <row r="1340">
      <c r="C1340" s="26"/>
      <c r="D1340" s="26"/>
    </row>
    <row r="1341">
      <c r="C1341" s="26"/>
      <c r="D1341" s="26"/>
    </row>
    <row r="1342">
      <c r="C1342" s="26"/>
      <c r="D1342" s="26"/>
    </row>
    <row r="1343">
      <c r="C1343" s="26"/>
      <c r="D1343" s="26"/>
    </row>
    <row r="1344">
      <c r="C1344" s="26"/>
      <c r="D1344" s="26"/>
    </row>
    <row r="1345">
      <c r="C1345" s="26"/>
      <c r="D1345" s="26"/>
    </row>
    <row r="1346">
      <c r="C1346" s="26"/>
      <c r="D1346" s="26"/>
    </row>
    <row r="1347">
      <c r="C1347" s="26"/>
      <c r="D1347" s="26"/>
    </row>
    <row r="1348">
      <c r="C1348" s="26"/>
      <c r="D1348" s="26"/>
    </row>
    <row r="1349">
      <c r="C1349" s="26"/>
      <c r="D1349" s="26"/>
    </row>
    <row r="1350">
      <c r="C1350" s="26"/>
      <c r="D1350" s="26"/>
    </row>
    <row r="1351">
      <c r="C1351" s="26"/>
      <c r="D1351" s="26"/>
    </row>
    <row r="1352">
      <c r="C1352" s="26"/>
      <c r="D1352" s="26"/>
    </row>
    <row r="1353">
      <c r="C1353" s="26"/>
      <c r="D1353" s="26"/>
    </row>
    <row r="1354">
      <c r="C1354" s="26"/>
      <c r="D1354" s="26"/>
    </row>
    <row r="1355">
      <c r="C1355" s="26"/>
      <c r="D1355" s="26"/>
    </row>
    <row r="1356">
      <c r="C1356" s="26"/>
      <c r="D1356" s="26"/>
    </row>
    <row r="1357">
      <c r="C1357" s="26"/>
      <c r="D1357" s="26"/>
    </row>
    <row r="1358">
      <c r="C1358" s="26"/>
      <c r="D1358" s="26"/>
    </row>
    <row r="1359">
      <c r="C1359" s="26"/>
      <c r="D1359" s="26"/>
    </row>
    <row r="1360">
      <c r="C1360" s="26"/>
      <c r="D1360" s="26"/>
    </row>
    <row r="1361">
      <c r="C1361" s="26"/>
      <c r="D1361" s="26"/>
    </row>
    <row r="1362">
      <c r="C1362" s="26"/>
      <c r="D1362" s="26"/>
    </row>
    <row r="1363">
      <c r="C1363" s="26"/>
      <c r="D1363" s="26"/>
    </row>
    <row r="1364">
      <c r="C1364" s="26"/>
      <c r="D1364" s="26"/>
    </row>
    <row r="1365">
      <c r="C1365" s="26"/>
      <c r="D1365" s="26"/>
    </row>
    <row r="1366">
      <c r="C1366" s="26"/>
      <c r="D1366" s="26"/>
    </row>
    <row r="1367">
      <c r="C1367" s="26"/>
      <c r="D1367" s="26"/>
    </row>
    <row r="1368">
      <c r="C1368" s="26"/>
      <c r="D1368" s="26"/>
    </row>
    <row r="1369">
      <c r="C1369" s="26"/>
      <c r="D1369" s="26"/>
    </row>
    <row r="1370">
      <c r="C1370" s="26"/>
      <c r="D1370" s="26"/>
    </row>
    <row r="1371">
      <c r="C1371" s="26"/>
      <c r="D1371" s="26"/>
    </row>
    <row r="1372">
      <c r="C1372" s="26"/>
      <c r="D1372" s="26"/>
    </row>
    <row r="1373">
      <c r="C1373" s="26"/>
      <c r="D1373" s="26"/>
    </row>
    <row r="1374">
      <c r="C1374" s="26"/>
      <c r="D1374" s="26"/>
    </row>
    <row r="1375">
      <c r="C1375" s="26"/>
      <c r="D1375" s="26"/>
    </row>
    <row r="1376">
      <c r="C1376" s="26"/>
      <c r="D1376" s="26"/>
    </row>
    <row r="1377">
      <c r="C1377" s="26"/>
      <c r="D1377" s="26"/>
    </row>
    <row r="1378">
      <c r="C1378" s="26"/>
      <c r="D1378" s="26"/>
    </row>
    <row r="1379">
      <c r="C1379" s="26"/>
      <c r="D1379" s="26"/>
    </row>
    <row r="1380">
      <c r="C1380" s="26"/>
      <c r="D1380" s="26"/>
    </row>
    <row r="1381">
      <c r="C1381" s="26"/>
      <c r="D1381" s="26"/>
    </row>
    <row r="1382">
      <c r="C1382" s="26"/>
      <c r="D1382" s="26"/>
    </row>
    <row r="1383">
      <c r="C1383" s="26"/>
      <c r="D1383" s="26"/>
    </row>
    <row r="1384">
      <c r="C1384" s="26"/>
      <c r="D1384" s="26"/>
    </row>
    <row r="1385">
      <c r="C1385" s="26"/>
      <c r="D1385" s="26"/>
    </row>
    <row r="1386">
      <c r="C1386" s="26"/>
      <c r="D1386" s="26"/>
    </row>
    <row r="1387">
      <c r="C1387" s="26"/>
      <c r="D1387" s="26"/>
    </row>
    <row r="1388">
      <c r="C1388" s="26"/>
      <c r="D1388" s="26"/>
    </row>
    <row r="1389">
      <c r="C1389" s="26"/>
      <c r="D1389" s="26"/>
    </row>
    <row r="1390">
      <c r="C1390" s="26"/>
      <c r="D1390" s="26"/>
    </row>
    <row r="1391">
      <c r="C1391" s="26"/>
      <c r="D1391" s="26"/>
    </row>
    <row r="1392">
      <c r="C1392" s="26"/>
      <c r="D1392" s="26"/>
    </row>
    <row r="1393">
      <c r="C1393" s="26"/>
      <c r="D1393" s="26"/>
    </row>
    <row r="1394">
      <c r="C1394" s="26"/>
      <c r="D1394" s="26"/>
    </row>
    <row r="1395">
      <c r="C1395" s="26"/>
      <c r="D1395" s="26"/>
    </row>
    <row r="1396">
      <c r="C1396" s="26"/>
      <c r="D1396" s="26"/>
    </row>
    <row r="1397">
      <c r="C1397" s="26"/>
      <c r="D1397" s="26"/>
    </row>
    <row r="1398">
      <c r="C1398" s="26"/>
      <c r="D1398" s="26"/>
    </row>
    <row r="1399">
      <c r="C1399" s="26"/>
      <c r="D1399" s="26"/>
    </row>
    <row r="1400">
      <c r="C1400" s="26"/>
      <c r="D1400" s="26"/>
    </row>
    <row r="1401">
      <c r="C1401" s="26"/>
      <c r="D1401" s="26"/>
    </row>
    <row r="1402">
      <c r="C1402" s="26"/>
      <c r="D1402" s="26"/>
    </row>
    <row r="1403">
      <c r="C1403" s="26"/>
      <c r="D1403" s="26"/>
    </row>
    <row r="1404">
      <c r="C1404" s="26"/>
      <c r="D1404" s="26"/>
    </row>
    <row r="1405">
      <c r="C1405" s="26"/>
      <c r="D1405" s="26"/>
    </row>
    <row r="1406">
      <c r="C1406" s="26"/>
      <c r="D1406" s="26"/>
    </row>
    <row r="1407">
      <c r="C1407" s="26"/>
      <c r="D1407" s="26"/>
    </row>
    <row r="1408">
      <c r="C1408" s="26"/>
      <c r="D1408" s="26"/>
    </row>
    <row r="1409">
      <c r="C1409" s="26"/>
      <c r="D1409" s="26"/>
    </row>
    <row r="1410">
      <c r="C1410" s="26"/>
      <c r="D1410" s="26"/>
    </row>
    <row r="1411">
      <c r="C1411" s="26"/>
      <c r="D1411" s="26"/>
    </row>
    <row r="1412">
      <c r="C1412" s="26"/>
      <c r="D1412" s="26"/>
    </row>
    <row r="1413">
      <c r="C1413" s="26"/>
      <c r="D1413" s="26"/>
    </row>
    <row r="1414">
      <c r="C1414" s="26"/>
      <c r="D1414" s="26"/>
    </row>
    <row r="1415">
      <c r="C1415" s="26"/>
      <c r="D1415" s="26"/>
    </row>
    <row r="1416">
      <c r="C1416" s="26"/>
      <c r="D1416" s="26"/>
    </row>
    <row r="1417">
      <c r="C1417" s="26"/>
      <c r="D1417" s="26"/>
    </row>
    <row r="1418">
      <c r="C1418" s="26"/>
      <c r="D1418" s="26"/>
    </row>
    <row r="1419">
      <c r="C1419" s="26"/>
      <c r="D1419" s="26"/>
    </row>
    <row r="1420">
      <c r="C1420" s="26"/>
      <c r="D1420" s="26"/>
    </row>
    <row r="1421">
      <c r="C1421" s="26"/>
      <c r="D1421" s="26"/>
    </row>
    <row r="1422">
      <c r="C1422" s="26"/>
      <c r="D1422" s="26"/>
    </row>
    <row r="1423">
      <c r="C1423" s="26"/>
      <c r="D1423" s="26"/>
    </row>
    <row r="1424">
      <c r="C1424" s="26"/>
      <c r="D1424" s="26"/>
    </row>
    <row r="1425">
      <c r="C1425" s="26"/>
      <c r="D1425" s="26"/>
    </row>
    <row r="1426">
      <c r="C1426" s="26"/>
      <c r="D1426" s="26"/>
    </row>
    <row r="1427">
      <c r="C1427" s="26"/>
      <c r="D1427" s="26"/>
    </row>
    <row r="1428">
      <c r="C1428" s="26"/>
      <c r="D1428" s="26"/>
    </row>
    <row r="1429">
      <c r="C1429" s="26"/>
      <c r="D1429" s="26"/>
    </row>
    <row r="1430">
      <c r="C1430" s="26"/>
      <c r="D1430" s="26"/>
    </row>
    <row r="1431">
      <c r="C1431" s="26"/>
      <c r="D1431" s="26"/>
    </row>
    <row r="1432">
      <c r="C1432" s="26"/>
      <c r="D1432" s="26"/>
    </row>
    <row r="1433">
      <c r="C1433" s="26"/>
      <c r="D1433" s="26"/>
    </row>
    <row r="1434">
      <c r="C1434" s="26"/>
      <c r="D1434" s="26"/>
    </row>
    <row r="1435">
      <c r="C1435" s="26"/>
      <c r="D1435" s="26"/>
    </row>
    <row r="1436">
      <c r="C1436" s="26"/>
      <c r="D1436" s="26"/>
    </row>
    <row r="1437">
      <c r="C1437" s="26"/>
      <c r="D1437" s="26"/>
    </row>
    <row r="1438">
      <c r="C1438" s="26"/>
      <c r="D1438" s="26"/>
    </row>
    <row r="1439">
      <c r="C1439" s="26"/>
      <c r="D1439" s="26"/>
    </row>
    <row r="1440">
      <c r="C1440" s="26"/>
      <c r="D1440" s="26"/>
    </row>
    <row r="1441">
      <c r="C1441" s="26"/>
      <c r="D1441" s="26"/>
    </row>
    <row r="1442">
      <c r="C1442" s="26"/>
      <c r="D1442" s="26"/>
    </row>
    <row r="1443">
      <c r="C1443" s="26"/>
      <c r="D1443" s="26"/>
    </row>
    <row r="1444">
      <c r="C1444" s="26"/>
      <c r="D1444" s="26"/>
    </row>
    <row r="1445">
      <c r="C1445" s="26"/>
      <c r="D1445" s="26"/>
    </row>
    <row r="1446">
      <c r="C1446" s="26"/>
      <c r="D1446" s="26"/>
    </row>
    <row r="1447">
      <c r="C1447" s="26"/>
      <c r="D1447" s="26"/>
    </row>
    <row r="1448">
      <c r="C1448" s="26"/>
      <c r="D1448" s="26"/>
    </row>
    <row r="1449">
      <c r="C1449" s="26"/>
      <c r="D1449" s="26"/>
    </row>
    <row r="1450">
      <c r="C1450" s="26"/>
      <c r="D1450" s="26"/>
    </row>
    <row r="1451">
      <c r="C1451" s="26"/>
      <c r="D1451" s="26"/>
    </row>
    <row r="1452">
      <c r="C1452" s="26"/>
      <c r="D1452" s="26"/>
    </row>
    <row r="1453">
      <c r="C1453" s="26"/>
      <c r="D1453" s="26"/>
    </row>
    <row r="1454">
      <c r="C1454" s="26"/>
      <c r="D1454" s="26"/>
    </row>
    <row r="1455">
      <c r="C1455" s="26"/>
      <c r="D1455" s="26"/>
    </row>
    <row r="1456">
      <c r="C1456" s="26"/>
      <c r="D1456" s="26"/>
    </row>
    <row r="1457">
      <c r="C1457" s="26"/>
      <c r="D1457" s="26"/>
    </row>
    <row r="1458">
      <c r="C1458" s="26"/>
      <c r="D1458" s="26"/>
    </row>
    <row r="1459">
      <c r="C1459" s="26"/>
      <c r="D1459" s="26"/>
    </row>
    <row r="1460">
      <c r="C1460" s="26"/>
      <c r="D1460" s="26"/>
    </row>
    <row r="1461">
      <c r="C1461" s="26"/>
      <c r="D1461" s="26"/>
    </row>
    <row r="1462">
      <c r="C1462" s="26"/>
      <c r="D1462" s="26"/>
    </row>
    <row r="1463">
      <c r="C1463" s="26"/>
      <c r="D1463" s="26"/>
    </row>
    <row r="1464">
      <c r="C1464" s="26"/>
      <c r="D1464" s="26"/>
    </row>
    <row r="1465">
      <c r="C1465" s="26"/>
      <c r="D1465" s="26"/>
    </row>
    <row r="1466">
      <c r="C1466" s="26"/>
      <c r="D1466" s="26"/>
    </row>
    <row r="1467">
      <c r="C1467" s="26"/>
      <c r="D1467" s="26"/>
    </row>
    <row r="1468">
      <c r="C1468" s="26"/>
      <c r="D1468" s="26"/>
    </row>
    <row r="1469">
      <c r="C1469" s="26"/>
      <c r="D1469" s="26"/>
    </row>
    <row r="1470">
      <c r="C1470" s="26"/>
      <c r="D1470" s="26"/>
    </row>
    <row r="1471">
      <c r="C1471" s="26"/>
      <c r="D1471" s="26"/>
    </row>
    <row r="1472">
      <c r="C1472" s="26"/>
      <c r="D1472" s="26"/>
    </row>
    <row r="1473">
      <c r="C1473" s="26"/>
      <c r="D1473" s="26"/>
    </row>
    <row r="1474">
      <c r="C1474" s="26"/>
      <c r="D1474" s="26"/>
    </row>
    <row r="1475">
      <c r="C1475" s="26"/>
      <c r="D1475" s="26"/>
    </row>
    <row r="1476">
      <c r="C1476" s="26"/>
      <c r="D1476" s="26"/>
    </row>
    <row r="1477">
      <c r="C1477" s="26"/>
      <c r="D1477" s="26"/>
    </row>
    <row r="1478">
      <c r="C1478" s="26"/>
      <c r="D1478" s="26"/>
    </row>
    <row r="1479">
      <c r="C1479" s="26"/>
      <c r="D1479" s="26"/>
    </row>
    <row r="1480">
      <c r="C1480" s="26"/>
      <c r="D1480" s="26"/>
    </row>
    <row r="1481">
      <c r="C1481" s="26"/>
      <c r="D1481" s="26"/>
    </row>
    <row r="1482">
      <c r="C1482" s="26"/>
      <c r="D1482" s="26"/>
    </row>
    <row r="1483">
      <c r="C1483" s="26"/>
      <c r="D1483" s="26"/>
    </row>
    <row r="1484">
      <c r="C1484" s="26"/>
      <c r="D1484" s="26"/>
    </row>
    <row r="1485">
      <c r="C1485" s="26"/>
      <c r="D1485" s="26"/>
    </row>
    <row r="1486">
      <c r="C1486" s="26"/>
      <c r="D1486" s="26"/>
    </row>
    <row r="1487">
      <c r="C1487" s="26"/>
      <c r="D1487" s="26"/>
    </row>
    <row r="1488">
      <c r="C1488" s="26"/>
      <c r="D1488" s="26"/>
    </row>
    <row r="1489">
      <c r="C1489" s="26"/>
      <c r="D1489" s="26"/>
    </row>
    <row r="1490">
      <c r="C1490" s="26"/>
      <c r="D1490" s="26"/>
    </row>
    <row r="1491">
      <c r="C1491" s="26"/>
      <c r="D1491" s="26"/>
    </row>
    <row r="1492">
      <c r="C1492" s="26"/>
      <c r="D1492" s="26"/>
    </row>
    <row r="1493">
      <c r="C1493" s="26"/>
      <c r="D1493" s="26"/>
    </row>
    <row r="1494">
      <c r="C1494" s="26"/>
      <c r="D1494" s="26"/>
    </row>
    <row r="1495">
      <c r="C1495" s="26"/>
      <c r="D1495" s="26"/>
    </row>
    <row r="1496">
      <c r="C1496" s="26"/>
      <c r="D1496" s="26"/>
    </row>
    <row r="1497">
      <c r="C1497" s="26"/>
      <c r="D1497" s="26"/>
    </row>
    <row r="1498">
      <c r="C1498" s="26"/>
      <c r="D1498" s="26"/>
    </row>
    <row r="1499">
      <c r="C1499" s="26"/>
      <c r="D1499" s="26"/>
    </row>
    <row r="1500">
      <c r="C1500" s="26"/>
      <c r="D1500" s="26"/>
    </row>
    <row r="1501">
      <c r="C1501" s="26"/>
      <c r="D1501" s="26"/>
    </row>
    <row r="1502">
      <c r="C1502" s="26"/>
      <c r="D1502" s="26"/>
    </row>
    <row r="1503">
      <c r="C1503" s="26"/>
      <c r="D1503" s="26"/>
    </row>
    <row r="1504">
      <c r="C1504" s="26"/>
      <c r="D1504" s="26"/>
    </row>
    <row r="1505">
      <c r="C1505" s="26"/>
      <c r="D1505" s="26"/>
    </row>
    <row r="1506">
      <c r="C1506" s="26"/>
      <c r="D1506" s="26"/>
    </row>
    <row r="1507">
      <c r="C1507" s="26"/>
      <c r="D1507" s="26"/>
    </row>
    <row r="1508">
      <c r="C1508" s="26"/>
      <c r="D1508" s="26"/>
    </row>
    <row r="1509">
      <c r="C1509" s="26"/>
      <c r="D1509" s="26"/>
    </row>
    <row r="1510">
      <c r="C1510" s="26"/>
      <c r="D1510" s="26"/>
    </row>
    <row r="1511">
      <c r="C1511" s="26"/>
      <c r="D1511" s="26"/>
    </row>
    <row r="1512">
      <c r="C1512" s="26"/>
      <c r="D1512" s="26"/>
    </row>
    <row r="1513">
      <c r="C1513" s="26"/>
      <c r="D1513" s="26"/>
    </row>
    <row r="1514">
      <c r="C1514" s="26"/>
      <c r="D1514" s="26"/>
    </row>
    <row r="1515">
      <c r="C1515" s="26"/>
      <c r="D1515" s="26"/>
    </row>
    <row r="1516">
      <c r="C1516" s="26"/>
      <c r="D1516" s="26"/>
    </row>
    <row r="1517">
      <c r="C1517" s="26"/>
      <c r="D1517" s="26"/>
    </row>
    <row r="1518">
      <c r="C1518" s="26"/>
      <c r="D1518" s="26"/>
    </row>
    <row r="1519">
      <c r="C1519" s="26"/>
      <c r="D1519" s="26"/>
    </row>
    <row r="1520">
      <c r="C1520" s="26"/>
      <c r="D1520" s="26"/>
    </row>
    <row r="1521">
      <c r="C1521" s="26"/>
      <c r="D1521" s="26"/>
    </row>
    <row r="1522">
      <c r="C1522" s="26"/>
      <c r="D1522" s="26"/>
    </row>
    <row r="1523">
      <c r="C1523" s="26"/>
      <c r="D1523" s="26"/>
    </row>
    <row r="1524">
      <c r="C1524" s="26"/>
      <c r="D1524" s="26"/>
    </row>
    <row r="1525">
      <c r="C1525" s="26"/>
      <c r="D1525" s="26"/>
    </row>
    <row r="1526">
      <c r="C1526" s="26"/>
      <c r="D1526" s="26"/>
    </row>
    <row r="1527">
      <c r="C1527" s="26"/>
      <c r="D1527" s="26"/>
    </row>
    <row r="1528">
      <c r="C1528" s="26"/>
      <c r="D1528" s="26"/>
    </row>
    <row r="1529">
      <c r="C1529" s="26"/>
      <c r="D1529" s="26"/>
    </row>
    <row r="1530">
      <c r="C1530" s="26"/>
      <c r="D1530" s="26"/>
    </row>
    <row r="1531">
      <c r="C1531" s="26"/>
      <c r="D1531" s="26"/>
    </row>
    <row r="1532">
      <c r="C1532" s="26"/>
      <c r="D1532" s="26"/>
    </row>
    <row r="1533">
      <c r="C1533" s="26"/>
      <c r="D1533" s="26"/>
    </row>
    <row r="1534">
      <c r="C1534" s="26"/>
      <c r="D1534" s="26"/>
    </row>
    <row r="1535">
      <c r="C1535" s="26"/>
      <c r="D1535" s="26"/>
    </row>
    <row r="1536">
      <c r="C1536" s="26"/>
      <c r="D1536" s="26"/>
    </row>
    <row r="1537">
      <c r="C1537" s="26"/>
      <c r="D1537" s="26"/>
    </row>
    <row r="1538">
      <c r="C1538" s="26"/>
      <c r="D1538" s="26"/>
    </row>
    <row r="1539">
      <c r="C1539" s="26"/>
      <c r="D1539" s="26"/>
    </row>
    <row r="1540">
      <c r="C1540" s="26"/>
      <c r="D1540" s="26"/>
    </row>
    <row r="1541">
      <c r="C1541" s="26"/>
      <c r="D1541" s="26"/>
    </row>
    <row r="1542">
      <c r="C1542" s="26"/>
      <c r="D1542" s="26"/>
    </row>
    <row r="1543">
      <c r="C1543" s="26"/>
      <c r="D1543" s="26"/>
    </row>
    <row r="1544">
      <c r="C1544" s="26"/>
      <c r="D1544" s="26"/>
    </row>
    <row r="1545">
      <c r="C1545" s="26"/>
      <c r="D1545" s="26"/>
    </row>
    <row r="1546">
      <c r="C1546" s="26"/>
      <c r="D1546" s="26"/>
    </row>
    <row r="1547">
      <c r="C1547" s="26"/>
      <c r="D1547" s="26"/>
    </row>
    <row r="1548">
      <c r="C1548" s="26"/>
      <c r="D1548" s="26"/>
    </row>
    <row r="1549">
      <c r="C1549" s="26"/>
      <c r="D1549" s="26"/>
    </row>
    <row r="1550">
      <c r="C1550" s="26"/>
      <c r="D1550" s="26"/>
    </row>
    <row r="1551">
      <c r="C1551" s="26"/>
      <c r="D1551" s="26"/>
    </row>
    <row r="1552">
      <c r="C1552" s="26"/>
      <c r="D1552" s="26"/>
    </row>
    <row r="1553">
      <c r="C1553" s="26"/>
      <c r="D1553" s="26"/>
    </row>
    <row r="1554">
      <c r="C1554" s="26"/>
      <c r="D1554" s="26"/>
    </row>
    <row r="1555">
      <c r="C1555" s="26"/>
      <c r="D1555" s="26"/>
    </row>
    <row r="1556">
      <c r="C1556" s="26"/>
      <c r="D1556" s="26"/>
    </row>
    <row r="1557">
      <c r="C1557" s="26"/>
      <c r="D1557" s="26"/>
    </row>
    <row r="1558">
      <c r="C1558" s="26"/>
      <c r="D1558" s="26"/>
    </row>
    <row r="1559">
      <c r="C1559" s="26"/>
      <c r="D1559" s="26"/>
    </row>
    <row r="1560">
      <c r="C1560" s="26"/>
      <c r="D1560" s="26"/>
    </row>
    <row r="1561">
      <c r="C1561" s="26"/>
      <c r="D1561" s="26"/>
    </row>
    <row r="1562">
      <c r="C1562" s="26"/>
      <c r="D1562" s="26"/>
    </row>
    <row r="1563">
      <c r="C1563" s="26"/>
      <c r="D1563" s="26"/>
    </row>
    <row r="1564">
      <c r="C1564" s="26"/>
      <c r="D1564" s="26"/>
    </row>
    <row r="1565">
      <c r="C1565" s="26"/>
      <c r="D1565" s="26"/>
    </row>
    <row r="1566">
      <c r="C1566" s="26"/>
      <c r="D1566" s="26"/>
    </row>
    <row r="1567">
      <c r="C1567" s="26"/>
      <c r="D1567" s="26"/>
    </row>
    <row r="1568">
      <c r="C1568" s="26"/>
      <c r="D1568" s="26"/>
    </row>
    <row r="1569">
      <c r="C1569" s="26"/>
      <c r="D1569" s="26"/>
    </row>
    <row r="1570">
      <c r="C1570" s="26"/>
      <c r="D1570" s="26"/>
    </row>
    <row r="1571">
      <c r="C1571" s="26"/>
      <c r="D1571" s="26"/>
    </row>
    <row r="1572">
      <c r="C1572" s="26"/>
      <c r="D1572" s="26"/>
    </row>
    <row r="1573">
      <c r="C1573" s="26"/>
      <c r="D1573" s="26"/>
    </row>
    <row r="1574">
      <c r="C1574" s="26"/>
      <c r="D1574" s="26"/>
    </row>
    <row r="1575">
      <c r="C1575" s="26"/>
      <c r="D1575" s="26"/>
    </row>
    <row r="1576">
      <c r="C1576" s="26"/>
      <c r="D1576" s="26"/>
    </row>
    <row r="1577">
      <c r="C1577" s="26"/>
      <c r="D1577" s="26"/>
    </row>
    <row r="1578">
      <c r="C1578" s="26"/>
      <c r="D1578" s="26"/>
    </row>
    <row r="1579">
      <c r="C1579" s="26"/>
      <c r="D1579" s="26"/>
    </row>
    <row r="1580">
      <c r="C1580" s="26"/>
      <c r="D1580" s="26"/>
    </row>
    <row r="1581">
      <c r="C1581" s="26"/>
      <c r="D1581" s="26"/>
    </row>
    <row r="1582">
      <c r="C1582" s="26"/>
      <c r="D1582" s="26"/>
    </row>
    <row r="1583">
      <c r="C1583" s="26"/>
      <c r="D1583" s="26"/>
    </row>
    <row r="1584">
      <c r="C1584" s="26"/>
      <c r="D1584" s="26"/>
    </row>
    <row r="1585">
      <c r="C1585" s="26"/>
      <c r="D1585" s="26"/>
    </row>
    <row r="1586">
      <c r="C1586" s="26"/>
      <c r="D1586" s="26"/>
    </row>
    <row r="1587">
      <c r="C1587" s="26"/>
      <c r="D1587" s="26"/>
    </row>
    <row r="1588">
      <c r="C1588" s="26"/>
      <c r="D1588" s="26"/>
    </row>
    <row r="1589">
      <c r="C1589" s="26"/>
      <c r="D1589" s="26"/>
    </row>
    <row r="1590">
      <c r="C1590" s="26"/>
      <c r="D1590" s="26"/>
    </row>
    <row r="1591">
      <c r="C1591" s="26"/>
      <c r="D1591" s="26"/>
    </row>
    <row r="1592">
      <c r="C1592" s="26"/>
      <c r="D1592" s="26"/>
    </row>
    <row r="1593">
      <c r="C1593" s="26"/>
      <c r="D1593" s="26"/>
    </row>
    <row r="1594">
      <c r="C1594" s="26"/>
      <c r="D1594" s="26"/>
    </row>
    <row r="1595">
      <c r="C1595" s="26"/>
      <c r="D1595" s="26"/>
    </row>
    <row r="1596">
      <c r="C1596" s="26"/>
      <c r="D1596" s="26"/>
    </row>
    <row r="1597">
      <c r="C1597" s="26"/>
      <c r="D1597" s="26"/>
    </row>
    <row r="1598">
      <c r="C1598" s="26"/>
      <c r="D1598" s="26"/>
    </row>
    <row r="1599">
      <c r="C1599" s="26"/>
      <c r="D1599" s="26"/>
    </row>
    <row r="1600">
      <c r="C1600" s="26"/>
      <c r="D1600" s="26"/>
    </row>
    <row r="1601">
      <c r="C1601" s="26"/>
      <c r="D1601" s="26"/>
    </row>
    <row r="1602">
      <c r="C1602" s="26"/>
      <c r="D1602" s="26"/>
    </row>
    <row r="1603">
      <c r="C1603" s="26"/>
      <c r="D1603" s="26"/>
    </row>
    <row r="1604">
      <c r="C1604" s="26"/>
      <c r="D1604" s="26"/>
    </row>
    <row r="1605">
      <c r="C1605" s="26"/>
      <c r="D1605" s="26"/>
    </row>
    <row r="1606">
      <c r="C1606" s="26"/>
      <c r="D1606" s="26"/>
    </row>
    <row r="1607">
      <c r="C1607" s="26"/>
      <c r="D1607" s="26"/>
    </row>
    <row r="1608">
      <c r="C1608" s="26"/>
      <c r="D1608" s="26"/>
    </row>
    <row r="1609">
      <c r="C1609" s="26"/>
      <c r="D1609" s="26"/>
    </row>
    <row r="1610">
      <c r="C1610" s="26"/>
      <c r="D1610" s="26"/>
    </row>
    <row r="1611">
      <c r="C1611" s="26"/>
      <c r="D1611" s="26"/>
    </row>
    <row r="1612">
      <c r="C1612" s="26"/>
      <c r="D1612" s="26"/>
    </row>
    <row r="1613">
      <c r="C1613" s="26"/>
      <c r="D1613" s="26"/>
    </row>
    <row r="1614">
      <c r="C1614" s="26"/>
      <c r="D1614" s="26"/>
    </row>
    <row r="1615">
      <c r="C1615" s="26"/>
      <c r="D1615" s="26"/>
    </row>
    <row r="1616">
      <c r="C1616" s="26"/>
      <c r="D1616" s="26"/>
    </row>
    <row r="1617">
      <c r="C1617" s="26"/>
      <c r="D1617" s="26"/>
    </row>
    <row r="1618">
      <c r="C1618" s="26"/>
      <c r="D1618" s="26"/>
    </row>
    <row r="1619">
      <c r="C1619" s="26"/>
      <c r="D1619" s="26"/>
    </row>
    <row r="1620">
      <c r="C1620" s="26"/>
      <c r="D1620" s="26"/>
    </row>
    <row r="1621">
      <c r="C1621" s="26"/>
      <c r="D1621" s="26"/>
    </row>
    <row r="1622">
      <c r="C1622" s="26"/>
      <c r="D1622" s="26"/>
    </row>
    <row r="1623">
      <c r="C1623" s="26"/>
      <c r="D1623" s="26"/>
    </row>
    <row r="1624">
      <c r="C1624" s="26"/>
      <c r="D1624" s="26"/>
    </row>
    <row r="1625">
      <c r="C1625" s="26"/>
      <c r="D1625" s="26"/>
    </row>
    <row r="1626">
      <c r="C1626" s="26"/>
      <c r="D1626" s="26"/>
    </row>
    <row r="1627">
      <c r="C1627" s="26"/>
      <c r="D1627" s="26"/>
    </row>
    <row r="1628">
      <c r="C1628" s="26"/>
      <c r="D1628" s="26"/>
    </row>
    <row r="1629">
      <c r="C1629" s="26"/>
      <c r="D1629" s="26"/>
    </row>
    <row r="1630">
      <c r="C1630" s="26"/>
      <c r="D1630" s="26"/>
    </row>
    <row r="1631">
      <c r="C1631" s="26"/>
      <c r="D1631" s="26"/>
    </row>
    <row r="1632">
      <c r="C1632" s="26"/>
      <c r="D1632" s="26"/>
    </row>
    <row r="1633">
      <c r="C1633" s="26"/>
      <c r="D1633" s="26"/>
    </row>
    <row r="1634">
      <c r="C1634" s="26"/>
      <c r="D1634" s="26"/>
    </row>
    <row r="1635">
      <c r="C1635" s="26"/>
      <c r="D1635" s="26"/>
    </row>
    <row r="1636">
      <c r="C1636" s="26"/>
      <c r="D1636" s="26"/>
    </row>
    <row r="1637">
      <c r="C1637" s="26"/>
      <c r="D1637" s="26"/>
    </row>
    <row r="1638">
      <c r="C1638" s="26"/>
      <c r="D1638" s="26"/>
    </row>
    <row r="1639">
      <c r="C1639" s="26"/>
      <c r="D1639" s="26"/>
    </row>
    <row r="1640">
      <c r="C1640" s="26"/>
      <c r="D1640" s="26"/>
    </row>
    <row r="1641">
      <c r="C1641" s="26"/>
      <c r="D1641" s="26"/>
    </row>
    <row r="1642">
      <c r="C1642" s="26"/>
      <c r="D1642" s="26"/>
    </row>
    <row r="1643">
      <c r="C1643" s="26"/>
      <c r="D1643" s="26"/>
    </row>
    <row r="1644">
      <c r="C1644" s="26"/>
      <c r="D1644" s="26"/>
    </row>
    <row r="1645">
      <c r="C1645" s="26"/>
      <c r="D1645" s="26"/>
    </row>
    <row r="1646">
      <c r="C1646" s="26"/>
      <c r="D1646" s="26"/>
    </row>
    <row r="1647">
      <c r="C1647" s="26"/>
      <c r="D1647" s="26"/>
    </row>
    <row r="1648">
      <c r="C1648" s="26"/>
      <c r="D1648" s="26"/>
    </row>
    <row r="1649">
      <c r="C1649" s="26"/>
      <c r="D1649" s="26"/>
    </row>
    <row r="1650">
      <c r="C1650" s="26"/>
      <c r="D1650" s="26"/>
    </row>
    <row r="1651">
      <c r="C1651" s="26"/>
      <c r="D1651" s="26"/>
    </row>
    <row r="1652">
      <c r="C1652" s="26"/>
      <c r="D1652" s="26"/>
    </row>
    <row r="1653">
      <c r="C1653" s="26"/>
      <c r="D1653" s="26"/>
    </row>
    <row r="1654">
      <c r="C1654" s="26"/>
      <c r="D1654" s="26"/>
    </row>
    <row r="1655">
      <c r="C1655" s="26"/>
      <c r="D1655" s="26"/>
    </row>
    <row r="1656">
      <c r="C1656" s="26"/>
      <c r="D1656" s="26"/>
    </row>
    <row r="1657">
      <c r="C1657" s="26"/>
      <c r="D1657" s="26"/>
    </row>
    <row r="1658">
      <c r="C1658" s="26"/>
      <c r="D1658" s="26"/>
    </row>
    <row r="1659">
      <c r="C1659" s="26"/>
      <c r="D1659" s="26"/>
    </row>
    <row r="1660">
      <c r="C1660" s="26"/>
      <c r="D1660" s="26"/>
    </row>
    <row r="1661">
      <c r="C1661" s="26"/>
      <c r="D1661" s="26"/>
    </row>
    <row r="1662">
      <c r="C1662" s="26"/>
      <c r="D1662" s="26"/>
    </row>
    <row r="1663">
      <c r="C1663" s="26"/>
      <c r="D1663" s="26"/>
    </row>
    <row r="1664">
      <c r="C1664" s="26"/>
      <c r="D1664" s="26"/>
    </row>
    <row r="1665">
      <c r="C1665" s="26"/>
      <c r="D1665" s="26"/>
    </row>
    <row r="1666">
      <c r="C1666" s="26"/>
      <c r="D1666" s="26"/>
    </row>
    <row r="1667">
      <c r="C1667" s="26"/>
      <c r="D1667" s="26"/>
    </row>
    <row r="1668">
      <c r="C1668" s="26"/>
      <c r="D1668" s="26"/>
    </row>
    <row r="1669">
      <c r="C1669" s="26"/>
      <c r="D1669" s="26"/>
    </row>
    <row r="1670">
      <c r="C1670" s="26"/>
      <c r="D1670" s="26"/>
    </row>
    <row r="1671">
      <c r="C1671" s="26"/>
      <c r="D1671" s="26"/>
    </row>
    <row r="1672">
      <c r="C1672" s="26"/>
      <c r="D1672" s="26"/>
    </row>
    <row r="1673">
      <c r="C1673" s="26"/>
      <c r="D1673" s="26"/>
    </row>
    <row r="1674">
      <c r="C1674" s="26"/>
      <c r="D1674" s="26"/>
    </row>
    <row r="1675">
      <c r="C1675" s="26"/>
      <c r="D1675" s="26"/>
    </row>
    <row r="1676">
      <c r="C1676" s="26"/>
      <c r="D1676" s="26"/>
    </row>
    <row r="1677">
      <c r="C1677" s="26"/>
      <c r="D1677" s="26"/>
    </row>
    <row r="1678">
      <c r="C1678" s="26"/>
      <c r="D1678" s="26"/>
    </row>
    <row r="1679">
      <c r="C1679" s="26"/>
      <c r="D1679" s="26"/>
    </row>
    <row r="1680">
      <c r="C1680" s="26"/>
      <c r="D1680" s="26"/>
    </row>
    <row r="1681">
      <c r="C1681" s="26"/>
      <c r="D1681" s="26"/>
    </row>
    <row r="1682">
      <c r="C1682" s="26"/>
      <c r="D1682" s="26"/>
    </row>
    <row r="1683">
      <c r="C1683" s="26"/>
      <c r="D1683" s="26"/>
    </row>
    <row r="1684">
      <c r="C1684" s="26"/>
      <c r="D1684" s="26"/>
    </row>
    <row r="1685">
      <c r="C1685" s="26"/>
      <c r="D1685" s="26"/>
    </row>
    <row r="1686">
      <c r="C1686" s="26"/>
      <c r="D1686" s="26"/>
    </row>
    <row r="1687">
      <c r="C1687" s="26"/>
      <c r="D1687" s="26"/>
    </row>
    <row r="1688">
      <c r="C1688" s="26"/>
      <c r="D1688" s="26"/>
    </row>
    <row r="1689">
      <c r="C1689" s="26"/>
      <c r="D1689" s="26"/>
    </row>
    <row r="1690">
      <c r="C1690" s="26"/>
      <c r="D1690" s="26"/>
    </row>
    <row r="1691">
      <c r="C1691" s="26"/>
      <c r="D1691" s="26"/>
    </row>
    <row r="1692">
      <c r="C1692" s="26"/>
      <c r="D1692" s="26"/>
    </row>
    <row r="1693">
      <c r="C1693" s="26"/>
      <c r="D1693" s="26"/>
    </row>
    <row r="1694">
      <c r="C1694" s="26"/>
      <c r="D1694" s="26"/>
    </row>
    <row r="1695">
      <c r="C1695" s="26"/>
      <c r="D1695" s="26"/>
    </row>
    <row r="1696">
      <c r="C1696" s="26"/>
      <c r="D1696" s="26"/>
    </row>
    <row r="1697">
      <c r="C1697" s="26"/>
      <c r="D1697" s="26"/>
    </row>
    <row r="1698">
      <c r="C1698" s="26"/>
      <c r="D1698" s="26"/>
    </row>
    <row r="1699">
      <c r="C1699" s="26"/>
      <c r="D1699" s="26"/>
    </row>
    <row r="1700">
      <c r="C1700" s="26"/>
      <c r="D1700" s="26"/>
    </row>
    <row r="1701">
      <c r="C1701" s="26"/>
      <c r="D1701" s="26"/>
    </row>
    <row r="1702">
      <c r="C1702" s="26"/>
      <c r="D1702" s="26"/>
    </row>
    <row r="1703">
      <c r="C1703" s="26"/>
      <c r="D1703" s="26"/>
    </row>
    <row r="1704">
      <c r="C1704" s="26"/>
      <c r="D1704" s="26"/>
    </row>
    <row r="1705">
      <c r="C1705" s="26"/>
      <c r="D1705" s="26"/>
    </row>
    <row r="1706">
      <c r="C1706" s="26"/>
      <c r="D1706" s="26"/>
    </row>
    <row r="1707">
      <c r="C1707" s="26"/>
      <c r="D1707" s="26"/>
    </row>
    <row r="1708">
      <c r="C1708" s="26"/>
      <c r="D1708" s="26"/>
    </row>
    <row r="1709">
      <c r="C1709" s="26"/>
      <c r="D1709" s="26"/>
    </row>
    <row r="1710">
      <c r="C1710" s="26"/>
      <c r="D1710" s="26"/>
    </row>
    <row r="1711">
      <c r="C1711" s="26"/>
      <c r="D1711" s="26"/>
    </row>
    <row r="1712">
      <c r="C1712" s="26"/>
      <c r="D1712" s="26"/>
    </row>
    <row r="1713">
      <c r="C1713" s="26"/>
      <c r="D1713" s="26"/>
    </row>
    <row r="1714">
      <c r="C1714" s="26"/>
      <c r="D1714" s="26"/>
    </row>
    <row r="1715">
      <c r="C1715" s="26"/>
      <c r="D1715" s="26"/>
    </row>
    <row r="1716">
      <c r="C1716" s="26"/>
      <c r="D1716" s="26"/>
    </row>
    <row r="1717">
      <c r="C1717" s="26"/>
      <c r="D1717" s="26"/>
    </row>
    <row r="1718">
      <c r="C1718" s="26"/>
      <c r="D1718" s="26"/>
    </row>
    <row r="1719">
      <c r="C1719" s="26"/>
      <c r="D1719" s="26"/>
    </row>
    <row r="1720">
      <c r="C1720" s="26"/>
      <c r="D1720" s="26"/>
    </row>
    <row r="1721">
      <c r="C1721" s="26"/>
      <c r="D1721" s="26"/>
    </row>
    <row r="1722">
      <c r="C1722" s="26"/>
      <c r="D1722" s="26"/>
    </row>
    <row r="1723">
      <c r="C1723" s="26"/>
      <c r="D1723" s="26"/>
    </row>
    <row r="1724">
      <c r="C1724" s="26"/>
      <c r="D1724" s="26"/>
    </row>
    <row r="1725">
      <c r="C1725" s="26"/>
      <c r="D1725" s="26"/>
    </row>
    <row r="1726">
      <c r="C1726" s="26"/>
      <c r="D1726" s="26"/>
    </row>
    <row r="1727">
      <c r="C1727" s="26"/>
      <c r="D1727" s="26"/>
    </row>
    <row r="1728">
      <c r="C1728" s="26"/>
      <c r="D1728" s="26"/>
    </row>
    <row r="1729">
      <c r="C1729" s="26"/>
      <c r="D1729" s="26"/>
    </row>
    <row r="1730">
      <c r="C1730" s="26"/>
      <c r="D1730" s="26"/>
    </row>
    <row r="1731">
      <c r="C1731" s="26"/>
      <c r="D1731" s="26"/>
    </row>
    <row r="1732">
      <c r="C1732" s="26"/>
      <c r="D1732" s="26"/>
    </row>
    <row r="1733">
      <c r="C1733" s="26"/>
      <c r="D1733" s="26"/>
    </row>
    <row r="1734">
      <c r="C1734" s="26"/>
      <c r="D1734" s="26"/>
    </row>
    <row r="1735">
      <c r="C1735" s="26"/>
      <c r="D1735" s="26"/>
    </row>
    <row r="1736">
      <c r="C1736" s="26"/>
      <c r="D1736" s="26"/>
    </row>
    <row r="1737">
      <c r="C1737" s="26"/>
      <c r="D1737" s="26"/>
    </row>
    <row r="1738">
      <c r="C1738" s="26"/>
      <c r="D1738" s="26"/>
    </row>
    <row r="1739">
      <c r="C1739" s="26"/>
      <c r="D1739" s="26"/>
    </row>
    <row r="1740">
      <c r="C1740" s="26"/>
      <c r="D1740" s="26"/>
    </row>
    <row r="1741">
      <c r="C1741" s="26"/>
      <c r="D1741" s="26"/>
    </row>
    <row r="1742">
      <c r="C1742" s="26"/>
      <c r="D1742" s="26"/>
    </row>
    <row r="1743">
      <c r="C1743" s="26"/>
      <c r="D1743" s="26"/>
    </row>
    <row r="1744">
      <c r="C1744" s="26"/>
      <c r="D1744" s="26"/>
    </row>
    <row r="1745">
      <c r="C1745" s="26"/>
      <c r="D1745" s="26"/>
    </row>
    <row r="1746">
      <c r="C1746" s="26"/>
      <c r="D1746" s="26"/>
    </row>
    <row r="1747">
      <c r="C1747" s="26"/>
      <c r="D1747" s="26"/>
    </row>
    <row r="1748">
      <c r="C1748" s="26"/>
      <c r="D1748" s="26"/>
    </row>
    <row r="1749">
      <c r="C1749" s="26"/>
      <c r="D1749" s="26"/>
    </row>
    <row r="1750">
      <c r="C1750" s="26"/>
      <c r="D1750" s="26"/>
    </row>
    <row r="1751">
      <c r="C1751" s="26"/>
      <c r="D1751" s="26"/>
    </row>
    <row r="1752">
      <c r="C1752" s="26"/>
      <c r="D1752" s="26"/>
    </row>
    <row r="1753">
      <c r="C1753" s="26"/>
      <c r="D1753" s="26"/>
    </row>
    <row r="1754">
      <c r="C1754" s="26"/>
      <c r="D1754" s="26"/>
    </row>
    <row r="1755">
      <c r="C1755" s="26"/>
      <c r="D1755" s="26"/>
    </row>
    <row r="1756">
      <c r="C1756" s="26"/>
      <c r="D1756" s="26"/>
    </row>
    <row r="1757">
      <c r="C1757" s="26"/>
      <c r="D1757" s="26"/>
    </row>
    <row r="1758">
      <c r="C1758" s="26"/>
      <c r="D1758" s="26"/>
    </row>
    <row r="1759">
      <c r="C1759" s="26"/>
      <c r="D1759" s="26"/>
    </row>
    <row r="1760">
      <c r="C1760" s="26"/>
      <c r="D1760" s="26"/>
    </row>
    <row r="1761">
      <c r="C1761" s="26"/>
      <c r="D1761" s="26"/>
    </row>
    <row r="1762">
      <c r="C1762" s="26"/>
      <c r="D1762" s="26"/>
    </row>
    <row r="1763">
      <c r="C1763" s="26"/>
      <c r="D1763" s="26"/>
    </row>
    <row r="1764">
      <c r="C1764" s="26"/>
      <c r="D1764" s="26"/>
    </row>
    <row r="1765">
      <c r="C1765" s="26"/>
      <c r="D1765" s="26"/>
    </row>
    <row r="1766">
      <c r="C1766" s="26"/>
      <c r="D1766" s="26"/>
    </row>
    <row r="1767">
      <c r="C1767" s="26"/>
      <c r="D1767" s="26"/>
    </row>
    <row r="1768">
      <c r="C1768" s="26"/>
      <c r="D1768" s="26"/>
    </row>
    <row r="1769">
      <c r="C1769" s="26"/>
      <c r="D1769" s="26"/>
    </row>
    <row r="1770">
      <c r="C1770" s="26"/>
      <c r="D1770" s="26"/>
    </row>
    <row r="1771">
      <c r="C1771" s="26"/>
      <c r="D1771" s="26"/>
    </row>
    <row r="1772">
      <c r="C1772" s="26"/>
      <c r="D1772" s="26"/>
    </row>
    <row r="1773">
      <c r="C1773" s="26"/>
      <c r="D1773" s="26"/>
    </row>
    <row r="1774">
      <c r="C1774" s="26"/>
      <c r="D1774" s="26"/>
    </row>
    <row r="1775">
      <c r="C1775" s="26"/>
      <c r="D1775" s="26"/>
    </row>
    <row r="1776">
      <c r="C1776" s="26"/>
      <c r="D1776" s="26"/>
    </row>
    <row r="1777">
      <c r="C1777" s="26"/>
      <c r="D1777" s="26"/>
    </row>
    <row r="1778">
      <c r="C1778" s="26"/>
      <c r="D1778" s="26"/>
    </row>
    <row r="1779">
      <c r="C1779" s="26"/>
      <c r="D1779" s="26"/>
    </row>
    <row r="1780">
      <c r="C1780" s="26"/>
      <c r="D1780" s="26"/>
    </row>
    <row r="1781">
      <c r="C1781" s="26"/>
      <c r="D1781" s="26"/>
    </row>
    <row r="1782">
      <c r="C1782" s="26"/>
      <c r="D1782" s="26"/>
    </row>
    <row r="1783">
      <c r="C1783" s="26"/>
      <c r="D1783" s="26"/>
    </row>
    <row r="1784">
      <c r="C1784" s="26"/>
      <c r="D1784" s="26"/>
    </row>
    <row r="1785">
      <c r="C1785" s="26"/>
      <c r="D1785" s="26"/>
    </row>
    <row r="1786">
      <c r="C1786" s="26"/>
      <c r="D1786" s="26"/>
    </row>
    <row r="1787">
      <c r="C1787" s="26"/>
      <c r="D1787" s="26"/>
    </row>
    <row r="1788">
      <c r="C1788" s="26"/>
      <c r="D1788" s="26"/>
    </row>
    <row r="1789">
      <c r="C1789" s="26"/>
      <c r="D1789" s="26"/>
    </row>
    <row r="1790">
      <c r="C1790" s="26"/>
      <c r="D1790" s="26"/>
    </row>
    <row r="1791">
      <c r="C1791" s="26"/>
      <c r="D1791" s="26"/>
    </row>
    <row r="1792">
      <c r="C1792" s="26"/>
      <c r="D1792" s="26"/>
    </row>
    <row r="1793">
      <c r="C1793" s="26"/>
      <c r="D1793" s="26"/>
    </row>
    <row r="1794">
      <c r="C1794" s="26"/>
      <c r="D1794" s="26"/>
    </row>
    <row r="1795">
      <c r="C1795" s="26"/>
      <c r="D1795" s="26"/>
    </row>
    <row r="1796">
      <c r="C1796" s="26"/>
      <c r="D1796" s="26"/>
    </row>
    <row r="1797">
      <c r="C1797" s="26"/>
      <c r="D1797" s="26"/>
    </row>
    <row r="1798">
      <c r="C1798" s="26"/>
      <c r="D1798" s="26"/>
    </row>
    <row r="1799">
      <c r="C1799" s="26"/>
      <c r="D1799" s="26"/>
    </row>
    <row r="1800">
      <c r="C1800" s="26"/>
      <c r="D1800" s="26"/>
    </row>
    <row r="1801">
      <c r="C1801" s="26"/>
      <c r="D1801" s="26"/>
    </row>
    <row r="1802">
      <c r="C1802" s="26"/>
      <c r="D1802" s="26"/>
    </row>
    <row r="1803">
      <c r="C1803" s="26"/>
      <c r="D1803" s="26"/>
    </row>
    <row r="1804">
      <c r="C1804" s="26"/>
      <c r="D1804" s="26"/>
    </row>
    <row r="1805">
      <c r="C1805" s="26"/>
      <c r="D1805" s="26"/>
    </row>
    <row r="1806">
      <c r="C1806" s="26"/>
      <c r="D1806" s="26"/>
    </row>
    <row r="1807">
      <c r="C1807" s="26"/>
      <c r="D1807" s="26"/>
    </row>
    <row r="1808">
      <c r="C1808" s="26"/>
      <c r="D1808" s="26"/>
    </row>
    <row r="1809">
      <c r="C1809" s="26"/>
      <c r="D1809" s="26"/>
    </row>
    <row r="1810">
      <c r="C1810" s="26"/>
      <c r="D1810" s="26"/>
    </row>
    <row r="1811">
      <c r="C1811" s="26"/>
      <c r="D1811" s="26"/>
    </row>
    <row r="1812">
      <c r="C1812" s="26"/>
      <c r="D1812" s="26"/>
    </row>
    <row r="1813">
      <c r="C1813" s="26"/>
      <c r="D1813" s="26"/>
    </row>
    <row r="1814">
      <c r="C1814" s="26"/>
      <c r="D1814" s="26"/>
    </row>
    <row r="1815">
      <c r="C1815" s="26"/>
      <c r="D1815" s="26"/>
    </row>
    <row r="1816">
      <c r="C1816" s="26"/>
      <c r="D1816" s="26"/>
    </row>
    <row r="1817">
      <c r="C1817" s="26"/>
      <c r="D1817" s="26"/>
    </row>
    <row r="1818">
      <c r="C1818" s="26"/>
      <c r="D1818" s="26"/>
    </row>
    <row r="1819">
      <c r="C1819" s="26"/>
      <c r="D1819" s="26"/>
    </row>
    <row r="1820">
      <c r="C1820" s="26"/>
      <c r="D1820" s="26"/>
    </row>
    <row r="1821">
      <c r="C1821" s="26"/>
      <c r="D1821" s="26"/>
    </row>
    <row r="1822">
      <c r="C1822" s="26"/>
      <c r="D1822" s="26"/>
    </row>
    <row r="1823">
      <c r="C1823" s="26"/>
      <c r="D1823" s="26"/>
    </row>
    <row r="1824">
      <c r="C1824" s="26"/>
      <c r="D1824" s="26"/>
    </row>
    <row r="1825">
      <c r="C1825" s="26"/>
      <c r="D1825" s="26"/>
    </row>
    <row r="1826">
      <c r="C1826" s="26"/>
      <c r="D1826" s="26"/>
    </row>
    <row r="1827">
      <c r="C1827" s="26"/>
      <c r="D1827" s="26"/>
    </row>
    <row r="1828">
      <c r="C1828" s="26"/>
      <c r="D1828" s="26"/>
    </row>
    <row r="1829">
      <c r="C1829" s="26"/>
      <c r="D1829" s="26"/>
    </row>
    <row r="1830">
      <c r="C1830" s="26"/>
      <c r="D1830" s="26"/>
    </row>
    <row r="1831">
      <c r="C1831" s="26"/>
      <c r="D1831" s="26"/>
    </row>
    <row r="1832">
      <c r="C1832" s="26"/>
      <c r="D1832" s="26"/>
    </row>
    <row r="1833">
      <c r="C1833" s="26"/>
      <c r="D1833" s="26"/>
    </row>
    <row r="1834">
      <c r="C1834" s="26"/>
      <c r="D1834" s="26"/>
    </row>
    <row r="1835">
      <c r="C1835" s="26"/>
      <c r="D1835" s="26"/>
    </row>
    <row r="1836">
      <c r="C1836" s="26"/>
      <c r="D1836" s="26"/>
    </row>
    <row r="1837">
      <c r="C1837" s="26"/>
      <c r="D1837" s="26"/>
    </row>
    <row r="1838">
      <c r="C1838" s="26"/>
      <c r="D1838" s="26"/>
    </row>
    <row r="1839">
      <c r="C1839" s="26"/>
      <c r="D1839" s="26"/>
    </row>
    <row r="1840">
      <c r="C1840" s="26"/>
      <c r="D1840" s="26"/>
    </row>
    <row r="1841">
      <c r="C1841" s="26"/>
      <c r="D1841" s="26"/>
    </row>
    <row r="1842">
      <c r="C1842" s="26"/>
      <c r="D1842" s="26"/>
    </row>
    <row r="1843">
      <c r="C1843" s="26"/>
      <c r="D1843" s="26"/>
    </row>
    <row r="1844">
      <c r="C1844" s="26"/>
      <c r="D1844" s="26"/>
    </row>
    <row r="1845">
      <c r="C1845" s="26"/>
      <c r="D1845" s="26"/>
    </row>
    <row r="1846">
      <c r="C1846" s="26"/>
      <c r="D1846" s="26"/>
    </row>
    <row r="1847">
      <c r="C1847" s="26"/>
      <c r="D1847" s="26"/>
    </row>
    <row r="1848">
      <c r="C1848" s="26"/>
      <c r="D1848" s="26"/>
    </row>
    <row r="1849">
      <c r="C1849" s="26"/>
      <c r="D1849" s="26"/>
    </row>
    <row r="1850">
      <c r="C1850" s="26"/>
      <c r="D1850" s="26"/>
    </row>
    <row r="1851">
      <c r="C1851" s="26"/>
      <c r="D1851" s="26"/>
    </row>
    <row r="1852">
      <c r="C1852" s="26"/>
      <c r="D1852" s="26"/>
    </row>
    <row r="1853">
      <c r="C1853" s="26"/>
      <c r="D1853" s="26"/>
    </row>
    <row r="1854">
      <c r="C1854" s="26"/>
      <c r="D1854" s="26"/>
    </row>
    <row r="1855">
      <c r="C1855" s="26"/>
      <c r="D1855" s="26"/>
    </row>
    <row r="1856">
      <c r="C1856" s="26"/>
      <c r="D1856" s="26"/>
    </row>
    <row r="1857">
      <c r="C1857" s="26"/>
      <c r="D1857" s="26"/>
    </row>
    <row r="1858">
      <c r="C1858" s="26"/>
      <c r="D1858" s="26"/>
    </row>
    <row r="1859">
      <c r="C1859" s="26"/>
      <c r="D1859" s="26"/>
    </row>
    <row r="1860">
      <c r="C1860" s="26"/>
      <c r="D1860" s="26"/>
    </row>
    <row r="1861">
      <c r="C1861" s="26"/>
      <c r="D1861" s="26"/>
    </row>
    <row r="1862">
      <c r="C1862" s="26"/>
      <c r="D1862" s="26"/>
    </row>
    <row r="1863">
      <c r="C1863" s="26"/>
      <c r="D1863" s="26"/>
    </row>
    <row r="1864">
      <c r="C1864" s="26"/>
      <c r="D1864" s="26"/>
    </row>
    <row r="1865">
      <c r="C1865" s="26"/>
      <c r="D1865" s="26"/>
    </row>
    <row r="1866">
      <c r="C1866" s="26"/>
      <c r="D1866" s="26"/>
    </row>
    <row r="1867">
      <c r="C1867" s="26"/>
      <c r="D1867" s="26"/>
    </row>
    <row r="1868">
      <c r="C1868" s="26"/>
      <c r="D1868" s="26"/>
    </row>
    <row r="1869">
      <c r="C1869" s="26"/>
      <c r="D1869" s="26"/>
    </row>
    <row r="1870">
      <c r="C1870" s="26"/>
      <c r="D1870" s="26"/>
    </row>
    <row r="1871">
      <c r="C1871" s="26"/>
      <c r="D1871" s="26"/>
    </row>
    <row r="1872">
      <c r="C1872" s="26"/>
      <c r="D1872" s="26"/>
    </row>
    <row r="1873">
      <c r="C1873" s="26"/>
      <c r="D1873" s="26"/>
    </row>
    <row r="1874">
      <c r="C1874" s="26"/>
      <c r="D1874" s="26"/>
    </row>
    <row r="1875">
      <c r="C1875" s="26"/>
      <c r="D1875" s="26"/>
    </row>
    <row r="1876">
      <c r="C1876" s="26"/>
      <c r="D1876" s="26"/>
    </row>
    <row r="1877">
      <c r="C1877" s="26"/>
      <c r="D1877" s="26"/>
    </row>
    <row r="1878">
      <c r="C1878" s="26"/>
      <c r="D1878" s="26"/>
    </row>
    <row r="1879">
      <c r="C1879" s="26"/>
      <c r="D1879" s="26"/>
    </row>
    <row r="1880">
      <c r="C1880" s="26"/>
      <c r="D1880" s="26"/>
    </row>
    <row r="1881">
      <c r="C1881" s="26"/>
      <c r="D1881" s="26"/>
    </row>
    <row r="1882">
      <c r="C1882" s="26"/>
      <c r="D1882" s="26"/>
    </row>
    <row r="1883">
      <c r="C1883" s="26"/>
      <c r="D1883" s="26"/>
    </row>
    <row r="1884">
      <c r="C1884" s="26"/>
      <c r="D1884" s="26"/>
    </row>
    <row r="1885">
      <c r="C1885" s="26"/>
      <c r="D1885" s="26"/>
    </row>
    <row r="1886">
      <c r="C1886" s="26"/>
      <c r="D1886" s="26"/>
    </row>
    <row r="1887">
      <c r="C1887" s="26"/>
      <c r="D1887" s="26"/>
    </row>
    <row r="1888">
      <c r="C1888" s="26"/>
      <c r="D1888" s="26"/>
    </row>
    <row r="1889">
      <c r="C1889" s="26"/>
      <c r="D1889" s="26"/>
    </row>
    <row r="1890">
      <c r="C1890" s="26"/>
      <c r="D1890" s="26"/>
    </row>
    <row r="1891">
      <c r="C1891" s="26"/>
      <c r="D1891" s="26"/>
    </row>
    <row r="1892">
      <c r="C1892" s="26"/>
      <c r="D1892" s="26"/>
    </row>
    <row r="1893">
      <c r="C1893" s="26"/>
      <c r="D1893" s="26"/>
    </row>
    <row r="1894">
      <c r="C1894" s="26"/>
      <c r="D1894" s="26"/>
    </row>
    <row r="1895">
      <c r="C1895" s="26"/>
      <c r="D1895" s="26"/>
    </row>
    <row r="1896">
      <c r="C1896" s="26"/>
      <c r="D1896" s="26"/>
    </row>
    <row r="1897">
      <c r="C1897" s="26"/>
      <c r="D1897" s="26"/>
    </row>
    <row r="1898">
      <c r="C1898" s="26"/>
      <c r="D1898" s="26"/>
    </row>
    <row r="1899">
      <c r="C1899" s="26"/>
      <c r="D1899" s="26"/>
    </row>
    <row r="1900">
      <c r="C1900" s="26"/>
      <c r="D1900" s="26"/>
    </row>
    <row r="1901">
      <c r="C1901" s="26"/>
      <c r="D1901" s="26"/>
    </row>
    <row r="1902">
      <c r="C1902" s="26"/>
      <c r="D1902" s="26"/>
    </row>
    <row r="1903">
      <c r="C1903" s="26"/>
      <c r="D1903" s="26"/>
    </row>
    <row r="1904">
      <c r="C1904" s="26"/>
      <c r="D1904" s="26"/>
    </row>
    <row r="1905">
      <c r="C1905" s="26"/>
      <c r="D1905" s="26"/>
    </row>
    <row r="1906">
      <c r="C1906" s="26"/>
      <c r="D1906" s="26"/>
    </row>
    <row r="1907">
      <c r="C1907" s="26"/>
      <c r="D1907" s="26"/>
    </row>
    <row r="1908">
      <c r="C1908" s="26"/>
      <c r="D1908" s="26"/>
    </row>
    <row r="1909">
      <c r="C1909" s="26"/>
      <c r="D1909" s="26"/>
    </row>
    <row r="1910">
      <c r="C1910" s="26"/>
      <c r="D1910" s="26"/>
    </row>
    <row r="1911">
      <c r="C1911" s="26"/>
      <c r="D1911" s="26"/>
    </row>
    <row r="1912">
      <c r="C1912" s="26"/>
      <c r="D1912" s="26"/>
    </row>
    <row r="1913">
      <c r="C1913" s="26"/>
      <c r="D1913" s="26"/>
    </row>
    <row r="1914">
      <c r="C1914" s="26"/>
      <c r="D1914" s="26"/>
    </row>
    <row r="1915">
      <c r="C1915" s="26"/>
      <c r="D1915" s="26"/>
    </row>
    <row r="1916">
      <c r="C1916" s="26"/>
      <c r="D1916" s="26"/>
    </row>
    <row r="1917">
      <c r="C1917" s="26"/>
      <c r="D1917" s="26"/>
    </row>
    <row r="1918">
      <c r="C1918" s="26"/>
      <c r="D1918" s="26"/>
    </row>
    <row r="1919">
      <c r="C1919" s="26"/>
      <c r="D1919" s="26"/>
    </row>
    <row r="1920">
      <c r="C1920" s="26"/>
      <c r="D1920" s="26"/>
    </row>
    <row r="1921">
      <c r="C1921" s="26"/>
      <c r="D1921" s="26"/>
    </row>
    <row r="1922">
      <c r="C1922" s="26"/>
      <c r="D1922" s="26"/>
    </row>
    <row r="1923">
      <c r="C1923" s="26"/>
      <c r="D1923" s="26"/>
    </row>
    <row r="1924">
      <c r="C1924" s="26"/>
      <c r="D1924" s="26"/>
    </row>
    <row r="1925">
      <c r="C1925" s="26"/>
      <c r="D1925" s="26"/>
    </row>
    <row r="1926">
      <c r="C1926" s="26"/>
      <c r="D1926" s="26"/>
    </row>
    <row r="1927">
      <c r="C1927" s="26"/>
      <c r="D1927" s="26"/>
    </row>
    <row r="1928">
      <c r="C1928" s="26"/>
      <c r="D1928" s="26"/>
    </row>
    <row r="1929">
      <c r="C1929" s="26"/>
      <c r="D1929" s="26"/>
    </row>
    <row r="1930">
      <c r="C1930" s="26"/>
      <c r="D1930" s="26"/>
    </row>
    <row r="1931">
      <c r="C1931" s="26"/>
      <c r="D1931" s="26"/>
    </row>
    <row r="1932">
      <c r="C1932" s="26"/>
      <c r="D1932" s="26"/>
    </row>
    <row r="1933">
      <c r="C1933" s="26"/>
      <c r="D1933" s="26"/>
    </row>
    <row r="1934">
      <c r="C1934" s="26"/>
      <c r="D1934" s="26"/>
    </row>
    <row r="1935">
      <c r="C1935" s="26"/>
      <c r="D1935" s="26"/>
    </row>
    <row r="1936">
      <c r="C1936" s="26"/>
      <c r="D1936" s="26"/>
    </row>
    <row r="1937">
      <c r="C1937" s="26"/>
      <c r="D1937" s="26"/>
    </row>
    <row r="1938">
      <c r="C1938" s="26"/>
      <c r="D1938" s="26"/>
    </row>
    <row r="1939">
      <c r="C1939" s="26"/>
      <c r="D1939" s="26"/>
    </row>
    <row r="1940">
      <c r="C1940" s="26"/>
      <c r="D1940" s="26"/>
    </row>
    <row r="1941">
      <c r="C1941" s="26"/>
      <c r="D1941" s="26"/>
    </row>
    <row r="1942">
      <c r="C1942" s="26"/>
      <c r="D1942" s="26"/>
    </row>
    <row r="1943">
      <c r="C1943" s="26"/>
      <c r="D1943" s="26"/>
    </row>
    <row r="1944">
      <c r="C1944" s="26"/>
      <c r="D1944" s="26"/>
    </row>
    <row r="1945">
      <c r="C1945" s="26"/>
      <c r="D1945" s="26"/>
    </row>
    <row r="1946">
      <c r="C1946" s="26"/>
      <c r="D1946" s="26"/>
    </row>
    <row r="1947">
      <c r="C1947" s="26"/>
      <c r="D1947" s="26"/>
    </row>
    <row r="1948">
      <c r="C1948" s="26"/>
      <c r="D1948" s="26"/>
    </row>
    <row r="1949">
      <c r="C1949" s="26"/>
      <c r="D1949" s="26"/>
    </row>
    <row r="1950">
      <c r="C1950" s="26"/>
      <c r="D1950" s="26"/>
    </row>
    <row r="1951">
      <c r="C1951" s="26"/>
      <c r="D1951" s="26"/>
    </row>
    <row r="1952">
      <c r="C1952" s="26"/>
      <c r="D1952" s="26"/>
    </row>
    <row r="1953">
      <c r="C1953" s="26"/>
      <c r="D1953" s="26"/>
    </row>
    <row r="1954">
      <c r="C1954" s="26"/>
      <c r="D1954" s="26"/>
    </row>
    <row r="1955">
      <c r="C1955" s="26"/>
      <c r="D1955" s="26"/>
    </row>
    <row r="1956">
      <c r="C1956" s="26"/>
      <c r="D1956" s="26"/>
    </row>
    <row r="1957">
      <c r="C1957" s="26"/>
      <c r="D1957" s="26"/>
    </row>
    <row r="1958">
      <c r="C1958" s="26"/>
      <c r="D1958" s="26"/>
    </row>
    <row r="1959">
      <c r="C1959" s="26"/>
      <c r="D1959" s="26"/>
    </row>
    <row r="1960">
      <c r="C1960" s="26"/>
      <c r="D1960" s="26"/>
    </row>
    <row r="1961">
      <c r="C1961" s="26"/>
      <c r="D1961" s="26"/>
    </row>
    <row r="1962">
      <c r="C1962" s="26"/>
      <c r="D1962" s="26"/>
    </row>
    <row r="1963">
      <c r="C1963" s="26"/>
      <c r="D1963" s="26"/>
    </row>
    <row r="1964">
      <c r="C1964" s="26"/>
      <c r="D1964" s="26"/>
    </row>
    <row r="1965">
      <c r="C1965" s="26"/>
      <c r="D1965" s="26"/>
    </row>
    <row r="1966">
      <c r="C1966" s="26"/>
      <c r="D1966" s="26"/>
    </row>
    <row r="1967">
      <c r="C1967" s="26"/>
      <c r="D1967" s="26"/>
    </row>
    <row r="1968">
      <c r="C1968" s="26"/>
      <c r="D1968" s="26"/>
    </row>
    <row r="1969">
      <c r="C1969" s="26"/>
      <c r="D1969" s="26"/>
    </row>
    <row r="1970">
      <c r="C1970" s="26"/>
      <c r="D1970" s="26"/>
    </row>
    <row r="1971">
      <c r="C1971" s="26"/>
      <c r="D1971" s="26"/>
    </row>
    <row r="1972">
      <c r="C1972" s="26"/>
      <c r="D1972" s="26"/>
    </row>
    <row r="1973">
      <c r="C1973" s="26"/>
      <c r="D1973" s="26"/>
    </row>
    <row r="1974">
      <c r="C1974" s="26"/>
      <c r="D1974" s="26"/>
    </row>
    <row r="1975">
      <c r="C1975" s="26"/>
      <c r="D1975" s="26"/>
    </row>
    <row r="1976">
      <c r="C1976" s="26"/>
      <c r="D1976" s="26"/>
    </row>
    <row r="1977">
      <c r="C1977" s="26"/>
      <c r="D1977" s="26"/>
    </row>
    <row r="1978">
      <c r="C1978" s="26"/>
      <c r="D1978" s="26"/>
    </row>
    <row r="1979">
      <c r="C1979" s="26"/>
      <c r="D1979" s="26"/>
    </row>
    <row r="1980">
      <c r="C1980" s="26"/>
      <c r="D1980" s="26"/>
    </row>
    <row r="1981">
      <c r="C1981" s="26"/>
      <c r="D1981" s="26"/>
    </row>
    <row r="1982">
      <c r="C1982" s="26"/>
      <c r="D1982" s="26"/>
    </row>
    <row r="1983">
      <c r="C1983" s="26"/>
      <c r="D1983" s="26"/>
    </row>
    <row r="1984">
      <c r="C1984" s="26"/>
      <c r="D1984" s="26"/>
    </row>
    <row r="1985">
      <c r="C1985" s="26"/>
      <c r="D1985" s="26"/>
    </row>
    <row r="1986">
      <c r="C1986" s="26"/>
      <c r="D1986" s="26"/>
    </row>
    <row r="1987">
      <c r="C1987" s="26"/>
      <c r="D1987" s="26"/>
    </row>
    <row r="1988">
      <c r="C1988" s="26"/>
      <c r="D1988" s="26"/>
    </row>
    <row r="1989">
      <c r="C1989" s="26"/>
      <c r="D1989" s="26"/>
    </row>
    <row r="1990">
      <c r="C1990" s="26"/>
      <c r="D1990" s="26"/>
    </row>
    <row r="1991">
      <c r="C1991" s="26"/>
      <c r="D1991" s="26"/>
    </row>
    <row r="1992">
      <c r="C1992" s="26"/>
      <c r="D1992" s="26"/>
    </row>
    <row r="1993">
      <c r="C1993" s="26"/>
      <c r="D1993" s="26"/>
    </row>
    <row r="1994">
      <c r="C1994" s="26"/>
      <c r="D1994" s="26"/>
    </row>
    <row r="1995">
      <c r="C1995" s="26"/>
      <c r="D1995" s="26"/>
    </row>
    <row r="1996">
      <c r="C1996" s="26"/>
      <c r="D1996" s="26"/>
    </row>
    <row r="1997">
      <c r="C1997" s="26"/>
      <c r="D1997" s="26"/>
    </row>
    <row r="1998">
      <c r="C1998" s="26"/>
      <c r="D1998" s="26"/>
    </row>
    <row r="1999">
      <c r="C1999" s="26"/>
      <c r="D1999" s="26"/>
    </row>
    <row r="2000">
      <c r="C2000" s="26"/>
      <c r="D2000" s="26"/>
    </row>
  </sheetData>
  <conditionalFormatting sqref="L8:M67">
    <cfRule type="containsText" dxfId="32" priority="1" operator="containsText" text="Falta"/>
    <cfRule type="containsText" dxfId="33" priority="2" operator="containsText" text="Revisar"/>
    <cfRule type="containsText" dxfId="34" priority="3" operator="containsText" text="Duplicado"/>
    <cfRule type="containsText" dxfId="35" priority="4" operator="containsText" text="Vencida"/>
    <cfRule type="containsText" dxfId="36" priority="5" operator="containsText" text="No existe"/>
    <cfRule type="containsText" dxfId="37" priority="6" operator="containsText" text="Solape"/>
    <cfRule type="containsText" dxfId="38" priority="7" operator="containsText" text="Fuera"/>
    <cfRule type="containsText" dxfId="39" priority="8" operator="containsText" text="Aceptada"/>
  </conditionalFormatting>
  <dataValidations count="3">
    <dataValidation type="list" sqref="C8:C2000">
      <formula1>"Pablo,Amin,Ferran,Iker,Uri,David"</formula1>
    </dataValidation>
    <dataValidation type="list" sqref="D8:D2000">
      <formula1>"Sin ejecutar,Aprobada,Fallida,Bloqueada"</formula1>
    </dataValidation>
    <dataValidation type="whole" operator="between" sqref="K8:K2000">
      <formula1>1</formula1>
      <formula2>2958465</formula2>
    </dataValidation>
  </dataValidations>
  <hyperlinks>
    <hyperlink ref="A4" location="'Inicio'!A1"/>
    <hyperlink ref="A5" location="'Pruebas'!I8"/>
  </hyperlinks>
  <pageMargins left="0.7" right="0.7" top="0.75" bottom="0.75" header="0.3" footer="0.3"/>
  <tableParts count="1">
    <tablePart ns1:id="Rd2aab0db2367412b"/>
  </tableParts>
</worksheet>
</file>

<file path=xl/worksheets/sheet5.xml><?xml version="1.0" encoding="utf-8"?>
<worksheet xmlns="http://schemas.openxmlformats.org/spreadsheetml/2006/main">
  <sheetPr>
    <tabColor rgb="FF18344A"/>
  </sheetPr>
  <sheetViews>
    <sheetView showGridLines="0" workbookViewId="0">
      <pane xSplit="4" ySplit="7" topLeftCell="E8" activePane="bottomRight" state="frozen"/>
    </sheetView>
  </sheetViews>
  <sheetFormatPr defaultRowHeight="15"/>
  <cols>
    <col min="1" max="1" width="13" hidden="0" customWidth="1"/>
    <col min="2" max="2" width="14" hidden="0" customWidth="1"/>
    <col min="3" max="3" width="35" hidden="0" customWidth="1"/>
    <col min="4" max="4" width="17" hidden="0" customWidth="1"/>
    <col min="5" max="5" width="7" hidden="0" customWidth="1"/>
    <col min="6" max="6" width="7" hidden="0" customWidth="1"/>
    <col min="7" max="7" width="7" hidden="0" customWidth="1"/>
    <col min="8" max="8" width="7" hidden="0" customWidth="1"/>
    <col min="9" max="9" width="7" hidden="0" customWidth="1"/>
    <col min="10" max="10" width="7" hidden="0" customWidth="1"/>
    <col min="11" max="11" width="7" hidden="0" customWidth="1"/>
    <col min="12" max="12" width="7" hidden="0" customWidth="1"/>
    <col min="13" max="13" width="7" hidden="0" customWidth="1"/>
    <col min="14" max="14" width="7" hidden="0" customWidth="1"/>
    <col min="15" max="15" width="7" hidden="0" customWidth="1"/>
    <col min="16" max="16" width="7" hidden="0" customWidth="1"/>
    <col min="17" max="17" width="7" hidden="0" customWidth="1"/>
    <col min="18" max="18" width="7" hidden="0" customWidth="1"/>
    <col min="19" max="19" width="7" hidden="0" customWidth="1"/>
    <col min="20" max="20" width="7" hidden="0" customWidth="1"/>
  </cols>
  <sheetData>
    <row r="1" ht="22" customHeight="1">
      <c r="A1" s="3"/>
      <c r="B1" s="3"/>
      <c r="C1" s="3"/>
      <c r="D1" s="3"/>
      <c r="E1" s="3"/>
      <c r="F1" s="3"/>
      <c r="G1" s="3"/>
      <c r="H1" s="3"/>
      <c r="I1" s="3"/>
      <c r="J1" s="3"/>
      <c r="K1" s="3"/>
      <c r="L1" s="3"/>
      <c r="M1" s="3"/>
      <c r="N1" s="3"/>
      <c r="O1" s="3"/>
      <c r="P1" s="3"/>
      <c r="Q1" s="3"/>
      <c r="R1" s="3"/>
      <c r="S1" s="3"/>
      <c r="T1" s="3"/>
    </row>
    <row r="2" ht="22" customHeight="1">
      <c r="A2" s="5" t="str">
        <v>Calendario de tareas</v>
      </c>
      <c r="B2" s="3"/>
      <c r="C2" s="3"/>
      <c r="D2" s="3"/>
      <c r="E2" s="3"/>
      <c r="F2" s="3"/>
      <c r="G2" s="3"/>
      <c r="H2" s="3"/>
      <c r="I2" s="3"/>
      <c r="J2" s="3"/>
      <c r="K2" s="3"/>
      <c r="L2" s="3"/>
      <c r="M2" s="3"/>
      <c r="N2" s="3"/>
      <c r="O2" s="3"/>
      <c r="P2" s="3"/>
      <c r="Q2" s="3"/>
      <c r="R2" s="3"/>
      <c r="S2" s="3"/>
      <c r="T2" s="3"/>
    </row>
    <row r="3" ht="22" customHeight="1">
      <c r="A3" s="7" t="str">
        <v>Vista de 16 semanas. Cambiar la semana inicial en Inicio. Las fechas aparecen cuando se confirma el comienzo.</v>
      </c>
      <c r="B3" s="3"/>
      <c r="C3" s="3"/>
      <c r="D3" s="3"/>
      <c r="E3" s="3"/>
      <c r="F3" s="3"/>
      <c r="G3" s="3"/>
      <c r="H3" s="3"/>
      <c r="I3" s="3"/>
      <c r="J3" s="3"/>
      <c r="K3" s="3"/>
      <c r="L3" s="3"/>
      <c r="M3" s="3"/>
      <c r="N3" s="3"/>
      <c r="O3" s="3"/>
      <c r="P3" s="3"/>
      <c r="Q3" s="3"/>
      <c r="R3" s="3"/>
      <c r="S3" s="3"/>
      <c r="T3" s="3"/>
    </row>
    <row r="4" ht="22" customHeight="1">
      <c r="A4" s="8" t="str">
        <v>← Inicio</v>
      </c>
      <c r="B4" s="3"/>
      <c r="C4" s="3"/>
      <c r="D4" s="3"/>
      <c r="E4" s="3"/>
      <c r="F4" s="3"/>
      <c r="G4" s="3"/>
      <c r="H4" s="3"/>
      <c r="I4" s="3"/>
      <c r="J4" s="3"/>
      <c r="K4" s="3"/>
      <c r="L4" s="3"/>
      <c r="M4" s="3"/>
      <c r="N4" s="3"/>
      <c r="O4" s="3"/>
      <c r="P4" s="3"/>
      <c r="Q4" s="3"/>
      <c r="R4" s="3"/>
      <c r="S4" s="3"/>
      <c r="T4" s="3"/>
    </row>
    <row r="5" ht="22" customHeight="1">
      <c r="A5" s="3"/>
      <c r="B5" s="3"/>
      <c r="C5" s="3"/>
      <c r="D5" s="3"/>
      <c r="E5" s="3"/>
      <c r="F5" s="3"/>
      <c r="G5" s="3"/>
      <c r="H5" s="3"/>
      <c r="I5" s="3"/>
      <c r="J5" s="3"/>
      <c r="K5" s="3"/>
      <c r="L5" s="3"/>
      <c r="M5" s="3"/>
      <c r="N5" s="3"/>
      <c r="O5" s="3"/>
      <c r="P5" s="3"/>
      <c r="Q5" s="3"/>
      <c r="R5" s="3"/>
      <c r="S5" s="3"/>
      <c r="T5" s="3"/>
    </row>
    <row r="6" ht="22" customHeight="1">
      <c r="A6" s="3"/>
      <c r="B6" s="3"/>
      <c r="C6" s="3"/>
      <c r="D6" s="3"/>
      <c r="E6" s="61" t="str">
        <f>IF(ISNUMBER(Inicio!$B$6),Inicio!$B$6+7*(E7-1),"")</f>
      </c>
      <c r="F6" s="61" t="str">
        <f>IF(ISNUMBER(Inicio!$B$6),Inicio!$B$6+7*(F7-1),"")</f>
      </c>
      <c r="G6" s="61" t="str">
        <f>IF(ISNUMBER(Inicio!$B$6),Inicio!$B$6+7*(G7-1),"")</f>
      </c>
      <c r="H6" s="61" t="str">
        <f>IF(ISNUMBER(Inicio!$B$6),Inicio!$B$6+7*(H7-1),"")</f>
      </c>
      <c r="I6" s="61" t="str">
        <f>IF(ISNUMBER(Inicio!$B$6),Inicio!$B$6+7*(I7-1),"")</f>
      </c>
      <c r="J6" s="61" t="str">
        <f>IF(ISNUMBER(Inicio!$B$6),Inicio!$B$6+7*(J7-1),"")</f>
      </c>
      <c r="K6" s="61" t="str">
        <f>IF(ISNUMBER(Inicio!$B$6),Inicio!$B$6+7*(K7-1),"")</f>
      </c>
      <c r="L6" s="61" t="str">
        <f>IF(ISNUMBER(Inicio!$B$6),Inicio!$B$6+7*(L7-1),"")</f>
      </c>
      <c r="M6" s="61" t="str">
        <f>IF(ISNUMBER(Inicio!$B$6),Inicio!$B$6+7*(M7-1),"")</f>
      </c>
      <c r="N6" s="61" t="str">
        <f>IF(ISNUMBER(Inicio!$B$6),Inicio!$B$6+7*(N7-1),"")</f>
      </c>
      <c r="O6" s="61" t="str">
        <f>IF(ISNUMBER(Inicio!$B$6),Inicio!$B$6+7*(O7-1),"")</f>
      </c>
      <c r="P6" s="61" t="str">
        <f>IF(ISNUMBER(Inicio!$B$6),Inicio!$B$6+7*(P7-1),"")</f>
      </c>
      <c r="Q6" s="61" t="str">
        <f>IF(ISNUMBER(Inicio!$B$6),Inicio!$B$6+7*(Q7-1),"")</f>
      </c>
      <c r="R6" s="61" t="str">
        <f>IF(ISNUMBER(Inicio!$B$6),Inicio!$B$6+7*(R7-1),"")</f>
      </c>
      <c r="S6" s="61" t="str">
        <f>IF(ISNUMBER(Inicio!$B$6),Inicio!$B$6+7*(S7-1),"")</f>
      </c>
      <c r="T6" s="61" t="str">
        <f>IF(ISNUMBER(Inicio!$B$6),Inicio!$B$6+7*(T7-1),"")</f>
      </c>
    </row>
    <row r="7" ht="32" customHeight="1">
      <c r="A7" s="57" t="str">
        <v>ID</v>
      </c>
      <c r="B7" s="57" t="str">
        <v>Responsable</v>
      </c>
      <c r="C7" s="57" t="str">
        <v>Trabajo</v>
      </c>
      <c r="D7" s="57" t="str">
        <v>Estado</v>
      </c>
      <c r="E7" s="59" t="n">
        <f>Inicio!$B$8+0</f>
        <v>1</v>
      </c>
      <c r="F7" s="59" t="n">
        <f>Inicio!$B$8+1</f>
        <v>2</v>
      </c>
      <c r="G7" s="59" t="n">
        <f>Inicio!$B$8+2</f>
        <v>3</v>
      </c>
      <c r="H7" s="59" t="n">
        <f>Inicio!$B$8+3</f>
        <v>4</v>
      </c>
      <c r="I7" s="59" t="n">
        <f>Inicio!$B$8+4</f>
        <v>5</v>
      </c>
      <c r="J7" s="59" t="n">
        <f>Inicio!$B$8+5</f>
        <v>6</v>
      </c>
      <c r="K7" s="59" t="n">
        <f>Inicio!$B$8+6</f>
        <v>7</v>
      </c>
      <c r="L7" s="59" t="n">
        <f>Inicio!$B$8+7</f>
        <v>8</v>
      </c>
      <c r="M7" s="59" t="n">
        <f>Inicio!$B$8+8</f>
        <v>9</v>
      </c>
      <c r="N7" s="59" t="n">
        <f>Inicio!$B$8+9</f>
        <v>10</v>
      </c>
      <c r="O7" s="59" t="n">
        <f>Inicio!$B$8+10</f>
        <v>11</v>
      </c>
      <c r="P7" s="59" t="n">
        <f>Inicio!$B$8+11</f>
        <v>12</v>
      </c>
      <c r="Q7" s="59" t="n">
        <f>Inicio!$B$8+12</f>
        <v>13</v>
      </c>
      <c r="R7" s="59" t="n">
        <f>Inicio!$B$8+13</f>
        <v>14</v>
      </c>
      <c r="S7" s="59" t="n">
        <f>Inicio!$B$8+14</f>
        <v>15</v>
      </c>
      <c r="T7" s="59" t="n">
        <f>Inicio!$B$8+15</f>
        <v>16</v>
      </c>
    </row>
    <row r="8" ht="34" customHeight="1">
      <c r="A8" s="62" t="str">
        <f>IFERROR(IF(INDEX(TblTareas[ID],1)="","",INDEX(TblTareas[ID],1)),"")</f>
        <v>REF-01</v>
      </c>
      <c r="B8" s="62" t="str">
        <f>IF($A8="","",IFERROR(INDEX(TblTareas[Responsable],1),""))</f>
        <v>Pablo</v>
      </c>
      <c r="C8" s="62" t="str">
        <f>IF($A8="","",IFERROR(INDEX(TblTareas[Trabajo],1),""))</f>
        <v>Contrastar mecánicas originales</v>
      </c>
      <c r="D8" s="62" t="str">
        <f>IF($A8="","",IFERROR(INDEX(TblTareas[Estado],1),""))</f>
        <v>Por hacer</v>
      </c>
      <c r="E8" s="64" t="n">
        <f>IF($A8="","",IF(AND(INDEX(TblTareas[Activa],1)=1,E$7&gt;=INDEX(TblTareas[Semana],1),E$7&lt;INDEX(TblTareas[Semana],1)+INDEX(TblTareas[Duracion],1)),INDEX(TblTareas[Horas],1)/INDEX(TblTareas[Duracion],1),""))</f>
        <v>5</v>
      </c>
      <c r="F8" s="64" t="str">
        <f>IF($A8="","",IF(AND(INDEX(TblTareas[Activa],1)=1,F$7&gt;=INDEX(TblTareas[Semana],1),F$7&lt;INDEX(TblTareas[Semana],1)+INDEX(TblTareas[Duracion],1)),INDEX(TblTareas[Horas],1)/INDEX(TblTareas[Duracion],1),""))</f>
      </c>
      <c r="G8" s="64" t="str">
        <f>IF($A8="","",IF(AND(INDEX(TblTareas[Activa],1)=1,G$7&gt;=INDEX(TblTareas[Semana],1),G$7&lt;INDEX(TblTareas[Semana],1)+INDEX(TblTareas[Duracion],1)),INDEX(TblTareas[Horas],1)/INDEX(TblTareas[Duracion],1),""))</f>
      </c>
      <c r="H8" s="64" t="str">
        <f>IF($A8="","",IF(AND(INDEX(TblTareas[Activa],1)=1,H$7&gt;=INDEX(TblTareas[Semana],1),H$7&lt;INDEX(TblTareas[Semana],1)+INDEX(TblTareas[Duracion],1)),INDEX(TblTareas[Horas],1)/INDEX(TblTareas[Duracion],1),""))</f>
      </c>
      <c r="I8" s="64" t="str">
        <f>IF($A8="","",IF(AND(INDEX(TblTareas[Activa],1)=1,I$7&gt;=INDEX(TblTareas[Semana],1),I$7&lt;INDEX(TblTareas[Semana],1)+INDEX(TblTareas[Duracion],1)),INDEX(TblTareas[Horas],1)/INDEX(TblTareas[Duracion],1),""))</f>
      </c>
      <c r="J8" s="64" t="str">
        <f>IF($A8="","",IF(AND(INDEX(TblTareas[Activa],1)=1,J$7&gt;=INDEX(TblTareas[Semana],1),J$7&lt;INDEX(TblTareas[Semana],1)+INDEX(TblTareas[Duracion],1)),INDEX(TblTareas[Horas],1)/INDEX(TblTareas[Duracion],1),""))</f>
      </c>
      <c r="K8" s="64" t="str">
        <f>IF($A8="","",IF(AND(INDEX(TblTareas[Activa],1)=1,K$7&gt;=INDEX(TblTareas[Semana],1),K$7&lt;INDEX(TblTareas[Semana],1)+INDEX(TblTareas[Duracion],1)),INDEX(TblTareas[Horas],1)/INDEX(TblTareas[Duracion],1),""))</f>
      </c>
      <c r="L8" s="64" t="str">
        <f>IF($A8="","",IF(AND(INDEX(TblTareas[Activa],1)=1,L$7&gt;=INDEX(TblTareas[Semana],1),L$7&lt;INDEX(TblTareas[Semana],1)+INDEX(TblTareas[Duracion],1)),INDEX(TblTareas[Horas],1)/INDEX(TblTareas[Duracion],1),""))</f>
      </c>
      <c r="M8" s="64" t="str">
        <f>IF($A8="","",IF(AND(INDEX(TblTareas[Activa],1)=1,M$7&gt;=INDEX(TblTareas[Semana],1),M$7&lt;INDEX(TblTareas[Semana],1)+INDEX(TblTareas[Duracion],1)),INDEX(TblTareas[Horas],1)/INDEX(TblTareas[Duracion],1),""))</f>
      </c>
      <c r="N8" s="64" t="str">
        <f>IF($A8="","",IF(AND(INDEX(TblTareas[Activa],1)=1,N$7&gt;=INDEX(TblTareas[Semana],1),N$7&lt;INDEX(TblTareas[Semana],1)+INDEX(TblTareas[Duracion],1)),INDEX(TblTareas[Horas],1)/INDEX(TblTareas[Duracion],1),""))</f>
      </c>
      <c r="O8" s="64" t="str">
        <f>IF($A8="","",IF(AND(INDEX(TblTareas[Activa],1)=1,O$7&gt;=INDEX(TblTareas[Semana],1),O$7&lt;INDEX(TblTareas[Semana],1)+INDEX(TblTareas[Duracion],1)),INDEX(TblTareas[Horas],1)/INDEX(TblTareas[Duracion],1),""))</f>
      </c>
      <c r="P8" s="64" t="str">
        <f>IF($A8="","",IF(AND(INDEX(TblTareas[Activa],1)=1,P$7&gt;=INDEX(TblTareas[Semana],1),P$7&lt;INDEX(TblTareas[Semana],1)+INDEX(TblTareas[Duracion],1)),INDEX(TblTareas[Horas],1)/INDEX(TblTareas[Duracion],1),""))</f>
      </c>
      <c r="Q8" s="64" t="str">
        <f>IF($A8="","",IF(AND(INDEX(TblTareas[Activa],1)=1,Q$7&gt;=INDEX(TblTareas[Semana],1),Q$7&lt;INDEX(TblTareas[Semana],1)+INDEX(TblTareas[Duracion],1)),INDEX(TblTareas[Horas],1)/INDEX(TblTareas[Duracion],1),""))</f>
      </c>
      <c r="R8" s="64" t="str">
        <f>IF($A8="","",IF(AND(INDEX(TblTareas[Activa],1)=1,R$7&gt;=INDEX(TblTareas[Semana],1),R$7&lt;INDEX(TblTareas[Semana],1)+INDEX(TblTareas[Duracion],1)),INDEX(TblTareas[Horas],1)/INDEX(TblTareas[Duracion],1),""))</f>
      </c>
      <c r="S8" s="64" t="str">
        <f>IF($A8="","",IF(AND(INDEX(TblTareas[Activa],1)=1,S$7&gt;=INDEX(TblTareas[Semana],1),S$7&lt;INDEX(TblTareas[Semana],1)+INDEX(TblTareas[Duracion],1)),INDEX(TblTareas[Horas],1)/INDEX(TblTareas[Duracion],1),""))</f>
      </c>
      <c r="T8" s="64" t="str">
        <f>IF($A8="","",IF(AND(INDEX(TblTareas[Activa],1)=1,T$7&gt;=INDEX(TblTareas[Semana],1),T$7&lt;INDEX(TblTareas[Semana],1)+INDEX(TblTareas[Duracion],1)),INDEX(TblTareas[Horas],1)/INDEX(TblTareas[Duracion],1),""))</f>
      </c>
    </row>
    <row r="9" ht="34" customHeight="1">
      <c r="A9" s="62" t="str">
        <f>IFERROR(IF(INDEX(TblTareas[ID],2)="","",INDEX(TblTareas[ID],2)),"")</f>
        <v>REF-02</v>
      </c>
      <c r="B9" s="62" t="str">
        <f>IF($A9="","",IFERROR(INDEX(TblTareas[Responsable],2),""))</f>
        <v>Pablo</v>
      </c>
      <c r="C9" s="62" t="str">
        <f>IF($A9="","",IFERROR(INDEX(TblTareas[Trabajo],2),""))</f>
        <v>Evaluar alternativas del salto 3D</v>
      </c>
      <c r="D9" s="62" t="str">
        <f>IF($A9="","",IFERROR(INDEX(TblTareas[Estado],2),""))</f>
        <v>Por hacer</v>
      </c>
      <c r="E9" s="64" t="n">
        <f>IF($A9="","",IF(AND(INDEX(TblTareas[Activa],2)=1,E$7&gt;=INDEX(TblTareas[Semana],2),E$7&lt;INDEX(TblTareas[Semana],2)+INDEX(TblTareas[Duracion],2)),INDEX(TblTareas[Horas],2)/INDEX(TblTareas[Duracion],2),""))</f>
        <v>2.5</v>
      </c>
      <c r="F9" s="64" t="n">
        <f>IF($A9="","",IF(AND(INDEX(TblTareas[Activa],2)=1,F$7&gt;=INDEX(TblTareas[Semana],2),F$7&lt;INDEX(TblTareas[Semana],2)+INDEX(TblTareas[Duracion],2)),INDEX(TblTareas[Horas],2)/INDEX(TblTareas[Duracion],2),""))</f>
        <v>2.5</v>
      </c>
      <c r="G9" s="64" t="str">
        <f>IF($A9="","",IF(AND(INDEX(TblTareas[Activa],2)=1,G$7&gt;=INDEX(TblTareas[Semana],2),G$7&lt;INDEX(TblTareas[Semana],2)+INDEX(TblTareas[Duracion],2)),INDEX(TblTareas[Horas],2)/INDEX(TblTareas[Duracion],2),""))</f>
      </c>
      <c r="H9" s="64" t="str">
        <f>IF($A9="","",IF(AND(INDEX(TblTareas[Activa],2)=1,H$7&gt;=INDEX(TblTareas[Semana],2),H$7&lt;INDEX(TblTareas[Semana],2)+INDEX(TblTareas[Duracion],2)),INDEX(TblTareas[Horas],2)/INDEX(TblTareas[Duracion],2),""))</f>
      </c>
      <c r="I9" s="64" t="str">
        <f>IF($A9="","",IF(AND(INDEX(TblTareas[Activa],2)=1,I$7&gt;=INDEX(TblTareas[Semana],2),I$7&lt;INDEX(TblTareas[Semana],2)+INDEX(TblTareas[Duracion],2)),INDEX(TblTareas[Horas],2)/INDEX(TblTareas[Duracion],2),""))</f>
      </c>
      <c r="J9" s="64" t="str">
        <f>IF($A9="","",IF(AND(INDEX(TblTareas[Activa],2)=1,J$7&gt;=INDEX(TblTareas[Semana],2),J$7&lt;INDEX(TblTareas[Semana],2)+INDEX(TblTareas[Duracion],2)),INDEX(TblTareas[Horas],2)/INDEX(TblTareas[Duracion],2),""))</f>
      </c>
      <c r="K9" s="64" t="str">
        <f>IF($A9="","",IF(AND(INDEX(TblTareas[Activa],2)=1,K$7&gt;=INDEX(TblTareas[Semana],2),K$7&lt;INDEX(TblTareas[Semana],2)+INDEX(TblTareas[Duracion],2)),INDEX(TblTareas[Horas],2)/INDEX(TblTareas[Duracion],2),""))</f>
      </c>
      <c r="L9" s="64" t="str">
        <f>IF($A9="","",IF(AND(INDEX(TblTareas[Activa],2)=1,L$7&gt;=INDEX(TblTareas[Semana],2),L$7&lt;INDEX(TblTareas[Semana],2)+INDEX(TblTareas[Duracion],2)),INDEX(TblTareas[Horas],2)/INDEX(TblTareas[Duracion],2),""))</f>
      </c>
      <c r="M9" s="64" t="str">
        <f>IF($A9="","",IF(AND(INDEX(TblTareas[Activa],2)=1,M$7&gt;=INDEX(TblTareas[Semana],2),M$7&lt;INDEX(TblTareas[Semana],2)+INDEX(TblTareas[Duracion],2)),INDEX(TblTareas[Horas],2)/INDEX(TblTareas[Duracion],2),""))</f>
      </c>
      <c r="N9" s="64" t="str">
        <f>IF($A9="","",IF(AND(INDEX(TblTareas[Activa],2)=1,N$7&gt;=INDEX(TblTareas[Semana],2),N$7&lt;INDEX(TblTareas[Semana],2)+INDEX(TblTareas[Duracion],2)),INDEX(TblTareas[Horas],2)/INDEX(TblTareas[Duracion],2),""))</f>
      </c>
      <c r="O9" s="64" t="str">
        <f>IF($A9="","",IF(AND(INDEX(TblTareas[Activa],2)=1,O$7&gt;=INDEX(TblTareas[Semana],2),O$7&lt;INDEX(TblTareas[Semana],2)+INDEX(TblTareas[Duracion],2)),INDEX(TblTareas[Horas],2)/INDEX(TblTareas[Duracion],2),""))</f>
      </c>
      <c r="P9" s="64" t="str">
        <f>IF($A9="","",IF(AND(INDEX(TblTareas[Activa],2)=1,P$7&gt;=INDEX(TblTareas[Semana],2),P$7&lt;INDEX(TblTareas[Semana],2)+INDEX(TblTareas[Duracion],2)),INDEX(TblTareas[Horas],2)/INDEX(TblTareas[Duracion],2),""))</f>
      </c>
      <c r="Q9" s="64" t="str">
        <f>IF($A9="","",IF(AND(INDEX(TblTareas[Activa],2)=1,Q$7&gt;=INDEX(TblTareas[Semana],2),Q$7&lt;INDEX(TblTareas[Semana],2)+INDEX(TblTareas[Duracion],2)),INDEX(TblTareas[Horas],2)/INDEX(TblTareas[Duracion],2),""))</f>
      </c>
      <c r="R9" s="64" t="str">
        <f>IF($A9="","",IF(AND(INDEX(TblTareas[Activa],2)=1,R$7&gt;=INDEX(TblTareas[Semana],2),R$7&lt;INDEX(TblTareas[Semana],2)+INDEX(TblTareas[Duracion],2)),INDEX(TblTareas[Horas],2)/INDEX(TblTareas[Duracion],2),""))</f>
      </c>
      <c r="S9" s="64" t="str">
        <f>IF($A9="","",IF(AND(INDEX(TblTareas[Activa],2)=1,S$7&gt;=INDEX(TblTareas[Semana],2),S$7&lt;INDEX(TblTareas[Semana],2)+INDEX(TblTareas[Duracion],2)),INDEX(TblTareas[Horas],2)/INDEX(TblTareas[Duracion],2),""))</f>
      </c>
      <c r="T9" s="64" t="str">
        <f>IF($A9="","",IF(AND(INDEX(TblTareas[Activa],2)=1,T$7&gt;=INDEX(TblTareas[Semana],2),T$7&lt;INDEX(TblTareas[Semana],2)+INDEX(TblTareas[Duracion],2)),INDEX(TblTareas[Horas],2)/INDEX(TblTareas[Duracion],2),""))</f>
      </c>
    </row>
    <row r="10" ht="34" customHeight="1">
      <c r="A10" s="62" t="str">
        <f>IFERROR(IF(INDEX(TblTareas[ID],3)="","",INDEX(TblTareas[ID],3)),"")</f>
        <v>DIS-01</v>
      </c>
      <c r="B10" s="62" t="str">
        <f>IF($A10="","",IFERROR(INDEX(TblTareas[Responsable],3),""))</f>
        <v>Amin</v>
      </c>
      <c r="C10" s="62" t="str">
        <f>IF($A10="","",IFERROR(INDEX(TblTareas[Trabajo],3),""))</f>
        <v>Validar alcance y requisitos</v>
      </c>
      <c r="D10" s="62" t="str">
        <f>IF($A10="","",IFERROR(INDEX(TblTareas[Estado],3),""))</f>
        <v>Por hacer</v>
      </c>
      <c r="E10" s="64" t="n">
        <f>IF($A10="","",IF(AND(INDEX(TblTareas[Activa],3)=1,E$7&gt;=INDEX(TblTareas[Semana],3),E$7&lt;INDEX(TblTareas[Semana],3)+INDEX(TblTareas[Duracion],3)),INDEX(TblTareas[Horas],3)/INDEX(TblTareas[Duracion],3),""))</f>
        <v>5</v>
      </c>
      <c r="F10" s="64" t="str">
        <f>IF($A10="","",IF(AND(INDEX(TblTareas[Activa],3)=1,F$7&gt;=INDEX(TblTareas[Semana],3),F$7&lt;INDEX(TblTareas[Semana],3)+INDEX(TblTareas[Duracion],3)),INDEX(TblTareas[Horas],3)/INDEX(TblTareas[Duracion],3),""))</f>
      </c>
      <c r="G10" s="64" t="str">
        <f>IF($A10="","",IF(AND(INDEX(TblTareas[Activa],3)=1,G$7&gt;=INDEX(TblTareas[Semana],3),G$7&lt;INDEX(TblTareas[Semana],3)+INDEX(TblTareas[Duracion],3)),INDEX(TblTareas[Horas],3)/INDEX(TblTareas[Duracion],3),""))</f>
      </c>
      <c r="H10" s="64" t="str">
        <f>IF($A10="","",IF(AND(INDEX(TblTareas[Activa],3)=1,H$7&gt;=INDEX(TblTareas[Semana],3),H$7&lt;INDEX(TblTareas[Semana],3)+INDEX(TblTareas[Duracion],3)),INDEX(TblTareas[Horas],3)/INDEX(TblTareas[Duracion],3),""))</f>
      </c>
      <c r="I10" s="64" t="str">
        <f>IF($A10="","",IF(AND(INDEX(TblTareas[Activa],3)=1,I$7&gt;=INDEX(TblTareas[Semana],3),I$7&lt;INDEX(TblTareas[Semana],3)+INDEX(TblTareas[Duracion],3)),INDEX(TblTareas[Horas],3)/INDEX(TblTareas[Duracion],3),""))</f>
      </c>
      <c r="J10" s="64" t="str">
        <f>IF($A10="","",IF(AND(INDEX(TblTareas[Activa],3)=1,J$7&gt;=INDEX(TblTareas[Semana],3),J$7&lt;INDEX(TblTareas[Semana],3)+INDEX(TblTareas[Duracion],3)),INDEX(TblTareas[Horas],3)/INDEX(TblTareas[Duracion],3),""))</f>
      </c>
      <c r="K10" s="64" t="str">
        <f>IF($A10="","",IF(AND(INDEX(TblTareas[Activa],3)=1,K$7&gt;=INDEX(TblTareas[Semana],3),K$7&lt;INDEX(TblTareas[Semana],3)+INDEX(TblTareas[Duracion],3)),INDEX(TblTareas[Horas],3)/INDEX(TblTareas[Duracion],3),""))</f>
      </c>
      <c r="L10" s="64" t="str">
        <f>IF($A10="","",IF(AND(INDEX(TblTareas[Activa],3)=1,L$7&gt;=INDEX(TblTareas[Semana],3),L$7&lt;INDEX(TblTareas[Semana],3)+INDEX(TblTareas[Duracion],3)),INDEX(TblTareas[Horas],3)/INDEX(TblTareas[Duracion],3),""))</f>
      </c>
      <c r="M10" s="64" t="str">
        <f>IF($A10="","",IF(AND(INDEX(TblTareas[Activa],3)=1,M$7&gt;=INDEX(TblTareas[Semana],3),M$7&lt;INDEX(TblTareas[Semana],3)+INDEX(TblTareas[Duracion],3)),INDEX(TblTareas[Horas],3)/INDEX(TblTareas[Duracion],3),""))</f>
      </c>
      <c r="N10" s="64" t="str">
        <f>IF($A10="","",IF(AND(INDEX(TblTareas[Activa],3)=1,N$7&gt;=INDEX(TblTareas[Semana],3),N$7&lt;INDEX(TblTareas[Semana],3)+INDEX(TblTareas[Duracion],3)),INDEX(TblTareas[Horas],3)/INDEX(TblTareas[Duracion],3),""))</f>
      </c>
      <c r="O10" s="64" t="str">
        <f>IF($A10="","",IF(AND(INDEX(TblTareas[Activa],3)=1,O$7&gt;=INDEX(TblTareas[Semana],3),O$7&lt;INDEX(TblTareas[Semana],3)+INDEX(TblTareas[Duracion],3)),INDEX(TblTareas[Horas],3)/INDEX(TblTareas[Duracion],3),""))</f>
      </c>
      <c r="P10" s="64" t="str">
        <f>IF($A10="","",IF(AND(INDEX(TblTareas[Activa],3)=1,P$7&gt;=INDEX(TblTareas[Semana],3),P$7&lt;INDEX(TblTareas[Semana],3)+INDEX(TblTareas[Duracion],3)),INDEX(TblTareas[Horas],3)/INDEX(TblTareas[Duracion],3),""))</f>
      </c>
      <c r="Q10" s="64" t="str">
        <f>IF($A10="","",IF(AND(INDEX(TblTareas[Activa],3)=1,Q$7&gt;=INDEX(TblTareas[Semana],3),Q$7&lt;INDEX(TblTareas[Semana],3)+INDEX(TblTareas[Duracion],3)),INDEX(TblTareas[Horas],3)/INDEX(TblTareas[Duracion],3),""))</f>
      </c>
      <c r="R10" s="64" t="str">
        <f>IF($A10="","",IF(AND(INDEX(TblTareas[Activa],3)=1,R$7&gt;=INDEX(TblTareas[Semana],3),R$7&lt;INDEX(TblTareas[Semana],3)+INDEX(TblTareas[Duracion],3)),INDEX(TblTareas[Horas],3)/INDEX(TblTareas[Duracion],3),""))</f>
      </c>
      <c r="S10" s="64" t="str">
        <f>IF($A10="","",IF(AND(INDEX(TblTareas[Activa],3)=1,S$7&gt;=INDEX(TblTareas[Semana],3),S$7&lt;INDEX(TblTareas[Semana],3)+INDEX(TblTareas[Duracion],3)),INDEX(TblTareas[Horas],3)/INDEX(TblTareas[Duracion],3),""))</f>
      </c>
      <c r="T10" s="64" t="str">
        <f>IF($A10="","",IF(AND(INDEX(TblTareas[Activa],3)=1,T$7&gt;=INDEX(TblTareas[Semana],3),T$7&lt;INDEX(TblTareas[Semana],3)+INDEX(TblTareas[Duracion],3)),INDEX(TblTareas[Horas],3)/INDEX(TblTareas[Duracion],3),""))</f>
      </c>
    </row>
    <row r="11" ht="34" customHeight="1">
      <c r="A11" s="62" t="str">
        <f>IFERROR(IF(INDEX(TblTareas[ID],4)="","",INDEX(TblTareas[ID],4)),"")</f>
        <v>DIS-02</v>
      </c>
      <c r="B11" s="62" t="str">
        <f>IF($A11="","",IFERROR(INDEX(TblTareas[Responsable],4),""))</f>
        <v>Amin</v>
      </c>
      <c r="C11" s="62" t="str">
        <f>IF($A11="","",IFERROR(INDEX(TblTareas[Trabajo],4),""))</f>
        <v>Especificar coordenadas y escala 3D</v>
      </c>
      <c r="D11" s="62" t="str">
        <f>IF($A11="","",IFERROR(INDEX(TblTareas[Estado],4),""))</f>
        <v>Por hacer</v>
      </c>
      <c r="E11" s="64" t="str">
        <f>IF($A11="","",IF(AND(INDEX(TblTareas[Activa],4)=1,E$7&gt;=INDEX(TblTareas[Semana],4),E$7&lt;INDEX(TblTareas[Semana],4)+INDEX(TblTareas[Duracion],4)),INDEX(TblTareas[Horas],4)/INDEX(TblTareas[Duracion],4),""))</f>
      </c>
      <c r="F11" s="64" t="n">
        <f>IF($A11="","",IF(AND(INDEX(TblTareas[Activa],4)=1,F$7&gt;=INDEX(TblTareas[Semana],4),F$7&lt;INDEX(TblTareas[Semana],4)+INDEX(TblTareas[Duracion],4)),INDEX(TblTareas[Horas],4)/INDEX(TblTareas[Duracion],4),""))</f>
        <v>4</v>
      </c>
      <c r="G11" s="64" t="str">
        <f>IF($A11="","",IF(AND(INDEX(TblTareas[Activa],4)=1,G$7&gt;=INDEX(TblTareas[Semana],4),G$7&lt;INDEX(TblTareas[Semana],4)+INDEX(TblTareas[Duracion],4)),INDEX(TblTareas[Horas],4)/INDEX(TblTareas[Duracion],4),""))</f>
      </c>
      <c r="H11" s="64" t="str">
        <f>IF($A11="","",IF(AND(INDEX(TblTareas[Activa],4)=1,H$7&gt;=INDEX(TblTareas[Semana],4),H$7&lt;INDEX(TblTareas[Semana],4)+INDEX(TblTareas[Duracion],4)),INDEX(TblTareas[Horas],4)/INDEX(TblTareas[Duracion],4),""))</f>
      </c>
      <c r="I11" s="64" t="str">
        <f>IF($A11="","",IF(AND(INDEX(TblTareas[Activa],4)=1,I$7&gt;=INDEX(TblTareas[Semana],4),I$7&lt;INDEX(TblTareas[Semana],4)+INDEX(TblTareas[Duracion],4)),INDEX(TblTareas[Horas],4)/INDEX(TblTareas[Duracion],4),""))</f>
      </c>
      <c r="J11" s="64" t="str">
        <f>IF($A11="","",IF(AND(INDEX(TblTareas[Activa],4)=1,J$7&gt;=INDEX(TblTareas[Semana],4),J$7&lt;INDEX(TblTareas[Semana],4)+INDEX(TblTareas[Duracion],4)),INDEX(TblTareas[Horas],4)/INDEX(TblTareas[Duracion],4),""))</f>
      </c>
      <c r="K11" s="64" t="str">
        <f>IF($A11="","",IF(AND(INDEX(TblTareas[Activa],4)=1,K$7&gt;=INDEX(TblTareas[Semana],4),K$7&lt;INDEX(TblTareas[Semana],4)+INDEX(TblTareas[Duracion],4)),INDEX(TblTareas[Horas],4)/INDEX(TblTareas[Duracion],4),""))</f>
      </c>
      <c r="L11" s="64" t="str">
        <f>IF($A11="","",IF(AND(INDEX(TblTareas[Activa],4)=1,L$7&gt;=INDEX(TblTareas[Semana],4),L$7&lt;INDEX(TblTareas[Semana],4)+INDEX(TblTareas[Duracion],4)),INDEX(TblTareas[Horas],4)/INDEX(TblTareas[Duracion],4),""))</f>
      </c>
      <c r="M11" s="64" t="str">
        <f>IF($A11="","",IF(AND(INDEX(TblTareas[Activa],4)=1,M$7&gt;=INDEX(TblTareas[Semana],4),M$7&lt;INDEX(TblTareas[Semana],4)+INDEX(TblTareas[Duracion],4)),INDEX(TblTareas[Horas],4)/INDEX(TblTareas[Duracion],4),""))</f>
      </c>
      <c r="N11" s="64" t="str">
        <f>IF($A11="","",IF(AND(INDEX(TblTareas[Activa],4)=1,N$7&gt;=INDEX(TblTareas[Semana],4),N$7&lt;INDEX(TblTareas[Semana],4)+INDEX(TblTareas[Duracion],4)),INDEX(TblTareas[Horas],4)/INDEX(TblTareas[Duracion],4),""))</f>
      </c>
      <c r="O11" s="64" t="str">
        <f>IF($A11="","",IF(AND(INDEX(TblTareas[Activa],4)=1,O$7&gt;=INDEX(TblTareas[Semana],4),O$7&lt;INDEX(TblTareas[Semana],4)+INDEX(TblTareas[Duracion],4)),INDEX(TblTareas[Horas],4)/INDEX(TblTareas[Duracion],4),""))</f>
      </c>
      <c r="P11" s="64" t="str">
        <f>IF($A11="","",IF(AND(INDEX(TblTareas[Activa],4)=1,P$7&gt;=INDEX(TblTareas[Semana],4),P$7&lt;INDEX(TblTareas[Semana],4)+INDEX(TblTareas[Duracion],4)),INDEX(TblTareas[Horas],4)/INDEX(TblTareas[Duracion],4),""))</f>
      </c>
      <c r="Q11" s="64" t="str">
        <f>IF($A11="","",IF(AND(INDEX(TblTareas[Activa],4)=1,Q$7&gt;=INDEX(TblTareas[Semana],4),Q$7&lt;INDEX(TblTareas[Semana],4)+INDEX(TblTareas[Duracion],4)),INDEX(TblTareas[Horas],4)/INDEX(TblTareas[Duracion],4),""))</f>
      </c>
      <c r="R11" s="64" t="str">
        <f>IF($A11="","",IF(AND(INDEX(TblTareas[Activa],4)=1,R$7&gt;=INDEX(TblTareas[Semana],4),R$7&lt;INDEX(TblTareas[Semana],4)+INDEX(TblTareas[Duracion],4)),INDEX(TblTareas[Horas],4)/INDEX(TblTareas[Duracion],4),""))</f>
      </c>
      <c r="S11" s="64" t="str">
        <f>IF($A11="","",IF(AND(INDEX(TblTareas[Activa],4)=1,S$7&gt;=INDEX(TblTareas[Semana],4),S$7&lt;INDEX(TblTareas[Semana],4)+INDEX(TblTareas[Duracion],4)),INDEX(TblTareas[Horas],4)/INDEX(TblTareas[Duracion],4),""))</f>
      </c>
      <c r="T11" s="64" t="str">
        <f>IF($A11="","",IF(AND(INDEX(TblTareas[Activa],4)=1,T$7&gt;=INDEX(TblTareas[Semana],4),T$7&lt;INDEX(TblTareas[Semana],4)+INDEX(TblTareas[Duracion],4)),INDEX(TblTareas[Horas],4)/INDEX(TblTareas[Duracion],4),""))</f>
      </c>
    </row>
    <row r="12" ht="34" customHeight="1">
      <c r="A12" s="62" t="str">
        <f>IFERROR(IF(INDEX(TblTareas[ID],5)="","",INDEX(TblTareas[ID],5)),"")</f>
        <v>DIS-03</v>
      </c>
      <c r="B12" s="62" t="str">
        <f>IF($A12="","",IFERROR(INDEX(TblTareas[Responsable],5),""))</f>
        <v>Amin</v>
      </c>
      <c r="C12" s="62" t="str">
        <f>IF($A12="","",IFERROR(INDEX(TblTareas[Trabajo],5),""))</f>
        <v>Definir entidades y contratos</v>
      </c>
      <c r="D12" s="62" t="str">
        <f>IF($A12="","",IFERROR(INDEX(TblTareas[Estado],5),""))</f>
        <v>Por hacer</v>
      </c>
      <c r="E12" s="64" t="n">
        <f>IF($A12="","",IF(AND(INDEX(TblTareas[Activa],5)=1,E$7&gt;=INDEX(TblTareas[Semana],5),E$7&lt;INDEX(TblTareas[Semana],5)+INDEX(TblTareas[Duracion],5)),INDEX(TblTareas[Horas],5)/INDEX(TblTareas[Duracion],5),""))</f>
        <v>2.5</v>
      </c>
      <c r="F12" s="64" t="n">
        <f>IF($A12="","",IF(AND(INDEX(TblTareas[Activa],5)=1,F$7&gt;=INDEX(TblTareas[Semana],5),F$7&lt;INDEX(TblTareas[Semana],5)+INDEX(TblTareas[Duracion],5)),INDEX(TblTareas[Horas],5)/INDEX(TblTareas[Duracion],5),""))</f>
        <v>2.5</v>
      </c>
      <c r="G12" s="64" t="str">
        <f>IF($A12="","",IF(AND(INDEX(TblTareas[Activa],5)=1,G$7&gt;=INDEX(TblTareas[Semana],5),G$7&lt;INDEX(TblTareas[Semana],5)+INDEX(TblTareas[Duracion],5)),INDEX(TblTareas[Horas],5)/INDEX(TblTareas[Duracion],5),""))</f>
      </c>
      <c r="H12" s="64" t="str">
        <f>IF($A12="","",IF(AND(INDEX(TblTareas[Activa],5)=1,H$7&gt;=INDEX(TblTareas[Semana],5),H$7&lt;INDEX(TblTareas[Semana],5)+INDEX(TblTareas[Duracion],5)),INDEX(TblTareas[Horas],5)/INDEX(TblTareas[Duracion],5),""))</f>
      </c>
      <c r="I12" s="64" t="str">
        <f>IF($A12="","",IF(AND(INDEX(TblTareas[Activa],5)=1,I$7&gt;=INDEX(TblTareas[Semana],5),I$7&lt;INDEX(TblTareas[Semana],5)+INDEX(TblTareas[Duracion],5)),INDEX(TblTareas[Horas],5)/INDEX(TblTareas[Duracion],5),""))</f>
      </c>
      <c r="J12" s="64" t="str">
        <f>IF($A12="","",IF(AND(INDEX(TblTareas[Activa],5)=1,J$7&gt;=INDEX(TblTareas[Semana],5),J$7&lt;INDEX(TblTareas[Semana],5)+INDEX(TblTareas[Duracion],5)),INDEX(TblTareas[Horas],5)/INDEX(TblTareas[Duracion],5),""))</f>
      </c>
      <c r="K12" s="64" t="str">
        <f>IF($A12="","",IF(AND(INDEX(TblTareas[Activa],5)=1,K$7&gt;=INDEX(TblTareas[Semana],5),K$7&lt;INDEX(TblTareas[Semana],5)+INDEX(TblTareas[Duracion],5)),INDEX(TblTareas[Horas],5)/INDEX(TblTareas[Duracion],5),""))</f>
      </c>
      <c r="L12" s="64" t="str">
        <f>IF($A12="","",IF(AND(INDEX(TblTareas[Activa],5)=1,L$7&gt;=INDEX(TblTareas[Semana],5),L$7&lt;INDEX(TblTareas[Semana],5)+INDEX(TblTareas[Duracion],5)),INDEX(TblTareas[Horas],5)/INDEX(TblTareas[Duracion],5),""))</f>
      </c>
      <c r="M12" s="64" t="str">
        <f>IF($A12="","",IF(AND(INDEX(TblTareas[Activa],5)=1,M$7&gt;=INDEX(TblTareas[Semana],5),M$7&lt;INDEX(TblTareas[Semana],5)+INDEX(TblTareas[Duracion],5)),INDEX(TblTareas[Horas],5)/INDEX(TblTareas[Duracion],5),""))</f>
      </c>
      <c r="N12" s="64" t="str">
        <f>IF($A12="","",IF(AND(INDEX(TblTareas[Activa],5)=1,N$7&gt;=INDEX(TblTareas[Semana],5),N$7&lt;INDEX(TblTareas[Semana],5)+INDEX(TblTareas[Duracion],5)),INDEX(TblTareas[Horas],5)/INDEX(TblTareas[Duracion],5),""))</f>
      </c>
      <c r="O12" s="64" t="str">
        <f>IF($A12="","",IF(AND(INDEX(TblTareas[Activa],5)=1,O$7&gt;=INDEX(TblTareas[Semana],5),O$7&lt;INDEX(TblTareas[Semana],5)+INDEX(TblTareas[Duracion],5)),INDEX(TblTareas[Horas],5)/INDEX(TblTareas[Duracion],5),""))</f>
      </c>
      <c r="P12" s="64" t="str">
        <f>IF($A12="","",IF(AND(INDEX(TblTareas[Activa],5)=1,P$7&gt;=INDEX(TblTareas[Semana],5),P$7&lt;INDEX(TblTareas[Semana],5)+INDEX(TblTareas[Duracion],5)),INDEX(TblTareas[Horas],5)/INDEX(TblTareas[Duracion],5),""))</f>
      </c>
      <c r="Q12" s="64" t="str">
        <f>IF($A12="","",IF(AND(INDEX(TblTareas[Activa],5)=1,Q$7&gt;=INDEX(TblTareas[Semana],5),Q$7&lt;INDEX(TblTareas[Semana],5)+INDEX(TblTareas[Duracion],5)),INDEX(TblTareas[Horas],5)/INDEX(TblTareas[Duracion],5),""))</f>
      </c>
      <c r="R12" s="64" t="str">
        <f>IF($A12="","",IF(AND(INDEX(TblTareas[Activa],5)=1,R$7&gt;=INDEX(TblTareas[Semana],5),R$7&lt;INDEX(TblTareas[Semana],5)+INDEX(TblTareas[Duracion],5)),INDEX(TblTareas[Horas],5)/INDEX(TblTareas[Duracion],5),""))</f>
      </c>
      <c r="S12" s="64" t="str">
        <f>IF($A12="","",IF(AND(INDEX(TblTareas[Activa],5)=1,S$7&gt;=INDEX(TblTareas[Semana],5),S$7&lt;INDEX(TblTareas[Semana],5)+INDEX(TblTareas[Duracion],5)),INDEX(TblTareas[Horas],5)/INDEX(TblTareas[Duracion],5),""))</f>
      </c>
      <c r="T12" s="64" t="str">
        <f>IF($A12="","",IF(AND(INDEX(TblTareas[Activa],5)=1,T$7&gt;=INDEX(TblTareas[Semana],5),T$7&lt;INDEX(TblTareas[Semana],5)+INDEX(TblTareas[Duracion],5)),INDEX(TblTareas[Horas],5)/INDEX(TblTareas[Duracion],5),""))</f>
      </c>
    </row>
    <row r="13" ht="34" customHeight="1">
      <c r="A13" s="62" t="str">
        <f>IFERROR(IF(INDEX(TblTareas[ID],6)="","",INDEX(TblTareas[ID],6)),"")</f>
        <v>DIS-04</v>
      </c>
      <c r="B13" s="62" t="str">
        <f>IF($A13="","",IFERROR(INDEX(TblTareas[Responsable],6),""))</f>
        <v>Amin</v>
      </c>
      <c r="C13" s="62" t="str">
        <f>IF($A13="","",IFERROR(INDEX(TblTareas[Trabajo],6),""))</f>
        <v>Definir estados de partida y jugador</v>
      </c>
      <c r="D13" s="62" t="str">
        <f>IF($A13="","",IFERROR(INDEX(TblTareas[Estado],6),""))</f>
        <v>Por hacer</v>
      </c>
      <c r="E13" s="64" t="str">
        <f>IF($A13="","",IF(AND(INDEX(TblTareas[Activa],6)=1,E$7&gt;=INDEX(TblTareas[Semana],6),E$7&lt;INDEX(TblTareas[Semana],6)+INDEX(TblTareas[Duracion],6)),INDEX(TblTareas[Horas],6)/INDEX(TblTareas[Duracion],6),""))</f>
      </c>
      <c r="F13" s="64" t="n">
        <f>IF($A13="","",IF(AND(INDEX(TblTareas[Activa],6)=1,F$7&gt;=INDEX(TblTareas[Semana],6),F$7&lt;INDEX(TblTareas[Semana],6)+INDEX(TblTareas[Duracion],6)),INDEX(TblTareas[Horas],6)/INDEX(TblTareas[Duracion],6),""))</f>
        <v>2.5</v>
      </c>
      <c r="G13" s="64" t="n">
        <f>IF($A13="","",IF(AND(INDEX(TblTareas[Activa],6)=1,G$7&gt;=INDEX(TblTareas[Semana],6),G$7&lt;INDEX(TblTareas[Semana],6)+INDEX(TblTareas[Duracion],6)),INDEX(TblTareas[Horas],6)/INDEX(TblTareas[Duracion],6),""))</f>
        <v>2.5</v>
      </c>
      <c r="H13" s="64" t="str">
        <f>IF($A13="","",IF(AND(INDEX(TblTareas[Activa],6)=1,H$7&gt;=INDEX(TblTareas[Semana],6),H$7&lt;INDEX(TblTareas[Semana],6)+INDEX(TblTareas[Duracion],6)),INDEX(TblTareas[Horas],6)/INDEX(TblTareas[Duracion],6),""))</f>
      </c>
      <c r="I13" s="64" t="str">
        <f>IF($A13="","",IF(AND(INDEX(TblTareas[Activa],6)=1,I$7&gt;=INDEX(TblTareas[Semana],6),I$7&lt;INDEX(TblTareas[Semana],6)+INDEX(TblTareas[Duracion],6)),INDEX(TblTareas[Horas],6)/INDEX(TblTareas[Duracion],6),""))</f>
      </c>
      <c r="J13" s="64" t="str">
        <f>IF($A13="","",IF(AND(INDEX(TblTareas[Activa],6)=1,J$7&gt;=INDEX(TblTareas[Semana],6),J$7&lt;INDEX(TblTareas[Semana],6)+INDEX(TblTareas[Duracion],6)),INDEX(TblTareas[Horas],6)/INDEX(TblTareas[Duracion],6),""))</f>
      </c>
      <c r="K13" s="64" t="str">
        <f>IF($A13="","",IF(AND(INDEX(TblTareas[Activa],6)=1,K$7&gt;=INDEX(TblTareas[Semana],6),K$7&lt;INDEX(TblTareas[Semana],6)+INDEX(TblTareas[Duracion],6)),INDEX(TblTareas[Horas],6)/INDEX(TblTareas[Duracion],6),""))</f>
      </c>
      <c r="L13" s="64" t="str">
        <f>IF($A13="","",IF(AND(INDEX(TblTareas[Activa],6)=1,L$7&gt;=INDEX(TblTareas[Semana],6),L$7&lt;INDEX(TblTareas[Semana],6)+INDEX(TblTareas[Duracion],6)),INDEX(TblTareas[Horas],6)/INDEX(TblTareas[Duracion],6),""))</f>
      </c>
      <c r="M13" s="64" t="str">
        <f>IF($A13="","",IF(AND(INDEX(TblTareas[Activa],6)=1,M$7&gt;=INDEX(TblTareas[Semana],6),M$7&lt;INDEX(TblTareas[Semana],6)+INDEX(TblTareas[Duracion],6)),INDEX(TblTareas[Horas],6)/INDEX(TblTareas[Duracion],6),""))</f>
      </c>
      <c r="N13" s="64" t="str">
        <f>IF($A13="","",IF(AND(INDEX(TblTareas[Activa],6)=1,N$7&gt;=INDEX(TblTareas[Semana],6),N$7&lt;INDEX(TblTareas[Semana],6)+INDEX(TblTareas[Duracion],6)),INDEX(TblTareas[Horas],6)/INDEX(TblTareas[Duracion],6),""))</f>
      </c>
      <c r="O13" s="64" t="str">
        <f>IF($A13="","",IF(AND(INDEX(TblTareas[Activa],6)=1,O$7&gt;=INDEX(TblTareas[Semana],6),O$7&lt;INDEX(TblTareas[Semana],6)+INDEX(TblTareas[Duracion],6)),INDEX(TblTareas[Horas],6)/INDEX(TblTareas[Duracion],6),""))</f>
      </c>
      <c r="P13" s="64" t="str">
        <f>IF($A13="","",IF(AND(INDEX(TblTareas[Activa],6)=1,P$7&gt;=INDEX(TblTareas[Semana],6),P$7&lt;INDEX(TblTareas[Semana],6)+INDEX(TblTareas[Duracion],6)),INDEX(TblTareas[Horas],6)/INDEX(TblTareas[Duracion],6),""))</f>
      </c>
      <c r="Q13" s="64" t="str">
        <f>IF($A13="","",IF(AND(INDEX(TblTareas[Activa],6)=1,Q$7&gt;=INDEX(TblTareas[Semana],6),Q$7&lt;INDEX(TblTareas[Semana],6)+INDEX(TblTareas[Duracion],6)),INDEX(TblTareas[Horas],6)/INDEX(TblTareas[Duracion],6),""))</f>
      </c>
      <c r="R13" s="64" t="str">
        <f>IF($A13="","",IF(AND(INDEX(TblTareas[Activa],6)=1,R$7&gt;=INDEX(TblTareas[Semana],6),R$7&lt;INDEX(TblTareas[Semana],6)+INDEX(TblTareas[Duracion],6)),INDEX(TblTareas[Horas],6)/INDEX(TblTareas[Duracion],6),""))</f>
      </c>
      <c r="S13" s="64" t="str">
        <f>IF($A13="","",IF(AND(INDEX(TblTareas[Activa],6)=1,S$7&gt;=INDEX(TblTareas[Semana],6),S$7&lt;INDEX(TblTareas[Semana],6)+INDEX(TblTareas[Duracion],6)),INDEX(TblTareas[Horas],6)/INDEX(TblTareas[Duracion],6),""))</f>
      </c>
      <c r="T13" s="64" t="str">
        <f>IF($A13="","",IF(AND(INDEX(TblTareas[Activa],6)=1,T$7&gt;=INDEX(TblTareas[Semana],6),T$7&lt;INDEX(TblTareas[Semana],6)+INDEX(TblTareas[Duracion],6)),INDEX(TblTareas[Horas],6)/INDEX(TblTareas[Duracion],6),""))</f>
      </c>
    </row>
    <row r="14" ht="34" customHeight="1">
      <c r="A14" s="62" t="str">
        <f>IFERROR(IF(INDEX(TblTareas[ID],7)="","",INDEX(TblTareas[ID],7)),"")</f>
        <v>DIS-05</v>
      </c>
      <c r="B14" s="62" t="str">
        <f>IF($A14="","",IFERROR(INDEX(TblTareas[Responsable],7),""))</f>
        <v>Amin</v>
      </c>
      <c r="C14" s="62" t="str">
        <f>IF($A14="","",IFERROR(INDEX(TblTareas[Trabajo],7),""))</f>
        <v>Definir ciclo y rutas enemigas</v>
      </c>
      <c r="D14" s="62" t="str">
        <f>IF($A14="","",IFERROR(INDEX(TblTareas[Estado],7),""))</f>
        <v>Por hacer</v>
      </c>
      <c r="E14" s="64" t="str">
        <f>IF($A14="","",IF(AND(INDEX(TblTareas[Activa],7)=1,E$7&gt;=INDEX(TblTareas[Semana],7),E$7&lt;INDEX(TblTareas[Semana],7)+INDEX(TblTareas[Duracion],7)),INDEX(TblTareas[Horas],7)/INDEX(TblTareas[Duracion],7),""))</f>
      </c>
      <c r="F14" s="64" t="str">
        <f>IF($A14="","",IF(AND(INDEX(TblTareas[Activa],7)=1,F$7&gt;=INDEX(TblTareas[Semana],7),F$7&lt;INDEX(TblTareas[Semana],7)+INDEX(TblTareas[Duracion],7)),INDEX(TblTareas[Horas],7)/INDEX(TblTareas[Duracion],7),""))</f>
      </c>
      <c r="G14" s="64" t="n">
        <f>IF($A14="","",IF(AND(INDEX(TblTareas[Activa],7)=1,G$7&gt;=INDEX(TblTareas[Semana],7),G$7&lt;INDEX(TblTareas[Semana],7)+INDEX(TblTareas[Duracion],7)),INDEX(TblTareas[Horas],7)/INDEX(TblTareas[Duracion],7),""))</f>
        <v>3</v>
      </c>
      <c r="H14" s="64" t="n">
        <f>IF($A14="","",IF(AND(INDEX(TblTareas[Activa],7)=1,H$7&gt;=INDEX(TblTareas[Semana],7),H$7&lt;INDEX(TblTareas[Semana],7)+INDEX(TblTareas[Duracion],7)),INDEX(TblTareas[Horas],7)/INDEX(TblTareas[Duracion],7),""))</f>
        <v>3</v>
      </c>
      <c r="I14" s="64" t="str">
        <f>IF($A14="","",IF(AND(INDEX(TblTareas[Activa],7)=1,I$7&gt;=INDEX(TblTareas[Semana],7),I$7&lt;INDEX(TblTareas[Semana],7)+INDEX(TblTareas[Duracion],7)),INDEX(TblTareas[Horas],7)/INDEX(TblTareas[Duracion],7),""))</f>
      </c>
      <c r="J14" s="64" t="str">
        <f>IF($A14="","",IF(AND(INDEX(TblTareas[Activa],7)=1,J$7&gt;=INDEX(TblTareas[Semana],7),J$7&lt;INDEX(TblTareas[Semana],7)+INDEX(TblTareas[Duracion],7)),INDEX(TblTareas[Horas],7)/INDEX(TblTareas[Duracion],7),""))</f>
      </c>
      <c r="K14" s="64" t="str">
        <f>IF($A14="","",IF(AND(INDEX(TblTareas[Activa],7)=1,K$7&gt;=INDEX(TblTareas[Semana],7),K$7&lt;INDEX(TblTareas[Semana],7)+INDEX(TblTareas[Duracion],7)),INDEX(TblTareas[Horas],7)/INDEX(TblTareas[Duracion],7),""))</f>
      </c>
      <c r="L14" s="64" t="str">
        <f>IF($A14="","",IF(AND(INDEX(TblTareas[Activa],7)=1,L$7&gt;=INDEX(TblTareas[Semana],7),L$7&lt;INDEX(TblTareas[Semana],7)+INDEX(TblTareas[Duracion],7)),INDEX(TblTareas[Horas],7)/INDEX(TblTareas[Duracion],7),""))</f>
      </c>
      <c r="M14" s="64" t="str">
        <f>IF($A14="","",IF(AND(INDEX(TblTareas[Activa],7)=1,M$7&gt;=INDEX(TblTareas[Semana],7),M$7&lt;INDEX(TblTareas[Semana],7)+INDEX(TblTareas[Duracion],7)),INDEX(TblTareas[Horas],7)/INDEX(TblTareas[Duracion],7),""))</f>
      </c>
      <c r="N14" s="64" t="str">
        <f>IF($A14="","",IF(AND(INDEX(TblTareas[Activa],7)=1,N$7&gt;=INDEX(TblTareas[Semana],7),N$7&lt;INDEX(TblTareas[Semana],7)+INDEX(TblTareas[Duracion],7)),INDEX(TblTareas[Horas],7)/INDEX(TblTareas[Duracion],7),""))</f>
      </c>
      <c r="O14" s="64" t="str">
        <f>IF($A14="","",IF(AND(INDEX(TblTareas[Activa],7)=1,O$7&gt;=INDEX(TblTareas[Semana],7),O$7&lt;INDEX(TblTareas[Semana],7)+INDEX(TblTareas[Duracion],7)),INDEX(TblTareas[Horas],7)/INDEX(TblTareas[Duracion],7),""))</f>
      </c>
      <c r="P14" s="64" t="str">
        <f>IF($A14="","",IF(AND(INDEX(TblTareas[Activa],7)=1,P$7&gt;=INDEX(TblTareas[Semana],7),P$7&lt;INDEX(TblTareas[Semana],7)+INDEX(TblTareas[Duracion],7)),INDEX(TblTareas[Horas],7)/INDEX(TblTareas[Duracion],7),""))</f>
      </c>
      <c r="Q14" s="64" t="str">
        <f>IF($A14="","",IF(AND(INDEX(TblTareas[Activa],7)=1,Q$7&gt;=INDEX(TblTareas[Semana],7),Q$7&lt;INDEX(TblTareas[Semana],7)+INDEX(TblTareas[Duracion],7)),INDEX(TblTareas[Horas],7)/INDEX(TblTareas[Duracion],7),""))</f>
      </c>
      <c r="R14" s="64" t="str">
        <f>IF($A14="","",IF(AND(INDEX(TblTareas[Activa],7)=1,R$7&gt;=INDEX(TblTareas[Semana],7),R$7&lt;INDEX(TblTareas[Semana],7)+INDEX(TblTareas[Duracion],7)),INDEX(TblTareas[Horas],7)/INDEX(TblTareas[Duracion],7),""))</f>
      </c>
      <c r="S14" s="64" t="str">
        <f>IF($A14="","",IF(AND(INDEX(TblTareas[Activa],7)=1,S$7&gt;=INDEX(TblTareas[Semana],7),S$7&lt;INDEX(TblTareas[Semana],7)+INDEX(TblTareas[Duracion],7)),INDEX(TblTareas[Horas],7)/INDEX(TblTareas[Duracion],7),""))</f>
      </c>
      <c r="T14" s="64" t="str">
        <f>IF($A14="","",IF(AND(INDEX(TblTareas[Activa],7)=1,T$7&gt;=INDEX(TblTareas[Semana],7),T$7&lt;INDEX(TblTareas[Semana],7)+INDEX(TblTareas[Duracion],7)),INDEX(TblTareas[Horas],7)/INDEX(TblTareas[Duracion],7),""))</f>
      </c>
    </row>
    <row r="15" ht="34" customHeight="1">
      <c r="A15" s="62" t="str">
        <f>IFERROR(IF(INDEX(TblTareas[ID],8)="","",INDEX(TblTareas[ID],8)),"")</f>
        <v>DIS-06</v>
      </c>
      <c r="B15" s="62" t="str">
        <f>IF($A15="","",IFERROR(INDEX(TblTareas[Responsable],8),""))</f>
        <v>Amin</v>
      </c>
      <c r="C15" s="62" t="str">
        <f>IF($A15="","",IFERROR(INDEX(TblTareas[Trabajo],8),""))</f>
        <v>Especificar colisiones y prioridades</v>
      </c>
      <c r="D15" s="62" t="str">
        <f>IF($A15="","",IFERROR(INDEX(TblTareas[Estado],8),""))</f>
        <v>Por hacer</v>
      </c>
      <c r="E15" s="64" t="str">
        <f>IF($A15="","",IF(AND(INDEX(TblTareas[Activa],8)=1,E$7&gt;=INDEX(TblTareas[Semana],8),E$7&lt;INDEX(TblTareas[Semana],8)+INDEX(TblTareas[Duracion],8)),INDEX(TblTareas[Horas],8)/INDEX(TblTareas[Duracion],8),""))</f>
      </c>
      <c r="F15" s="64" t="str">
        <f>IF($A15="","",IF(AND(INDEX(TblTareas[Activa],8)=1,F$7&gt;=INDEX(TblTareas[Semana],8),F$7&lt;INDEX(TblTareas[Semana],8)+INDEX(TblTareas[Duracion],8)),INDEX(TblTareas[Horas],8)/INDEX(TblTareas[Duracion],8),""))</f>
      </c>
      <c r="G15" s="64" t="n">
        <f>IF($A15="","",IF(AND(INDEX(TblTareas[Activa],8)=1,G$7&gt;=INDEX(TblTareas[Semana],8),G$7&lt;INDEX(TblTareas[Semana],8)+INDEX(TblTareas[Duracion],8)),INDEX(TblTareas[Horas],8)/INDEX(TblTareas[Duracion],8),""))</f>
        <v>3</v>
      </c>
      <c r="H15" s="64" t="n">
        <f>IF($A15="","",IF(AND(INDEX(TblTareas[Activa],8)=1,H$7&gt;=INDEX(TblTareas[Semana],8),H$7&lt;INDEX(TblTareas[Semana],8)+INDEX(TblTareas[Duracion],8)),INDEX(TblTareas[Horas],8)/INDEX(TblTareas[Duracion],8),""))</f>
        <v>3</v>
      </c>
      <c r="I15" s="64" t="str">
        <f>IF($A15="","",IF(AND(INDEX(TblTareas[Activa],8)=1,I$7&gt;=INDEX(TblTareas[Semana],8),I$7&lt;INDEX(TblTareas[Semana],8)+INDEX(TblTareas[Duracion],8)),INDEX(TblTareas[Horas],8)/INDEX(TblTareas[Duracion],8),""))</f>
      </c>
      <c r="J15" s="64" t="str">
        <f>IF($A15="","",IF(AND(INDEX(TblTareas[Activa],8)=1,J$7&gt;=INDEX(TblTareas[Semana],8),J$7&lt;INDEX(TblTareas[Semana],8)+INDEX(TblTareas[Duracion],8)),INDEX(TblTareas[Horas],8)/INDEX(TblTareas[Duracion],8),""))</f>
      </c>
      <c r="K15" s="64" t="str">
        <f>IF($A15="","",IF(AND(INDEX(TblTareas[Activa],8)=1,K$7&gt;=INDEX(TblTareas[Semana],8),K$7&lt;INDEX(TblTareas[Semana],8)+INDEX(TblTareas[Duracion],8)),INDEX(TblTareas[Horas],8)/INDEX(TblTareas[Duracion],8),""))</f>
      </c>
      <c r="L15" s="64" t="str">
        <f>IF($A15="","",IF(AND(INDEX(TblTareas[Activa],8)=1,L$7&gt;=INDEX(TblTareas[Semana],8),L$7&lt;INDEX(TblTareas[Semana],8)+INDEX(TblTareas[Duracion],8)),INDEX(TblTareas[Horas],8)/INDEX(TblTareas[Duracion],8),""))</f>
      </c>
      <c r="M15" s="64" t="str">
        <f>IF($A15="","",IF(AND(INDEX(TblTareas[Activa],8)=1,M$7&gt;=INDEX(TblTareas[Semana],8),M$7&lt;INDEX(TblTareas[Semana],8)+INDEX(TblTareas[Duracion],8)),INDEX(TblTareas[Horas],8)/INDEX(TblTareas[Duracion],8),""))</f>
      </c>
      <c r="N15" s="64" t="str">
        <f>IF($A15="","",IF(AND(INDEX(TblTareas[Activa],8)=1,N$7&gt;=INDEX(TblTareas[Semana],8),N$7&lt;INDEX(TblTareas[Semana],8)+INDEX(TblTareas[Duracion],8)),INDEX(TblTareas[Horas],8)/INDEX(TblTareas[Duracion],8),""))</f>
      </c>
      <c r="O15" s="64" t="str">
        <f>IF($A15="","",IF(AND(INDEX(TblTareas[Activa],8)=1,O$7&gt;=INDEX(TblTareas[Semana],8),O$7&lt;INDEX(TblTareas[Semana],8)+INDEX(TblTareas[Duracion],8)),INDEX(TblTareas[Horas],8)/INDEX(TblTareas[Duracion],8),""))</f>
      </c>
      <c r="P15" s="64" t="str">
        <f>IF($A15="","",IF(AND(INDEX(TblTareas[Activa],8)=1,P$7&gt;=INDEX(TblTareas[Semana],8),P$7&lt;INDEX(TblTareas[Semana],8)+INDEX(TblTareas[Duracion],8)),INDEX(TblTareas[Horas],8)/INDEX(TblTareas[Duracion],8),""))</f>
      </c>
      <c r="Q15" s="64" t="str">
        <f>IF($A15="","",IF(AND(INDEX(TblTareas[Activa],8)=1,Q$7&gt;=INDEX(TblTareas[Semana],8),Q$7&lt;INDEX(TblTareas[Semana],8)+INDEX(TblTareas[Duracion],8)),INDEX(TblTareas[Horas],8)/INDEX(TblTareas[Duracion],8),""))</f>
      </c>
      <c r="R15" s="64" t="str">
        <f>IF($A15="","",IF(AND(INDEX(TblTareas[Activa],8)=1,R$7&gt;=INDEX(TblTareas[Semana],8),R$7&lt;INDEX(TblTareas[Semana],8)+INDEX(TblTareas[Duracion],8)),INDEX(TblTareas[Horas],8)/INDEX(TblTareas[Duracion],8),""))</f>
      </c>
      <c r="S15" s="64" t="str">
        <f>IF($A15="","",IF(AND(INDEX(TblTareas[Activa],8)=1,S$7&gt;=INDEX(TblTareas[Semana],8),S$7&lt;INDEX(TblTareas[Semana],8)+INDEX(TblTareas[Duracion],8)),INDEX(TblTareas[Horas],8)/INDEX(TblTareas[Duracion],8),""))</f>
      </c>
      <c r="T15" s="64" t="str">
        <f>IF($A15="","",IF(AND(INDEX(TblTareas[Activa],8)=1,T$7&gt;=INDEX(TblTareas[Semana],8),T$7&lt;INDEX(TblTareas[Semana],8)+INDEX(TblTareas[Duracion],8)),INDEX(TblTareas[Horas],8)/INDEX(TblTareas[Duracion],8),""))</f>
      </c>
    </row>
    <row r="16" ht="34" customHeight="1">
      <c r="A16" s="62" t="str">
        <f>IFERROR(IF(INDEX(TblTareas[ID],9)="","",INDEX(TblTareas[ID],9)),"")</f>
        <v>DIS-07</v>
      </c>
      <c r="B16" s="62" t="str">
        <f>IF($A16="","",IFERROR(INDEX(TblTareas[Responsable],9),""))</f>
        <v>Amin</v>
      </c>
      <c r="C16" s="62" t="str">
        <f>IF($A16="","",IFERROR(INDEX(TblTareas[Trabajo],9),""))</f>
        <v>Configurar oleadas y jefe</v>
      </c>
      <c r="D16" s="62" t="str">
        <f>IF($A16="","",IFERROR(INDEX(TblTareas[Estado],9),""))</f>
        <v>Por hacer</v>
      </c>
      <c r="E16" s="64" t="str">
        <f>IF($A16="","",IF(AND(INDEX(TblTareas[Activa],9)=1,E$7&gt;=INDEX(TblTareas[Semana],9),E$7&lt;INDEX(TblTareas[Semana],9)+INDEX(TblTareas[Duracion],9)),INDEX(TblTareas[Horas],9)/INDEX(TblTareas[Duracion],9),""))</f>
      </c>
      <c r="F16" s="64" t="str">
        <f>IF($A16="","",IF(AND(INDEX(TblTareas[Activa],9)=1,F$7&gt;=INDEX(TblTareas[Semana],9),F$7&lt;INDEX(TblTareas[Semana],9)+INDEX(TblTareas[Duracion],9)),INDEX(TblTareas[Horas],9)/INDEX(TblTareas[Duracion],9),""))</f>
      </c>
      <c r="G16" s="64" t="str">
        <f>IF($A16="","",IF(AND(INDEX(TblTareas[Activa],9)=1,G$7&gt;=INDEX(TblTareas[Semana],9),G$7&lt;INDEX(TblTareas[Semana],9)+INDEX(TblTareas[Duracion],9)),INDEX(TblTareas[Horas],9)/INDEX(TblTareas[Duracion],9),""))</f>
      </c>
      <c r="H16" s="64" t="n">
        <f>IF($A16="","",IF(AND(INDEX(TblTareas[Activa],9)=1,H$7&gt;=INDEX(TblTareas[Semana],9),H$7&lt;INDEX(TblTareas[Semana],9)+INDEX(TblTareas[Duracion],9)),INDEX(TblTareas[Horas],9)/INDEX(TblTareas[Duracion],9),""))</f>
        <v>5</v>
      </c>
      <c r="I16" s="64" t="str">
        <f>IF($A16="","",IF(AND(INDEX(TblTareas[Activa],9)=1,I$7&gt;=INDEX(TblTareas[Semana],9),I$7&lt;INDEX(TblTareas[Semana],9)+INDEX(TblTareas[Duracion],9)),INDEX(TblTareas[Horas],9)/INDEX(TblTareas[Duracion],9),""))</f>
      </c>
      <c r="J16" s="64" t="str">
        <f>IF($A16="","",IF(AND(INDEX(TblTareas[Activa],9)=1,J$7&gt;=INDEX(TblTareas[Semana],9),J$7&lt;INDEX(TblTareas[Semana],9)+INDEX(TblTareas[Duracion],9)),INDEX(TblTareas[Horas],9)/INDEX(TblTareas[Duracion],9),""))</f>
      </c>
      <c r="K16" s="64" t="str">
        <f>IF($A16="","",IF(AND(INDEX(TblTareas[Activa],9)=1,K$7&gt;=INDEX(TblTareas[Semana],9),K$7&lt;INDEX(TblTareas[Semana],9)+INDEX(TblTareas[Duracion],9)),INDEX(TblTareas[Horas],9)/INDEX(TblTareas[Duracion],9),""))</f>
      </c>
      <c r="L16" s="64" t="str">
        <f>IF($A16="","",IF(AND(INDEX(TblTareas[Activa],9)=1,L$7&gt;=INDEX(TblTareas[Semana],9),L$7&lt;INDEX(TblTareas[Semana],9)+INDEX(TblTareas[Duracion],9)),INDEX(TblTareas[Horas],9)/INDEX(TblTareas[Duracion],9),""))</f>
      </c>
      <c r="M16" s="64" t="str">
        <f>IF($A16="","",IF(AND(INDEX(TblTareas[Activa],9)=1,M$7&gt;=INDEX(TblTareas[Semana],9),M$7&lt;INDEX(TblTareas[Semana],9)+INDEX(TblTareas[Duracion],9)),INDEX(TblTareas[Horas],9)/INDEX(TblTareas[Duracion],9),""))</f>
      </c>
      <c r="N16" s="64" t="str">
        <f>IF($A16="","",IF(AND(INDEX(TblTareas[Activa],9)=1,N$7&gt;=INDEX(TblTareas[Semana],9),N$7&lt;INDEX(TblTareas[Semana],9)+INDEX(TblTareas[Duracion],9)),INDEX(TblTareas[Horas],9)/INDEX(TblTareas[Duracion],9),""))</f>
      </c>
      <c r="O16" s="64" t="str">
        <f>IF($A16="","",IF(AND(INDEX(TblTareas[Activa],9)=1,O$7&gt;=INDEX(TblTareas[Semana],9),O$7&lt;INDEX(TblTareas[Semana],9)+INDEX(TblTareas[Duracion],9)),INDEX(TblTareas[Horas],9)/INDEX(TblTareas[Duracion],9),""))</f>
      </c>
      <c r="P16" s="64" t="str">
        <f>IF($A16="","",IF(AND(INDEX(TblTareas[Activa],9)=1,P$7&gt;=INDEX(TblTareas[Semana],9),P$7&lt;INDEX(TblTareas[Semana],9)+INDEX(TblTareas[Duracion],9)),INDEX(TblTareas[Horas],9)/INDEX(TblTareas[Duracion],9),""))</f>
      </c>
      <c r="Q16" s="64" t="str">
        <f>IF($A16="","",IF(AND(INDEX(TblTareas[Activa],9)=1,Q$7&gt;=INDEX(TblTareas[Semana],9),Q$7&lt;INDEX(TblTareas[Semana],9)+INDEX(TblTareas[Duracion],9)),INDEX(TblTareas[Horas],9)/INDEX(TblTareas[Duracion],9),""))</f>
      </c>
      <c r="R16" s="64" t="str">
        <f>IF($A16="","",IF(AND(INDEX(TblTareas[Activa],9)=1,R$7&gt;=INDEX(TblTareas[Semana],9),R$7&lt;INDEX(TblTareas[Semana],9)+INDEX(TblTareas[Duracion],9)),INDEX(TblTareas[Horas],9)/INDEX(TblTareas[Duracion],9),""))</f>
      </c>
      <c r="S16" s="64" t="str">
        <f>IF($A16="","",IF(AND(INDEX(TblTareas[Activa],9)=1,S$7&gt;=INDEX(TblTareas[Semana],9),S$7&lt;INDEX(TblTareas[Semana],9)+INDEX(TblTareas[Duracion],9)),INDEX(TblTareas[Horas],9)/INDEX(TblTareas[Duracion],9),""))</f>
      </c>
      <c r="T16" s="64" t="str">
        <f>IF($A16="","",IF(AND(INDEX(TblTareas[Activa],9)=1,T$7&gt;=INDEX(TblTareas[Semana],9),T$7&lt;INDEX(TblTareas[Semana],9)+INDEX(TblTareas[Duracion],9)),INDEX(TblTareas[Horas],9)/INDEX(TblTareas[Duracion],9),""))</f>
      </c>
    </row>
    <row r="17" ht="34" customHeight="1">
      <c r="A17" s="62" t="str">
        <f>IFERROR(IF(INDEX(TblTareas[ID],10)="","",INDEX(TblTareas[ID],10)),"")</f>
        <v>DIS-08</v>
      </c>
      <c r="B17" s="62" t="str">
        <f>IF($A17="","",IFERROR(INDEX(TblTareas[Responsable],10),""))</f>
        <v>Amin</v>
      </c>
      <c r="C17" s="62" t="str">
        <f>IF($A17="","",IFERROR(INDEX(TblTareas[Trabajo],10),""))</f>
        <v>Especificar profundidad jugable</v>
      </c>
      <c r="D17" s="62" t="str">
        <f>IF($A17="","",IFERROR(INDEX(TblTareas[Estado],10),""))</f>
        <v>Por hacer</v>
      </c>
      <c r="E17" s="64" t="str">
        <f>IF($A17="","",IF(AND(INDEX(TblTareas[Activa],10)=1,E$7&gt;=INDEX(TblTareas[Semana],10),E$7&lt;INDEX(TblTareas[Semana],10)+INDEX(TblTareas[Duracion],10)),INDEX(TblTareas[Horas],10)/INDEX(TblTareas[Duracion],10),""))</f>
      </c>
      <c r="F17" s="64" t="str">
        <f>IF($A17="","",IF(AND(INDEX(TblTareas[Activa],10)=1,F$7&gt;=INDEX(TblTareas[Semana],10),F$7&lt;INDEX(TblTareas[Semana],10)+INDEX(TblTareas[Duracion],10)),INDEX(TblTareas[Horas],10)/INDEX(TblTareas[Duracion],10),""))</f>
      </c>
      <c r="G17" s="64" t="str">
        <f>IF($A17="","",IF(AND(INDEX(TblTareas[Activa],10)=1,G$7&gt;=INDEX(TblTareas[Semana],10),G$7&lt;INDEX(TblTareas[Semana],10)+INDEX(TblTareas[Duracion],10)),INDEX(TblTareas[Horas],10)/INDEX(TblTareas[Duracion],10),""))</f>
      </c>
      <c r="H17" s="64" t="str">
        <f>IF($A17="","",IF(AND(INDEX(TblTareas[Activa],10)=1,H$7&gt;=INDEX(TblTareas[Semana],10),H$7&lt;INDEX(TblTareas[Semana],10)+INDEX(TblTareas[Duracion],10)),INDEX(TblTareas[Horas],10)/INDEX(TblTareas[Duracion],10),""))</f>
      </c>
      <c r="I17" s="64" t="n">
        <f>IF($A17="","",IF(AND(INDEX(TblTareas[Activa],10)=1,I$7&gt;=INDEX(TblTareas[Semana],10),I$7&lt;INDEX(TblTareas[Semana],10)+INDEX(TblTareas[Duracion],10)),INDEX(TblTareas[Horas],10)/INDEX(TblTareas[Duracion],10),""))</f>
        <v>6</v>
      </c>
      <c r="J17" s="64" t="str">
        <f>IF($A17="","",IF(AND(INDEX(TblTareas[Activa],10)=1,J$7&gt;=INDEX(TblTareas[Semana],10),J$7&lt;INDEX(TblTareas[Semana],10)+INDEX(TblTareas[Duracion],10)),INDEX(TblTareas[Horas],10)/INDEX(TblTareas[Duracion],10),""))</f>
      </c>
      <c r="K17" s="64" t="str">
        <f>IF($A17="","",IF(AND(INDEX(TblTareas[Activa],10)=1,K$7&gt;=INDEX(TblTareas[Semana],10),K$7&lt;INDEX(TblTareas[Semana],10)+INDEX(TblTareas[Duracion],10)),INDEX(TblTareas[Horas],10)/INDEX(TblTareas[Duracion],10),""))</f>
      </c>
      <c r="L17" s="64" t="str">
        <f>IF($A17="","",IF(AND(INDEX(TblTareas[Activa],10)=1,L$7&gt;=INDEX(TblTareas[Semana],10),L$7&lt;INDEX(TblTareas[Semana],10)+INDEX(TblTareas[Duracion],10)),INDEX(TblTareas[Horas],10)/INDEX(TblTareas[Duracion],10),""))</f>
      </c>
      <c r="M17" s="64" t="str">
        <f>IF($A17="","",IF(AND(INDEX(TblTareas[Activa],10)=1,M$7&gt;=INDEX(TblTareas[Semana],10),M$7&lt;INDEX(TblTareas[Semana],10)+INDEX(TblTareas[Duracion],10)),INDEX(TblTareas[Horas],10)/INDEX(TblTareas[Duracion],10),""))</f>
      </c>
      <c r="N17" s="64" t="str">
        <f>IF($A17="","",IF(AND(INDEX(TblTareas[Activa],10)=1,N$7&gt;=INDEX(TblTareas[Semana],10),N$7&lt;INDEX(TblTareas[Semana],10)+INDEX(TblTareas[Duracion],10)),INDEX(TblTareas[Horas],10)/INDEX(TblTareas[Duracion],10),""))</f>
      </c>
      <c r="O17" s="64" t="str">
        <f>IF($A17="","",IF(AND(INDEX(TblTareas[Activa],10)=1,O$7&gt;=INDEX(TblTareas[Semana],10),O$7&lt;INDEX(TblTareas[Semana],10)+INDEX(TblTareas[Duracion],10)),INDEX(TblTareas[Horas],10)/INDEX(TblTareas[Duracion],10),""))</f>
      </c>
      <c r="P17" s="64" t="str">
        <f>IF($A17="","",IF(AND(INDEX(TblTareas[Activa],10)=1,P$7&gt;=INDEX(TblTareas[Semana],10),P$7&lt;INDEX(TblTareas[Semana],10)+INDEX(TblTareas[Duracion],10)),INDEX(TblTareas[Horas],10)/INDEX(TblTareas[Duracion],10),""))</f>
      </c>
      <c r="Q17" s="64" t="str">
        <f>IF($A17="","",IF(AND(INDEX(TblTareas[Activa],10)=1,Q$7&gt;=INDEX(TblTareas[Semana],10),Q$7&lt;INDEX(TblTareas[Semana],10)+INDEX(TblTareas[Duracion],10)),INDEX(TblTareas[Horas],10)/INDEX(TblTareas[Duracion],10),""))</f>
      </c>
      <c r="R17" s="64" t="str">
        <f>IF($A17="","",IF(AND(INDEX(TblTareas[Activa],10)=1,R$7&gt;=INDEX(TblTareas[Semana],10),R$7&lt;INDEX(TblTareas[Semana],10)+INDEX(TblTareas[Duracion],10)),INDEX(TblTareas[Horas],10)/INDEX(TblTareas[Duracion],10),""))</f>
      </c>
      <c r="S17" s="64" t="str">
        <f>IF($A17="","",IF(AND(INDEX(TblTareas[Activa],10)=1,S$7&gt;=INDEX(TblTareas[Semana],10),S$7&lt;INDEX(TblTareas[Semana],10)+INDEX(TblTareas[Duracion],10)),INDEX(TblTareas[Horas],10)/INDEX(TblTareas[Duracion],10),""))</f>
      </c>
      <c r="T17" s="64" t="str">
        <f>IF($A17="","",IF(AND(INDEX(TblTareas[Activa],10)=1,T$7&gt;=INDEX(TblTareas[Semana],10),T$7&lt;INDEX(TblTareas[Semana],10)+INDEX(TblTareas[Duracion],10)),INDEX(TblTareas[Horas],10)/INDEX(TblTareas[Duracion],10),""))</f>
      </c>
    </row>
    <row r="18" ht="34" customHeight="1">
      <c r="A18" s="62" t="str">
        <f>IFERROR(IF(INDEX(TblTareas[ID],11)="","",INDEX(TblTareas[ID],11)),"")</f>
        <v>DIS-09</v>
      </c>
      <c r="B18" s="62" t="str">
        <f>IF($A18="","",IFERROR(INDEX(TblTareas[Responsable],11),""))</f>
        <v>Amin</v>
      </c>
      <c r="C18" s="62" t="str">
        <f>IF($A18="","",IFERROR(INDEX(TblTareas[Trabajo],11),""))</f>
        <v>Revisar diseño con Iker y Ferran</v>
      </c>
      <c r="D18" s="62" t="str">
        <f>IF($A18="","",IFERROR(INDEX(TblTareas[Estado],11),""))</f>
        <v>Por hacer</v>
      </c>
      <c r="E18" s="64" t="str">
        <f>IF($A18="","",IF(AND(INDEX(TblTareas[Activa],11)=1,E$7&gt;=INDEX(TblTareas[Semana],11),E$7&lt;INDEX(TblTareas[Semana],11)+INDEX(TblTareas[Duracion],11)),INDEX(TblTareas[Horas],11)/INDEX(TblTareas[Duracion],11),""))</f>
      </c>
      <c r="F18" s="64" t="str">
        <f>IF($A18="","",IF(AND(INDEX(TblTareas[Activa],11)=1,F$7&gt;=INDEX(TblTareas[Semana],11),F$7&lt;INDEX(TblTareas[Semana],11)+INDEX(TblTareas[Duracion],11)),INDEX(TblTareas[Horas],11)/INDEX(TblTareas[Duracion],11),""))</f>
      </c>
      <c r="G18" s="64" t="str">
        <f>IF($A18="","",IF(AND(INDEX(TblTareas[Activa],11)=1,G$7&gt;=INDEX(TblTareas[Semana],11),G$7&lt;INDEX(TblTareas[Semana],11)+INDEX(TblTareas[Duracion],11)),INDEX(TblTareas[Horas],11)/INDEX(TblTareas[Duracion],11),""))</f>
      </c>
      <c r="H18" s="64" t="str">
        <f>IF($A18="","",IF(AND(INDEX(TblTareas[Activa],11)=1,H$7&gt;=INDEX(TblTareas[Semana],11),H$7&lt;INDEX(TblTareas[Semana],11)+INDEX(TblTareas[Duracion],11)),INDEX(TblTareas[Horas],11)/INDEX(TblTareas[Duracion],11),""))</f>
      </c>
      <c r="I18" s="64" t="n">
        <f>IF($A18="","",IF(AND(INDEX(TblTareas[Activa],11)=1,I$7&gt;=INDEX(TblTareas[Semana],11),I$7&lt;INDEX(TblTareas[Semana],11)+INDEX(TblTareas[Duracion],11)),INDEX(TblTareas[Horas],11)/INDEX(TblTareas[Duracion],11),""))</f>
        <v>4</v>
      </c>
      <c r="J18" s="64" t="str">
        <f>IF($A18="","",IF(AND(INDEX(TblTareas[Activa],11)=1,J$7&gt;=INDEX(TblTareas[Semana],11),J$7&lt;INDEX(TblTareas[Semana],11)+INDEX(TblTareas[Duracion],11)),INDEX(TblTareas[Horas],11)/INDEX(TblTareas[Duracion],11),""))</f>
      </c>
      <c r="K18" s="64" t="str">
        <f>IF($A18="","",IF(AND(INDEX(TblTareas[Activa],11)=1,K$7&gt;=INDEX(TblTareas[Semana],11),K$7&lt;INDEX(TblTareas[Semana],11)+INDEX(TblTareas[Duracion],11)),INDEX(TblTareas[Horas],11)/INDEX(TblTareas[Duracion],11),""))</f>
      </c>
      <c r="L18" s="64" t="str">
        <f>IF($A18="","",IF(AND(INDEX(TblTareas[Activa],11)=1,L$7&gt;=INDEX(TblTareas[Semana],11),L$7&lt;INDEX(TblTareas[Semana],11)+INDEX(TblTareas[Duracion],11)),INDEX(TblTareas[Horas],11)/INDEX(TblTareas[Duracion],11),""))</f>
      </c>
      <c r="M18" s="64" t="str">
        <f>IF($A18="","",IF(AND(INDEX(TblTareas[Activa],11)=1,M$7&gt;=INDEX(TblTareas[Semana],11),M$7&lt;INDEX(TblTareas[Semana],11)+INDEX(TblTareas[Duracion],11)),INDEX(TblTareas[Horas],11)/INDEX(TblTareas[Duracion],11),""))</f>
      </c>
      <c r="N18" s="64" t="str">
        <f>IF($A18="","",IF(AND(INDEX(TblTareas[Activa],11)=1,N$7&gt;=INDEX(TblTareas[Semana],11),N$7&lt;INDEX(TblTareas[Semana],11)+INDEX(TblTareas[Duracion],11)),INDEX(TblTareas[Horas],11)/INDEX(TblTareas[Duracion],11),""))</f>
      </c>
      <c r="O18" s="64" t="str">
        <f>IF($A18="","",IF(AND(INDEX(TblTareas[Activa],11)=1,O$7&gt;=INDEX(TblTareas[Semana],11),O$7&lt;INDEX(TblTareas[Semana],11)+INDEX(TblTareas[Duracion],11)),INDEX(TblTareas[Horas],11)/INDEX(TblTareas[Duracion],11),""))</f>
      </c>
      <c r="P18" s="64" t="str">
        <f>IF($A18="","",IF(AND(INDEX(TblTareas[Activa],11)=1,P$7&gt;=INDEX(TblTareas[Semana],11),P$7&lt;INDEX(TblTareas[Semana],11)+INDEX(TblTareas[Duracion],11)),INDEX(TblTareas[Horas],11)/INDEX(TblTareas[Duracion],11),""))</f>
      </c>
      <c r="Q18" s="64" t="str">
        <f>IF($A18="","",IF(AND(INDEX(TblTareas[Activa],11)=1,Q$7&gt;=INDEX(TblTareas[Semana],11),Q$7&lt;INDEX(TblTareas[Semana],11)+INDEX(TblTareas[Duracion],11)),INDEX(TblTareas[Horas],11)/INDEX(TblTareas[Duracion],11),""))</f>
      </c>
      <c r="R18" s="64" t="str">
        <f>IF($A18="","",IF(AND(INDEX(TblTareas[Activa],11)=1,R$7&gt;=INDEX(TblTareas[Semana],11),R$7&lt;INDEX(TblTareas[Semana],11)+INDEX(TblTareas[Duracion],11)),INDEX(TblTareas[Horas],11)/INDEX(TblTareas[Duracion],11),""))</f>
      </c>
      <c r="S18" s="64" t="str">
        <f>IF($A18="","",IF(AND(INDEX(TblTareas[Activa],11)=1,S$7&gt;=INDEX(TblTareas[Semana],11),S$7&lt;INDEX(TblTareas[Semana],11)+INDEX(TblTareas[Duracion],11)),INDEX(TblTareas[Horas],11)/INDEX(TblTareas[Duracion],11),""))</f>
      </c>
      <c r="T18" s="64" t="str">
        <f>IF($A18="","",IF(AND(INDEX(TblTareas[Activa],11)=1,T$7&gt;=INDEX(TblTareas[Semana],11),T$7&lt;INDEX(TblTareas[Semana],11)+INDEX(TblTareas[Duracion],11)),INDEX(TblTareas[Horas],11)/INDEX(TblTareas[Duracion],11),""))</f>
      </c>
    </row>
    <row r="19" ht="34" customHeight="1">
      <c r="A19" s="62" t="str">
        <f>IFERROR(IF(INDEX(TblTareas[ID],12)="","",INDEX(TblTareas[ID],12)),"")</f>
        <v>DIS-10</v>
      </c>
      <c r="B19" s="62" t="str">
        <f>IF($A19="","",IFERROR(INDEX(TblTareas[Responsable],12),""))</f>
        <v>Amin</v>
      </c>
      <c r="C19" s="62" t="str">
        <f>IF($A19="","",IFERROR(INDEX(TblTareas[Trabajo],12),""))</f>
        <v>Mantener decisiones y cambios</v>
      </c>
      <c r="D19" s="62" t="str">
        <f>IF($A19="","",IFERROR(INDEX(TblTareas[Estado],12),""))</f>
        <v>Por hacer</v>
      </c>
      <c r="E19" s="64" t="str">
        <f>IF($A19="","",IF(AND(INDEX(TblTareas[Activa],12)=1,E$7&gt;=INDEX(TblTareas[Semana],12),E$7&lt;INDEX(TblTareas[Semana],12)+INDEX(TblTareas[Duracion],12)),INDEX(TblTareas[Horas],12)/INDEX(TblTareas[Duracion],12),""))</f>
      </c>
      <c r="F19" s="64" t="str">
        <f>IF($A19="","",IF(AND(INDEX(TblTareas[Activa],12)=1,F$7&gt;=INDEX(TblTareas[Semana],12),F$7&lt;INDEX(TblTareas[Semana],12)+INDEX(TblTareas[Duracion],12)),INDEX(TblTareas[Horas],12)/INDEX(TblTareas[Duracion],12),""))</f>
      </c>
      <c r="G19" s="64" t="str">
        <f>IF($A19="","",IF(AND(INDEX(TblTareas[Activa],12)=1,G$7&gt;=INDEX(TblTareas[Semana],12),G$7&lt;INDEX(TblTareas[Semana],12)+INDEX(TblTareas[Duracion],12)),INDEX(TblTareas[Horas],12)/INDEX(TblTareas[Duracion],12),""))</f>
      </c>
      <c r="H19" s="64" t="str">
        <f>IF($A19="","",IF(AND(INDEX(TblTareas[Activa],12)=1,H$7&gt;=INDEX(TblTareas[Semana],12),H$7&lt;INDEX(TblTareas[Semana],12)+INDEX(TblTareas[Duracion],12)),INDEX(TblTareas[Horas],12)/INDEX(TblTareas[Duracion],12),""))</f>
      </c>
      <c r="I19" s="64" t="n">
        <f>IF($A19="","",IF(AND(INDEX(TblTareas[Activa],12)=1,I$7&gt;=INDEX(TblTareas[Semana],12),I$7&lt;INDEX(TblTareas[Semana],12)+INDEX(TblTareas[Duracion],12)),INDEX(TblTareas[Horas],12)/INDEX(TblTareas[Duracion],12),""))</f>
        <v>1</v>
      </c>
      <c r="J19" s="64" t="n">
        <f>IF($A19="","",IF(AND(INDEX(TblTareas[Activa],12)=1,J$7&gt;=INDEX(TblTareas[Semana],12),J$7&lt;INDEX(TblTareas[Semana],12)+INDEX(TblTareas[Duracion],12)),INDEX(TblTareas[Horas],12)/INDEX(TblTareas[Duracion],12),""))</f>
        <v>1</v>
      </c>
      <c r="K19" s="64" t="n">
        <f>IF($A19="","",IF(AND(INDEX(TblTareas[Activa],12)=1,K$7&gt;=INDEX(TblTareas[Semana],12),K$7&lt;INDEX(TblTareas[Semana],12)+INDEX(TblTareas[Duracion],12)),INDEX(TblTareas[Horas],12)/INDEX(TblTareas[Duracion],12),""))</f>
        <v>1</v>
      </c>
      <c r="L19" s="64" t="n">
        <f>IF($A19="","",IF(AND(INDEX(TblTareas[Activa],12)=1,L$7&gt;=INDEX(TblTareas[Semana],12),L$7&lt;INDEX(TblTareas[Semana],12)+INDEX(TblTareas[Duracion],12)),INDEX(TblTareas[Horas],12)/INDEX(TblTareas[Duracion],12),""))</f>
        <v>1</v>
      </c>
      <c r="M19" s="64" t="n">
        <f>IF($A19="","",IF(AND(INDEX(TblTareas[Activa],12)=1,M$7&gt;=INDEX(TblTareas[Semana],12),M$7&lt;INDEX(TblTareas[Semana],12)+INDEX(TblTareas[Duracion],12)),INDEX(TblTareas[Horas],12)/INDEX(TblTareas[Duracion],12),""))</f>
        <v>1</v>
      </c>
      <c r="N19" s="64" t="str">
        <f>IF($A19="","",IF(AND(INDEX(TblTareas[Activa],12)=1,N$7&gt;=INDEX(TblTareas[Semana],12),N$7&lt;INDEX(TblTareas[Semana],12)+INDEX(TblTareas[Duracion],12)),INDEX(TblTareas[Horas],12)/INDEX(TblTareas[Duracion],12),""))</f>
      </c>
      <c r="O19" s="64" t="str">
        <f>IF($A19="","",IF(AND(INDEX(TblTareas[Activa],12)=1,O$7&gt;=INDEX(TblTareas[Semana],12),O$7&lt;INDEX(TblTareas[Semana],12)+INDEX(TblTareas[Duracion],12)),INDEX(TblTareas[Horas],12)/INDEX(TblTareas[Duracion],12),""))</f>
      </c>
      <c r="P19" s="64" t="str">
        <f>IF($A19="","",IF(AND(INDEX(TblTareas[Activa],12)=1,P$7&gt;=INDEX(TblTareas[Semana],12),P$7&lt;INDEX(TblTareas[Semana],12)+INDEX(TblTareas[Duracion],12)),INDEX(TblTareas[Horas],12)/INDEX(TblTareas[Duracion],12),""))</f>
      </c>
      <c r="Q19" s="64" t="str">
        <f>IF($A19="","",IF(AND(INDEX(TblTareas[Activa],12)=1,Q$7&gt;=INDEX(TblTareas[Semana],12),Q$7&lt;INDEX(TblTareas[Semana],12)+INDEX(TblTareas[Duracion],12)),INDEX(TblTareas[Horas],12)/INDEX(TblTareas[Duracion],12),""))</f>
      </c>
      <c r="R19" s="64" t="str">
        <f>IF($A19="","",IF(AND(INDEX(TblTareas[Activa],12)=1,R$7&gt;=INDEX(TblTareas[Semana],12),R$7&lt;INDEX(TblTareas[Semana],12)+INDEX(TblTareas[Duracion],12)),INDEX(TblTareas[Horas],12)/INDEX(TblTareas[Duracion],12),""))</f>
      </c>
      <c r="S19" s="64" t="str">
        <f>IF($A19="","",IF(AND(INDEX(TblTareas[Activa],12)=1,S$7&gt;=INDEX(TblTareas[Semana],12),S$7&lt;INDEX(TblTareas[Semana],12)+INDEX(TblTareas[Duracion],12)),INDEX(TblTareas[Horas],12)/INDEX(TblTareas[Duracion],12),""))</f>
      </c>
      <c r="T19" s="64" t="str">
        <f>IF($A19="","",IF(AND(INDEX(TblTareas[Activa],12)=1,T$7&gt;=INDEX(TblTareas[Semana],12),T$7&lt;INDEX(TblTareas[Semana],12)+INDEX(TblTareas[Duracion],12)),INDEX(TblTareas[Horas],12)/INDEX(TblTareas[Duracion],12),""))</f>
      </c>
    </row>
    <row r="20" ht="34" customHeight="1">
      <c r="A20" s="62" t="str">
        <f>IFERROR(IF(INDEX(TblTareas[ID],13)="","",INDEX(TblTareas[ID],13)),"")</f>
        <v>TEC-01</v>
      </c>
      <c r="B20" s="62" t="str">
        <f>IF($A20="","",IFERROR(INDEX(TblTareas[Responsable],13),""))</f>
        <v>Iker</v>
      </c>
      <c r="C20" s="62" t="str">
        <f>IF($A20="","",IFERROR(INDEX(TblTareas[Trabajo],13),""))</f>
        <v>Preparar solución y contexto gráfico</v>
      </c>
      <c r="D20" s="62" t="str">
        <f>IF($A20="","",IFERROR(INDEX(TblTareas[Estado],13),""))</f>
        <v>Por hacer</v>
      </c>
      <c r="E20" s="64" t="n">
        <f>IF($A20="","",IF(AND(INDEX(TblTareas[Activa],13)=1,E$7&gt;=INDEX(TblTareas[Semana],13),E$7&lt;INDEX(TblTareas[Semana],13)+INDEX(TblTareas[Duracion],13)),INDEX(TblTareas[Horas],13)/INDEX(TblTareas[Duracion],13),""))</f>
        <v>4</v>
      </c>
      <c r="F20" s="64" t="str">
        <f>IF($A20="","",IF(AND(INDEX(TblTareas[Activa],13)=1,F$7&gt;=INDEX(TblTareas[Semana],13),F$7&lt;INDEX(TblTareas[Semana],13)+INDEX(TblTareas[Duracion],13)),INDEX(TblTareas[Horas],13)/INDEX(TblTareas[Duracion],13),""))</f>
      </c>
      <c r="G20" s="64" t="str">
        <f>IF($A20="","",IF(AND(INDEX(TblTareas[Activa],13)=1,G$7&gt;=INDEX(TblTareas[Semana],13),G$7&lt;INDEX(TblTareas[Semana],13)+INDEX(TblTareas[Duracion],13)),INDEX(TblTareas[Horas],13)/INDEX(TblTareas[Duracion],13),""))</f>
      </c>
      <c r="H20" s="64" t="str">
        <f>IF($A20="","",IF(AND(INDEX(TblTareas[Activa],13)=1,H$7&gt;=INDEX(TblTareas[Semana],13),H$7&lt;INDEX(TblTareas[Semana],13)+INDEX(TblTareas[Duracion],13)),INDEX(TblTareas[Horas],13)/INDEX(TblTareas[Duracion],13),""))</f>
      </c>
      <c r="I20" s="64" t="str">
        <f>IF($A20="","",IF(AND(INDEX(TblTareas[Activa],13)=1,I$7&gt;=INDEX(TblTareas[Semana],13),I$7&lt;INDEX(TblTareas[Semana],13)+INDEX(TblTareas[Duracion],13)),INDEX(TblTareas[Horas],13)/INDEX(TblTareas[Duracion],13),""))</f>
      </c>
      <c r="J20" s="64" t="str">
        <f>IF($A20="","",IF(AND(INDEX(TblTareas[Activa],13)=1,J$7&gt;=INDEX(TblTareas[Semana],13),J$7&lt;INDEX(TblTareas[Semana],13)+INDEX(TblTareas[Duracion],13)),INDEX(TblTareas[Horas],13)/INDEX(TblTareas[Duracion],13),""))</f>
      </c>
      <c r="K20" s="64" t="str">
        <f>IF($A20="","",IF(AND(INDEX(TblTareas[Activa],13)=1,K$7&gt;=INDEX(TblTareas[Semana],13),K$7&lt;INDEX(TblTareas[Semana],13)+INDEX(TblTareas[Duracion],13)),INDEX(TblTareas[Horas],13)/INDEX(TblTareas[Duracion],13),""))</f>
      </c>
      <c r="L20" s="64" t="str">
        <f>IF($A20="","",IF(AND(INDEX(TblTareas[Activa],13)=1,L$7&gt;=INDEX(TblTareas[Semana],13),L$7&lt;INDEX(TblTareas[Semana],13)+INDEX(TblTareas[Duracion],13)),INDEX(TblTareas[Horas],13)/INDEX(TblTareas[Duracion],13),""))</f>
      </c>
      <c r="M20" s="64" t="str">
        <f>IF($A20="","",IF(AND(INDEX(TblTareas[Activa],13)=1,M$7&gt;=INDEX(TblTareas[Semana],13),M$7&lt;INDEX(TblTareas[Semana],13)+INDEX(TblTareas[Duracion],13)),INDEX(TblTareas[Horas],13)/INDEX(TblTareas[Duracion],13),""))</f>
      </c>
      <c r="N20" s="64" t="str">
        <f>IF($A20="","",IF(AND(INDEX(TblTareas[Activa],13)=1,N$7&gt;=INDEX(TblTareas[Semana],13),N$7&lt;INDEX(TblTareas[Semana],13)+INDEX(TblTareas[Duracion],13)),INDEX(TblTareas[Horas],13)/INDEX(TblTareas[Duracion],13),""))</f>
      </c>
      <c r="O20" s="64" t="str">
        <f>IF($A20="","",IF(AND(INDEX(TblTareas[Activa],13)=1,O$7&gt;=INDEX(TblTareas[Semana],13),O$7&lt;INDEX(TblTareas[Semana],13)+INDEX(TblTareas[Duracion],13)),INDEX(TblTareas[Horas],13)/INDEX(TblTareas[Duracion],13),""))</f>
      </c>
      <c r="P20" s="64" t="str">
        <f>IF($A20="","",IF(AND(INDEX(TblTareas[Activa],13)=1,P$7&gt;=INDEX(TblTareas[Semana],13),P$7&lt;INDEX(TblTareas[Semana],13)+INDEX(TblTareas[Duracion],13)),INDEX(TblTareas[Horas],13)/INDEX(TblTareas[Duracion],13),""))</f>
      </c>
      <c r="Q20" s="64" t="str">
        <f>IF($A20="","",IF(AND(INDEX(TblTareas[Activa],13)=1,Q$7&gt;=INDEX(TblTareas[Semana],13),Q$7&lt;INDEX(TblTareas[Semana],13)+INDEX(TblTareas[Duracion],13)),INDEX(TblTareas[Horas],13)/INDEX(TblTareas[Duracion],13),""))</f>
      </c>
      <c r="R20" s="64" t="str">
        <f>IF($A20="","",IF(AND(INDEX(TblTareas[Activa],13)=1,R$7&gt;=INDEX(TblTareas[Semana],13),R$7&lt;INDEX(TblTareas[Semana],13)+INDEX(TblTareas[Duracion],13)),INDEX(TblTareas[Horas],13)/INDEX(TblTareas[Duracion],13),""))</f>
      </c>
      <c r="S20" s="64" t="str">
        <f>IF($A20="","",IF(AND(INDEX(TblTareas[Activa],13)=1,S$7&gt;=INDEX(TblTareas[Semana],13),S$7&lt;INDEX(TblTareas[Semana],13)+INDEX(TblTareas[Duracion],13)),INDEX(TblTareas[Horas],13)/INDEX(TblTareas[Duracion],13),""))</f>
      </c>
      <c r="T20" s="64" t="str">
        <f>IF($A20="","",IF(AND(INDEX(TblTareas[Activa],13)=1,T$7&gt;=INDEX(TblTareas[Semana],13),T$7&lt;INDEX(TblTareas[Semana],13)+INDEX(TblTareas[Duracion],13)),INDEX(TblTareas[Horas],13)/INDEX(TblTareas[Duracion],13),""))</f>
      </c>
    </row>
    <row r="21" ht="34" customHeight="1">
      <c r="A21" s="62" t="str">
        <f>IFERROR(IF(INDEX(TblTareas[ID],14)="","",INDEX(TblTareas[ID],14)),"")</f>
        <v>TEC-02</v>
      </c>
      <c r="B21" s="62" t="str">
        <f>IF($A21="","",IFERROR(INDEX(TblTareas[Responsable],14),""))</f>
        <v>Iker</v>
      </c>
      <c r="C21" s="62" t="str">
        <f>IF($A21="","",IFERROR(INDEX(TblTareas[Trabajo],14),""))</f>
        <v>Integrar tiempo fijo e input</v>
      </c>
      <c r="D21" s="62" t="str">
        <f>IF($A21="","",IFERROR(INDEX(TblTareas[Estado],14),""))</f>
        <v>Por hacer</v>
      </c>
      <c r="E21" s="64" t="n">
        <f>IF($A21="","",IF(AND(INDEX(TblTareas[Activa],14)=1,E$7&gt;=INDEX(TblTareas[Semana],14),E$7&lt;INDEX(TblTareas[Semana],14)+INDEX(TblTareas[Duracion],14)),INDEX(TblTareas[Horas],14)/INDEX(TblTareas[Duracion],14),""))</f>
        <v>5</v>
      </c>
      <c r="F21" s="64" t="str">
        <f>IF($A21="","",IF(AND(INDEX(TblTareas[Activa],14)=1,F$7&gt;=INDEX(TblTareas[Semana],14),F$7&lt;INDEX(TblTareas[Semana],14)+INDEX(TblTareas[Duracion],14)),INDEX(TblTareas[Horas],14)/INDEX(TblTareas[Duracion],14),""))</f>
      </c>
      <c r="G21" s="64" t="str">
        <f>IF($A21="","",IF(AND(INDEX(TblTareas[Activa],14)=1,G$7&gt;=INDEX(TblTareas[Semana],14),G$7&lt;INDEX(TblTareas[Semana],14)+INDEX(TblTareas[Duracion],14)),INDEX(TblTareas[Horas],14)/INDEX(TblTareas[Duracion],14),""))</f>
      </c>
      <c r="H21" s="64" t="str">
        <f>IF($A21="","",IF(AND(INDEX(TblTareas[Activa],14)=1,H$7&gt;=INDEX(TblTareas[Semana],14),H$7&lt;INDEX(TblTareas[Semana],14)+INDEX(TblTareas[Duracion],14)),INDEX(TblTareas[Horas],14)/INDEX(TblTareas[Duracion],14),""))</f>
      </c>
      <c r="I21" s="64" t="str">
        <f>IF($A21="","",IF(AND(INDEX(TblTareas[Activa],14)=1,I$7&gt;=INDEX(TblTareas[Semana],14),I$7&lt;INDEX(TblTareas[Semana],14)+INDEX(TblTareas[Duracion],14)),INDEX(TblTareas[Horas],14)/INDEX(TblTareas[Duracion],14),""))</f>
      </c>
      <c r="J21" s="64" t="str">
        <f>IF($A21="","",IF(AND(INDEX(TblTareas[Activa],14)=1,J$7&gt;=INDEX(TblTareas[Semana],14),J$7&lt;INDEX(TblTareas[Semana],14)+INDEX(TblTareas[Duracion],14)),INDEX(TblTareas[Horas],14)/INDEX(TblTareas[Duracion],14),""))</f>
      </c>
      <c r="K21" s="64" t="str">
        <f>IF($A21="","",IF(AND(INDEX(TblTareas[Activa],14)=1,K$7&gt;=INDEX(TblTareas[Semana],14),K$7&lt;INDEX(TblTareas[Semana],14)+INDEX(TblTareas[Duracion],14)),INDEX(TblTareas[Horas],14)/INDEX(TblTareas[Duracion],14),""))</f>
      </c>
      <c r="L21" s="64" t="str">
        <f>IF($A21="","",IF(AND(INDEX(TblTareas[Activa],14)=1,L$7&gt;=INDEX(TblTareas[Semana],14),L$7&lt;INDEX(TblTareas[Semana],14)+INDEX(TblTareas[Duracion],14)),INDEX(TblTareas[Horas],14)/INDEX(TblTareas[Duracion],14),""))</f>
      </c>
      <c r="M21" s="64" t="str">
        <f>IF($A21="","",IF(AND(INDEX(TblTareas[Activa],14)=1,M$7&gt;=INDEX(TblTareas[Semana],14),M$7&lt;INDEX(TblTareas[Semana],14)+INDEX(TblTareas[Duracion],14)),INDEX(TblTareas[Horas],14)/INDEX(TblTareas[Duracion],14),""))</f>
      </c>
      <c r="N21" s="64" t="str">
        <f>IF($A21="","",IF(AND(INDEX(TblTareas[Activa],14)=1,N$7&gt;=INDEX(TblTareas[Semana],14),N$7&lt;INDEX(TblTareas[Semana],14)+INDEX(TblTareas[Duracion],14)),INDEX(TblTareas[Horas],14)/INDEX(TblTareas[Duracion],14),""))</f>
      </c>
      <c r="O21" s="64" t="str">
        <f>IF($A21="","",IF(AND(INDEX(TblTareas[Activa],14)=1,O$7&gt;=INDEX(TblTareas[Semana],14),O$7&lt;INDEX(TblTareas[Semana],14)+INDEX(TblTareas[Duracion],14)),INDEX(TblTareas[Horas],14)/INDEX(TblTareas[Duracion],14),""))</f>
      </c>
      <c r="P21" s="64" t="str">
        <f>IF($A21="","",IF(AND(INDEX(TblTareas[Activa],14)=1,P$7&gt;=INDEX(TblTareas[Semana],14),P$7&lt;INDEX(TblTareas[Semana],14)+INDEX(TblTareas[Duracion],14)),INDEX(TblTareas[Horas],14)/INDEX(TblTareas[Duracion],14),""))</f>
      </c>
      <c r="Q21" s="64" t="str">
        <f>IF($A21="","",IF(AND(INDEX(TblTareas[Activa],14)=1,Q$7&gt;=INDEX(TblTareas[Semana],14),Q$7&lt;INDEX(TblTareas[Semana],14)+INDEX(TblTareas[Duracion],14)),INDEX(TblTareas[Horas],14)/INDEX(TblTareas[Duracion],14),""))</f>
      </c>
      <c r="R21" s="64" t="str">
        <f>IF($A21="","",IF(AND(INDEX(TblTareas[Activa],14)=1,R$7&gt;=INDEX(TblTareas[Semana],14),R$7&lt;INDEX(TblTareas[Semana],14)+INDEX(TblTareas[Duracion],14)),INDEX(TblTareas[Horas],14)/INDEX(TblTareas[Duracion],14),""))</f>
      </c>
      <c r="S21" s="64" t="str">
        <f>IF($A21="","",IF(AND(INDEX(TblTareas[Activa],14)=1,S$7&gt;=INDEX(TblTareas[Semana],14),S$7&lt;INDEX(TblTareas[Semana],14)+INDEX(TblTareas[Duracion],14)),INDEX(TblTareas[Horas],14)/INDEX(TblTareas[Duracion],14),""))</f>
      </c>
      <c r="T21" s="64" t="str">
        <f>IF($A21="","",IF(AND(INDEX(TblTareas[Activa],14)=1,T$7&gt;=INDEX(TblTareas[Semana],14),T$7&lt;INDEX(TblTareas[Semana],14)+INDEX(TblTareas[Duracion],14)),INDEX(TblTareas[Horas],14)/INDEX(TblTareas[Duracion],14),""))</f>
      </c>
    </row>
    <row r="22" ht="34" customHeight="1">
      <c r="A22" s="62" t="str">
        <f>IFERROR(IF(INDEX(TblTareas[ID],15)="","",INDEX(TblTareas[ID],15)),"")</f>
        <v>IMP-01</v>
      </c>
      <c r="B22" s="62" t="str">
        <f>IF($A22="","",IFERROR(INDEX(TblTareas[Responsable],15),""))</f>
        <v>Iker</v>
      </c>
      <c r="C22" s="62" t="str">
        <f>IF($A22="","",IFERROR(INDEX(TblTareas[Trabajo],15),""))</f>
        <v>Implementar nave y proyectiles</v>
      </c>
      <c r="D22" s="62" t="str">
        <f>IF($A22="","",IFERROR(INDEX(TblTareas[Estado],15),""))</f>
        <v>Por hacer</v>
      </c>
      <c r="E22" s="64" t="str">
        <f>IF($A22="","",IF(AND(INDEX(TblTareas[Activa],15)=1,E$7&gt;=INDEX(TblTareas[Semana],15),E$7&lt;INDEX(TblTareas[Semana],15)+INDEX(TblTareas[Duracion],15)),INDEX(TblTareas[Horas],15)/INDEX(TblTareas[Duracion],15),""))</f>
      </c>
      <c r="F22" s="64" t="str">
        <f>IF($A22="","",IF(AND(INDEX(TblTareas[Activa],15)=1,F$7&gt;=INDEX(TblTareas[Semana],15),F$7&lt;INDEX(TblTareas[Semana],15)+INDEX(TblTareas[Duracion],15)),INDEX(TblTareas[Horas],15)/INDEX(TblTareas[Duracion],15),""))</f>
      </c>
      <c r="G22" s="64" t="n">
        <f>IF($A22="","",IF(AND(INDEX(TblTareas[Activa],15)=1,G$7&gt;=INDEX(TblTareas[Semana],15),G$7&lt;INDEX(TblTareas[Semana],15)+INDEX(TblTareas[Duracion],15)),INDEX(TblTareas[Horas],15)/INDEX(TblTareas[Duracion],15),""))</f>
        <v>6</v>
      </c>
      <c r="H22" s="64" t="str">
        <f>IF($A22="","",IF(AND(INDEX(TblTareas[Activa],15)=1,H$7&gt;=INDEX(TblTareas[Semana],15),H$7&lt;INDEX(TblTareas[Semana],15)+INDEX(TblTareas[Duracion],15)),INDEX(TblTareas[Horas],15)/INDEX(TblTareas[Duracion],15),""))</f>
      </c>
      <c r="I22" s="64" t="str">
        <f>IF($A22="","",IF(AND(INDEX(TblTareas[Activa],15)=1,I$7&gt;=INDEX(TblTareas[Semana],15),I$7&lt;INDEX(TblTareas[Semana],15)+INDEX(TblTareas[Duracion],15)),INDEX(TblTareas[Horas],15)/INDEX(TblTareas[Duracion],15),""))</f>
      </c>
      <c r="J22" s="64" t="str">
        <f>IF($A22="","",IF(AND(INDEX(TblTareas[Activa],15)=1,J$7&gt;=INDEX(TblTareas[Semana],15),J$7&lt;INDEX(TblTareas[Semana],15)+INDEX(TblTareas[Duracion],15)),INDEX(TblTareas[Horas],15)/INDEX(TblTareas[Duracion],15),""))</f>
      </c>
      <c r="K22" s="64" t="str">
        <f>IF($A22="","",IF(AND(INDEX(TblTareas[Activa],15)=1,K$7&gt;=INDEX(TblTareas[Semana],15),K$7&lt;INDEX(TblTareas[Semana],15)+INDEX(TblTareas[Duracion],15)),INDEX(TblTareas[Horas],15)/INDEX(TblTareas[Duracion],15),""))</f>
      </c>
      <c r="L22" s="64" t="str">
        <f>IF($A22="","",IF(AND(INDEX(TblTareas[Activa],15)=1,L$7&gt;=INDEX(TblTareas[Semana],15),L$7&lt;INDEX(TblTareas[Semana],15)+INDEX(TblTareas[Duracion],15)),INDEX(TblTareas[Horas],15)/INDEX(TblTareas[Duracion],15),""))</f>
      </c>
      <c r="M22" s="64" t="str">
        <f>IF($A22="","",IF(AND(INDEX(TblTareas[Activa],15)=1,M$7&gt;=INDEX(TblTareas[Semana],15),M$7&lt;INDEX(TblTareas[Semana],15)+INDEX(TblTareas[Duracion],15)),INDEX(TblTareas[Horas],15)/INDEX(TblTareas[Duracion],15),""))</f>
      </c>
      <c r="N22" s="64" t="str">
        <f>IF($A22="","",IF(AND(INDEX(TblTareas[Activa],15)=1,N$7&gt;=INDEX(TblTareas[Semana],15),N$7&lt;INDEX(TblTareas[Semana],15)+INDEX(TblTareas[Duracion],15)),INDEX(TblTareas[Horas],15)/INDEX(TblTareas[Duracion],15),""))</f>
      </c>
      <c r="O22" s="64" t="str">
        <f>IF($A22="","",IF(AND(INDEX(TblTareas[Activa],15)=1,O$7&gt;=INDEX(TblTareas[Semana],15),O$7&lt;INDEX(TblTareas[Semana],15)+INDEX(TblTareas[Duracion],15)),INDEX(TblTareas[Horas],15)/INDEX(TblTareas[Duracion],15),""))</f>
      </c>
      <c r="P22" s="64" t="str">
        <f>IF($A22="","",IF(AND(INDEX(TblTareas[Activa],15)=1,P$7&gt;=INDEX(TblTareas[Semana],15),P$7&lt;INDEX(TblTareas[Semana],15)+INDEX(TblTareas[Duracion],15)),INDEX(TblTareas[Horas],15)/INDEX(TblTareas[Duracion],15),""))</f>
      </c>
      <c r="Q22" s="64" t="str">
        <f>IF($A22="","",IF(AND(INDEX(TblTareas[Activa],15)=1,Q$7&gt;=INDEX(TblTareas[Semana],15),Q$7&lt;INDEX(TblTareas[Semana],15)+INDEX(TblTareas[Duracion],15)),INDEX(TblTareas[Horas],15)/INDEX(TblTareas[Duracion],15),""))</f>
      </c>
      <c r="R22" s="64" t="str">
        <f>IF($A22="","",IF(AND(INDEX(TblTareas[Activa],15)=1,R$7&gt;=INDEX(TblTareas[Semana],15),R$7&lt;INDEX(TblTareas[Semana],15)+INDEX(TblTareas[Duracion],15)),INDEX(TblTareas[Horas],15)/INDEX(TblTareas[Duracion],15),""))</f>
      </c>
      <c r="S22" s="64" t="str">
        <f>IF($A22="","",IF(AND(INDEX(TblTareas[Activa],15)=1,S$7&gt;=INDEX(TblTareas[Semana],15),S$7&lt;INDEX(TblTareas[Semana],15)+INDEX(TblTareas[Duracion],15)),INDEX(TblTareas[Horas],15)/INDEX(TblTareas[Duracion],15),""))</f>
      </c>
      <c r="T22" s="64" t="str">
        <f>IF($A22="","",IF(AND(INDEX(TblTareas[Activa],15)=1,T$7&gt;=INDEX(TblTareas[Semana],15),T$7&lt;INDEX(TblTareas[Semana],15)+INDEX(TblTareas[Duracion],15)),INDEX(TblTareas[Horas],15)/INDEX(TblTareas[Duracion],15),""))</f>
      </c>
    </row>
    <row r="23" ht="34" customHeight="1">
      <c r="A23" s="62" t="str">
        <f>IFERROR(IF(INDEX(TblTareas[ID],16)="","",INDEX(TblTareas[ID],16)),"")</f>
        <v>IMP-02</v>
      </c>
      <c r="B23" s="62" t="str">
        <f>IF($A23="","",IFERROR(INDEX(TblTareas[Responsable],16),""))</f>
        <v>Iker</v>
      </c>
      <c r="C23" s="62" t="str">
        <f>IF($A23="","",IFERROR(INDEX(TblTareas[Trabajo],16),""))</f>
        <v>Implementar colisiones y daño</v>
      </c>
      <c r="D23" s="62" t="str">
        <f>IF($A23="","",IFERROR(INDEX(TblTareas[Estado],16),""))</f>
        <v>Por hacer</v>
      </c>
      <c r="E23" s="64" t="str">
        <f>IF($A23="","",IF(AND(INDEX(TblTareas[Activa],16)=1,E$7&gt;=INDEX(TblTareas[Semana],16),E$7&lt;INDEX(TblTareas[Semana],16)+INDEX(TblTareas[Duracion],16)),INDEX(TblTareas[Horas],16)/INDEX(TblTareas[Duracion],16),""))</f>
      </c>
      <c r="F23" s="64" t="str">
        <f>IF($A23="","",IF(AND(INDEX(TblTareas[Activa],16)=1,F$7&gt;=INDEX(TblTareas[Semana],16),F$7&lt;INDEX(TblTareas[Semana],16)+INDEX(TblTareas[Duracion],16)),INDEX(TblTareas[Horas],16)/INDEX(TblTareas[Duracion],16),""))</f>
      </c>
      <c r="G23" s="64" t="str">
        <f>IF($A23="","",IF(AND(INDEX(TblTareas[Activa],16)=1,G$7&gt;=INDEX(TblTareas[Semana],16),G$7&lt;INDEX(TblTareas[Semana],16)+INDEX(TblTareas[Duracion],16)),INDEX(TblTareas[Horas],16)/INDEX(TblTareas[Duracion],16),""))</f>
      </c>
      <c r="H23" s="64" t="str">
        <f>IF($A23="","",IF(AND(INDEX(TblTareas[Activa],16)=1,H$7&gt;=INDEX(TblTareas[Semana],16),H$7&lt;INDEX(TblTareas[Semana],16)+INDEX(TblTareas[Duracion],16)),INDEX(TblTareas[Horas],16)/INDEX(TblTareas[Duracion],16),""))</f>
      </c>
      <c r="I23" s="64" t="str">
        <f>IF($A23="","",IF(AND(INDEX(TblTareas[Activa],16)=1,I$7&gt;=INDEX(TblTareas[Semana],16),I$7&lt;INDEX(TblTareas[Semana],16)+INDEX(TblTareas[Duracion],16)),INDEX(TblTareas[Horas],16)/INDEX(TblTareas[Duracion],16),""))</f>
      </c>
      <c r="J23" s="64" t="n">
        <f>IF($A23="","",IF(AND(INDEX(TblTareas[Activa],16)=1,J$7&gt;=INDEX(TblTareas[Semana],16),J$7&lt;INDEX(TblTareas[Semana],16)+INDEX(TblTareas[Duracion],16)),INDEX(TblTareas[Horas],16)/INDEX(TblTareas[Duracion],16),""))</f>
        <v>8</v>
      </c>
      <c r="K23" s="64" t="str">
        <f>IF($A23="","",IF(AND(INDEX(TblTareas[Activa],16)=1,K$7&gt;=INDEX(TblTareas[Semana],16),K$7&lt;INDEX(TblTareas[Semana],16)+INDEX(TblTareas[Duracion],16)),INDEX(TblTareas[Horas],16)/INDEX(TblTareas[Duracion],16),""))</f>
      </c>
      <c r="L23" s="64" t="str">
        <f>IF($A23="","",IF(AND(INDEX(TblTareas[Activa],16)=1,L$7&gt;=INDEX(TblTareas[Semana],16),L$7&lt;INDEX(TblTareas[Semana],16)+INDEX(TblTareas[Duracion],16)),INDEX(TblTareas[Horas],16)/INDEX(TblTareas[Duracion],16),""))</f>
      </c>
      <c r="M23" s="64" t="str">
        <f>IF($A23="","",IF(AND(INDEX(TblTareas[Activa],16)=1,M$7&gt;=INDEX(TblTareas[Semana],16),M$7&lt;INDEX(TblTareas[Semana],16)+INDEX(TblTareas[Duracion],16)),INDEX(TblTareas[Horas],16)/INDEX(TblTareas[Duracion],16),""))</f>
      </c>
      <c r="N23" s="64" t="str">
        <f>IF($A23="","",IF(AND(INDEX(TblTareas[Activa],16)=1,N$7&gt;=INDEX(TblTareas[Semana],16),N$7&lt;INDEX(TblTareas[Semana],16)+INDEX(TblTareas[Duracion],16)),INDEX(TblTareas[Horas],16)/INDEX(TblTareas[Duracion],16),""))</f>
      </c>
      <c r="O23" s="64" t="str">
        <f>IF($A23="","",IF(AND(INDEX(TblTareas[Activa],16)=1,O$7&gt;=INDEX(TblTareas[Semana],16),O$7&lt;INDEX(TblTareas[Semana],16)+INDEX(TblTareas[Duracion],16)),INDEX(TblTareas[Horas],16)/INDEX(TblTareas[Duracion],16),""))</f>
      </c>
      <c r="P23" s="64" t="str">
        <f>IF($A23="","",IF(AND(INDEX(TblTareas[Activa],16)=1,P$7&gt;=INDEX(TblTareas[Semana],16),P$7&lt;INDEX(TblTareas[Semana],16)+INDEX(TblTareas[Duracion],16)),INDEX(TblTareas[Horas],16)/INDEX(TblTareas[Duracion],16),""))</f>
      </c>
      <c r="Q23" s="64" t="str">
        <f>IF($A23="","",IF(AND(INDEX(TblTareas[Activa],16)=1,Q$7&gt;=INDEX(TblTareas[Semana],16),Q$7&lt;INDEX(TblTareas[Semana],16)+INDEX(TblTareas[Duracion],16)),INDEX(TblTareas[Horas],16)/INDEX(TblTareas[Duracion],16),""))</f>
      </c>
      <c r="R23" s="64" t="str">
        <f>IF($A23="","",IF(AND(INDEX(TblTareas[Activa],16)=1,R$7&gt;=INDEX(TblTareas[Semana],16),R$7&lt;INDEX(TblTareas[Semana],16)+INDEX(TblTareas[Duracion],16)),INDEX(TblTareas[Horas],16)/INDEX(TblTareas[Duracion],16),""))</f>
      </c>
      <c r="S23" s="64" t="str">
        <f>IF($A23="","",IF(AND(INDEX(TblTareas[Activa],16)=1,S$7&gt;=INDEX(TblTareas[Semana],16),S$7&lt;INDEX(TblTareas[Semana],16)+INDEX(TblTareas[Duracion],16)),INDEX(TblTareas[Horas],16)/INDEX(TblTareas[Duracion],16),""))</f>
      </c>
      <c r="T23" s="64" t="str">
        <f>IF($A23="","",IF(AND(INDEX(TblTareas[Activa],16)=1,T$7&gt;=INDEX(TblTareas[Semana],16),T$7&lt;INDEX(TblTareas[Semana],16)+INDEX(TblTareas[Duracion],16)),INDEX(TblTareas[Horas],16)/INDEX(TblTareas[Duracion],16),""))</f>
      </c>
    </row>
    <row r="24" ht="34" customHeight="1">
      <c r="A24" s="62" t="str">
        <f>IFERROR(IF(INDEX(TblTareas[ID],17)="","",INDEX(TblTareas[ID],17)),"")</f>
        <v>IMP-03</v>
      </c>
      <c r="B24" s="62" t="str">
        <f>IF($A24="","",IFERROR(INDEX(TblTareas[Responsable],17),""))</f>
        <v>Iker</v>
      </c>
      <c r="C24" s="62" t="str">
        <f>IF($A24="","",IFERROR(INDEX(TblTareas[Trabajo],17),""))</f>
        <v>Implementar enemigo y formación</v>
      </c>
      <c r="D24" s="62" t="str">
        <f>IF($A24="","",IFERROR(INDEX(TblTareas[Estado],17),""))</f>
        <v>Por hacer</v>
      </c>
      <c r="E24" s="64" t="str">
        <f>IF($A24="","",IF(AND(INDEX(TblTareas[Activa],17)=1,E$7&gt;=INDEX(TblTareas[Semana],17),E$7&lt;INDEX(TblTareas[Semana],17)+INDEX(TblTareas[Duracion],17)),INDEX(TblTareas[Horas],17)/INDEX(TblTareas[Duracion],17),""))</f>
      </c>
      <c r="F24" s="64" t="str">
        <f>IF($A24="","",IF(AND(INDEX(TblTareas[Activa],17)=1,F$7&gt;=INDEX(TblTareas[Semana],17),F$7&lt;INDEX(TblTareas[Semana],17)+INDEX(TblTareas[Duracion],17)),INDEX(TblTareas[Horas],17)/INDEX(TblTareas[Duracion],17),""))</f>
      </c>
      <c r="G24" s="64" t="str">
        <f>IF($A24="","",IF(AND(INDEX(TblTareas[Activa],17)=1,G$7&gt;=INDEX(TblTareas[Semana],17),G$7&lt;INDEX(TblTareas[Semana],17)+INDEX(TblTareas[Duracion],17)),INDEX(TblTareas[Horas],17)/INDEX(TblTareas[Duracion],17),""))</f>
      </c>
      <c r="H24" s="64" t="str">
        <f>IF($A24="","",IF(AND(INDEX(TblTareas[Activa],17)=1,H$7&gt;=INDEX(TblTareas[Semana],17),H$7&lt;INDEX(TblTareas[Semana],17)+INDEX(TblTareas[Duracion],17)),INDEX(TblTareas[Horas],17)/INDEX(TblTareas[Duracion],17),""))</f>
      </c>
      <c r="I24" s="64" t="str">
        <f>IF($A24="","",IF(AND(INDEX(TblTareas[Activa],17)=1,I$7&gt;=INDEX(TblTareas[Semana],17),I$7&lt;INDEX(TblTareas[Semana],17)+INDEX(TblTareas[Duracion],17)),INDEX(TblTareas[Horas],17)/INDEX(TblTareas[Duracion],17),""))</f>
      </c>
      <c r="J24" s="64" t="str">
        <f>IF($A24="","",IF(AND(INDEX(TblTareas[Activa],17)=1,J$7&gt;=INDEX(TblTareas[Semana],17),J$7&lt;INDEX(TblTareas[Semana],17)+INDEX(TblTareas[Duracion],17)),INDEX(TblTareas[Horas],17)/INDEX(TblTareas[Duracion],17),""))</f>
      </c>
      <c r="K24" s="64" t="n">
        <f>IF($A24="","",IF(AND(INDEX(TblTareas[Activa],17)=1,K$7&gt;=INDEX(TblTareas[Semana],17),K$7&lt;INDEX(TblTareas[Semana],17)+INDEX(TblTareas[Duracion],17)),INDEX(TblTareas[Horas],17)/INDEX(TblTareas[Duracion],17),""))</f>
        <v>4</v>
      </c>
      <c r="L24" s="64" t="n">
        <f>IF($A24="","",IF(AND(INDEX(TblTareas[Activa],17)=1,L$7&gt;=INDEX(TblTareas[Semana],17),L$7&lt;INDEX(TblTareas[Semana],17)+INDEX(TblTareas[Duracion],17)),INDEX(TblTareas[Horas],17)/INDEX(TblTareas[Duracion],17),""))</f>
        <v>4</v>
      </c>
      <c r="M24" s="64" t="str">
        <f>IF($A24="","",IF(AND(INDEX(TblTareas[Activa],17)=1,M$7&gt;=INDEX(TblTareas[Semana],17),M$7&lt;INDEX(TblTareas[Semana],17)+INDEX(TblTareas[Duracion],17)),INDEX(TblTareas[Horas],17)/INDEX(TblTareas[Duracion],17),""))</f>
      </c>
      <c r="N24" s="64" t="str">
        <f>IF($A24="","",IF(AND(INDEX(TblTareas[Activa],17)=1,N$7&gt;=INDEX(TblTareas[Semana],17),N$7&lt;INDEX(TblTareas[Semana],17)+INDEX(TblTareas[Duracion],17)),INDEX(TblTareas[Horas],17)/INDEX(TblTareas[Duracion],17),""))</f>
      </c>
      <c r="O24" s="64" t="str">
        <f>IF($A24="","",IF(AND(INDEX(TblTareas[Activa],17)=1,O$7&gt;=INDEX(TblTareas[Semana],17),O$7&lt;INDEX(TblTareas[Semana],17)+INDEX(TblTareas[Duracion],17)),INDEX(TblTareas[Horas],17)/INDEX(TblTareas[Duracion],17),""))</f>
      </c>
      <c r="P24" s="64" t="str">
        <f>IF($A24="","",IF(AND(INDEX(TblTareas[Activa],17)=1,P$7&gt;=INDEX(TblTareas[Semana],17),P$7&lt;INDEX(TblTareas[Semana],17)+INDEX(TblTareas[Duracion],17)),INDEX(TblTareas[Horas],17)/INDEX(TblTareas[Duracion],17),""))</f>
      </c>
      <c r="Q24" s="64" t="str">
        <f>IF($A24="","",IF(AND(INDEX(TblTareas[Activa],17)=1,Q$7&gt;=INDEX(TblTareas[Semana],17),Q$7&lt;INDEX(TblTareas[Semana],17)+INDEX(TblTareas[Duracion],17)),INDEX(TblTareas[Horas],17)/INDEX(TblTareas[Duracion],17),""))</f>
      </c>
      <c r="R24" s="64" t="str">
        <f>IF($A24="","",IF(AND(INDEX(TblTareas[Activa],17)=1,R$7&gt;=INDEX(TblTareas[Semana],17),R$7&lt;INDEX(TblTareas[Semana],17)+INDEX(TblTareas[Duracion],17)),INDEX(TblTareas[Horas],17)/INDEX(TblTareas[Duracion],17),""))</f>
      </c>
      <c r="S24" s="64" t="str">
        <f>IF($A24="","",IF(AND(INDEX(TblTareas[Activa],17)=1,S$7&gt;=INDEX(TblTareas[Semana],17),S$7&lt;INDEX(TblTareas[Semana],17)+INDEX(TblTareas[Duracion],17)),INDEX(TblTareas[Horas],17)/INDEX(TblTareas[Duracion],17),""))</f>
      </c>
      <c r="T24" s="64" t="str">
        <f>IF($A24="","",IF(AND(INDEX(TblTareas[Activa],17)=1,T$7&gt;=INDEX(TblTareas[Semana],17),T$7&lt;INDEX(TblTareas[Semana],17)+INDEX(TblTareas[Duracion],17)),INDEX(TblTareas[Horas],17)/INDEX(TblTareas[Duracion],17),""))</f>
      </c>
    </row>
    <row r="25" ht="34" customHeight="1">
      <c r="A25" s="62" t="str">
        <f>IFERROR(IF(INDEX(TblTareas[ID],18)="","",INDEX(TblTareas[ID],18)),"")</f>
        <v>IMP-04</v>
      </c>
      <c r="B25" s="62" t="str">
        <f>IF($A25="","",IFERROR(INDEX(TblTareas[Responsable],18),""))</f>
        <v>Iker</v>
      </c>
      <c r="C25" s="62" t="str">
        <f>IF($A25="","",IFERROR(INDEX(TblTareas[Trabajo],18),""))</f>
        <v>Integrar oleadas y estados</v>
      </c>
      <c r="D25" s="62" t="str">
        <f>IF($A25="","",IFERROR(INDEX(TblTareas[Estado],18),""))</f>
        <v>Por hacer</v>
      </c>
      <c r="E25" s="64" t="str">
        <f>IF($A25="","",IF(AND(INDEX(TblTareas[Activa],18)=1,E$7&gt;=INDEX(TblTareas[Semana],18),E$7&lt;INDEX(TblTareas[Semana],18)+INDEX(TblTareas[Duracion],18)),INDEX(TblTareas[Horas],18)/INDEX(TblTareas[Duracion],18),""))</f>
      </c>
      <c r="F25" s="64" t="str">
        <f>IF($A25="","",IF(AND(INDEX(TblTareas[Activa],18)=1,F$7&gt;=INDEX(TblTareas[Semana],18),F$7&lt;INDEX(TblTareas[Semana],18)+INDEX(TblTareas[Duracion],18)),INDEX(TblTareas[Horas],18)/INDEX(TblTareas[Duracion],18),""))</f>
      </c>
      <c r="G25" s="64" t="str">
        <f>IF($A25="","",IF(AND(INDEX(TblTareas[Activa],18)=1,G$7&gt;=INDEX(TblTareas[Semana],18),G$7&lt;INDEX(TblTareas[Semana],18)+INDEX(TblTareas[Duracion],18)),INDEX(TblTareas[Horas],18)/INDEX(TblTareas[Duracion],18),""))</f>
      </c>
      <c r="H25" s="64" t="str">
        <f>IF($A25="","",IF(AND(INDEX(TblTareas[Activa],18)=1,H$7&gt;=INDEX(TblTareas[Semana],18),H$7&lt;INDEX(TblTareas[Semana],18)+INDEX(TblTareas[Duracion],18)),INDEX(TblTareas[Horas],18)/INDEX(TblTareas[Duracion],18),""))</f>
      </c>
      <c r="I25" s="64" t="str">
        <f>IF($A25="","",IF(AND(INDEX(TblTareas[Activa],18)=1,I$7&gt;=INDEX(TblTareas[Semana],18),I$7&lt;INDEX(TblTareas[Semana],18)+INDEX(TblTareas[Duracion],18)),INDEX(TblTareas[Horas],18)/INDEX(TblTareas[Duracion],18),""))</f>
      </c>
      <c r="J25" s="64" t="str">
        <f>IF($A25="","",IF(AND(INDEX(TblTareas[Activa],18)=1,J$7&gt;=INDEX(TblTareas[Semana],18),J$7&lt;INDEX(TblTareas[Semana],18)+INDEX(TblTareas[Duracion],18)),INDEX(TblTareas[Horas],18)/INDEX(TblTareas[Duracion],18),""))</f>
      </c>
      <c r="K25" s="64" t="str">
        <f>IF($A25="","",IF(AND(INDEX(TblTareas[Activa],18)=1,K$7&gt;=INDEX(TblTareas[Semana],18),K$7&lt;INDEX(TblTareas[Semana],18)+INDEX(TblTareas[Duracion],18)),INDEX(TblTareas[Horas],18)/INDEX(TblTareas[Duracion],18),""))</f>
      </c>
      <c r="L25" s="64" t="n">
        <f>IF($A25="","",IF(AND(INDEX(TblTareas[Activa],18)=1,L$7&gt;=INDEX(TblTareas[Semana],18),L$7&lt;INDEX(TblTareas[Semana],18)+INDEX(TblTareas[Duracion],18)),INDEX(TblTareas[Horas],18)/INDEX(TblTareas[Duracion],18),""))</f>
        <v>6</v>
      </c>
      <c r="M25" s="64" t="str">
        <f>IF($A25="","",IF(AND(INDEX(TblTareas[Activa],18)=1,M$7&gt;=INDEX(TblTareas[Semana],18),M$7&lt;INDEX(TblTareas[Semana],18)+INDEX(TblTareas[Duracion],18)),INDEX(TblTareas[Horas],18)/INDEX(TblTareas[Duracion],18),""))</f>
      </c>
      <c r="N25" s="64" t="str">
        <f>IF($A25="","",IF(AND(INDEX(TblTareas[Activa],18)=1,N$7&gt;=INDEX(TblTareas[Semana],18),N$7&lt;INDEX(TblTareas[Semana],18)+INDEX(TblTareas[Duracion],18)),INDEX(TblTareas[Horas],18)/INDEX(TblTareas[Duracion],18),""))</f>
      </c>
      <c r="O25" s="64" t="str">
        <f>IF($A25="","",IF(AND(INDEX(TblTareas[Activa],18)=1,O$7&gt;=INDEX(TblTareas[Semana],18),O$7&lt;INDEX(TblTareas[Semana],18)+INDEX(TblTareas[Duracion],18)),INDEX(TblTareas[Horas],18)/INDEX(TblTareas[Duracion],18),""))</f>
      </c>
      <c r="P25" s="64" t="str">
        <f>IF($A25="","",IF(AND(INDEX(TblTareas[Activa],18)=1,P$7&gt;=INDEX(TblTareas[Semana],18),P$7&lt;INDEX(TblTareas[Semana],18)+INDEX(TblTareas[Duracion],18)),INDEX(TblTareas[Horas],18)/INDEX(TblTareas[Duracion],18),""))</f>
      </c>
      <c r="Q25" s="64" t="str">
        <f>IF($A25="","",IF(AND(INDEX(TblTareas[Activa],18)=1,Q$7&gt;=INDEX(TblTareas[Semana],18),Q$7&lt;INDEX(TblTareas[Semana],18)+INDEX(TblTareas[Duracion],18)),INDEX(TblTareas[Horas],18)/INDEX(TblTareas[Duracion],18),""))</f>
      </c>
      <c r="R25" s="64" t="str">
        <f>IF($A25="","",IF(AND(INDEX(TblTareas[Activa],18)=1,R$7&gt;=INDEX(TblTareas[Semana],18),R$7&lt;INDEX(TblTareas[Semana],18)+INDEX(TblTareas[Duracion],18)),INDEX(TblTareas[Horas],18)/INDEX(TblTareas[Duracion],18),""))</f>
      </c>
      <c r="S25" s="64" t="str">
        <f>IF($A25="","",IF(AND(INDEX(TblTareas[Activa],18)=1,S$7&gt;=INDEX(TblTareas[Semana],18),S$7&lt;INDEX(TblTareas[Semana],18)+INDEX(TblTareas[Duracion],18)),INDEX(TblTareas[Horas],18)/INDEX(TblTareas[Duracion],18),""))</f>
      </c>
      <c r="T25" s="64" t="str">
        <f>IF($A25="","",IF(AND(INDEX(TblTareas[Activa],18)=1,T$7&gt;=INDEX(TblTareas[Semana],18),T$7&lt;INDEX(TblTareas[Semana],18)+INDEX(TblTareas[Duracion],18)),INDEX(TblTareas[Horas],18)/INDEX(TblTareas[Duracion],18),""))</f>
      </c>
    </row>
    <row r="26" ht="34" customHeight="1">
      <c r="A26" s="62" t="str">
        <f>IFERROR(IF(INDEX(TblTareas[ID],19)="","",INDEX(TblTareas[ID],19)),"")</f>
        <v>IMP-05</v>
      </c>
      <c r="B26" s="62" t="str">
        <f>IF($A26="","",IFERROR(INDEX(TblTareas[Responsable],19),""))</f>
        <v>Iker</v>
      </c>
      <c r="C26" s="62" t="str">
        <f>IF($A26="","",IFERROR(INDEX(TblTareas[Trabajo],19),""))</f>
        <v>Integrar jefe y resultados</v>
      </c>
      <c r="D26" s="62" t="str">
        <f>IF($A26="","",IFERROR(INDEX(TblTareas[Estado],19),""))</f>
        <v>Por hacer</v>
      </c>
      <c r="E26" s="64" t="str">
        <f>IF($A26="","",IF(AND(INDEX(TblTareas[Activa],19)=1,E$7&gt;=INDEX(TblTareas[Semana],19),E$7&lt;INDEX(TblTareas[Semana],19)+INDEX(TblTareas[Duracion],19)),INDEX(TblTareas[Horas],19)/INDEX(TblTareas[Duracion],19),""))</f>
      </c>
      <c r="F26" s="64" t="str">
        <f>IF($A26="","",IF(AND(INDEX(TblTareas[Activa],19)=1,F$7&gt;=INDEX(TblTareas[Semana],19),F$7&lt;INDEX(TblTareas[Semana],19)+INDEX(TblTareas[Duracion],19)),INDEX(TblTareas[Horas],19)/INDEX(TblTareas[Duracion],19),""))</f>
      </c>
      <c r="G26" s="64" t="str">
        <f>IF($A26="","",IF(AND(INDEX(TblTareas[Activa],19)=1,G$7&gt;=INDEX(TblTareas[Semana],19),G$7&lt;INDEX(TblTareas[Semana],19)+INDEX(TblTareas[Duracion],19)),INDEX(TblTareas[Horas],19)/INDEX(TblTareas[Duracion],19),""))</f>
      </c>
      <c r="H26" s="64" t="str">
        <f>IF($A26="","",IF(AND(INDEX(TblTareas[Activa],19)=1,H$7&gt;=INDEX(TblTareas[Semana],19),H$7&lt;INDEX(TblTareas[Semana],19)+INDEX(TblTareas[Duracion],19)),INDEX(TblTareas[Horas],19)/INDEX(TblTareas[Duracion],19),""))</f>
      </c>
      <c r="I26" s="64" t="str">
        <f>IF($A26="","",IF(AND(INDEX(TblTareas[Activa],19)=1,I$7&gt;=INDEX(TblTareas[Semana],19),I$7&lt;INDEX(TblTareas[Semana],19)+INDEX(TblTareas[Duracion],19)),INDEX(TblTareas[Horas],19)/INDEX(TblTareas[Duracion],19),""))</f>
      </c>
      <c r="J26" s="64" t="str">
        <f>IF($A26="","",IF(AND(INDEX(TblTareas[Activa],19)=1,J$7&gt;=INDEX(TblTareas[Semana],19),J$7&lt;INDEX(TblTareas[Semana],19)+INDEX(TblTareas[Duracion],19)),INDEX(TblTareas[Horas],19)/INDEX(TblTareas[Duracion],19),""))</f>
      </c>
      <c r="K26" s="64" t="str">
        <f>IF($A26="","",IF(AND(INDEX(TblTareas[Activa],19)=1,K$7&gt;=INDEX(TblTareas[Semana],19),K$7&lt;INDEX(TblTareas[Semana],19)+INDEX(TblTareas[Duracion],19)),INDEX(TblTareas[Horas],19)/INDEX(TblTareas[Duracion],19),""))</f>
      </c>
      <c r="L26" s="64" t="str">
        <f>IF($A26="","",IF(AND(INDEX(TblTareas[Activa],19)=1,L$7&gt;=INDEX(TblTareas[Semana],19),L$7&lt;INDEX(TblTareas[Semana],19)+INDEX(TblTareas[Duracion],19)),INDEX(TblTareas[Horas],19)/INDEX(TblTareas[Duracion],19),""))</f>
      </c>
      <c r="M26" s="64" t="n">
        <f>IF($A26="","",IF(AND(INDEX(TblTareas[Activa],19)=1,M$7&gt;=INDEX(TblTareas[Semana],19),M$7&lt;INDEX(TblTareas[Semana],19)+INDEX(TblTareas[Duracion],19)),INDEX(TblTareas[Horas],19)/INDEX(TblTareas[Duracion],19),""))</f>
        <v>6</v>
      </c>
      <c r="N26" s="64" t="str">
        <f>IF($A26="","",IF(AND(INDEX(TblTareas[Activa],19)=1,N$7&gt;=INDEX(TblTareas[Semana],19),N$7&lt;INDEX(TblTareas[Semana],19)+INDEX(TblTareas[Duracion],19)),INDEX(TblTareas[Horas],19)/INDEX(TblTareas[Duracion],19),""))</f>
      </c>
      <c r="O26" s="64" t="str">
        <f>IF($A26="","",IF(AND(INDEX(TblTareas[Activa],19)=1,O$7&gt;=INDEX(TblTareas[Semana],19),O$7&lt;INDEX(TblTareas[Semana],19)+INDEX(TblTareas[Duracion],19)),INDEX(TblTareas[Horas],19)/INDEX(TblTareas[Duracion],19),""))</f>
      </c>
      <c r="P26" s="64" t="str">
        <f>IF($A26="","",IF(AND(INDEX(TblTareas[Activa],19)=1,P$7&gt;=INDEX(TblTareas[Semana],19),P$7&lt;INDEX(TblTareas[Semana],19)+INDEX(TblTareas[Duracion],19)),INDEX(TblTareas[Horas],19)/INDEX(TblTareas[Duracion],19),""))</f>
      </c>
      <c r="Q26" s="64" t="str">
        <f>IF($A26="","",IF(AND(INDEX(TblTareas[Activa],19)=1,Q$7&gt;=INDEX(TblTareas[Semana],19),Q$7&lt;INDEX(TblTareas[Semana],19)+INDEX(TblTareas[Duracion],19)),INDEX(TblTareas[Horas],19)/INDEX(TblTareas[Duracion],19),""))</f>
      </c>
      <c r="R26" s="64" t="str">
        <f>IF($A26="","",IF(AND(INDEX(TblTareas[Activa],19)=1,R$7&gt;=INDEX(TblTareas[Semana],19),R$7&lt;INDEX(TblTareas[Semana],19)+INDEX(TblTareas[Duracion],19)),INDEX(TblTareas[Horas],19)/INDEX(TblTareas[Duracion],19),""))</f>
      </c>
      <c r="S26" s="64" t="str">
        <f>IF($A26="","",IF(AND(INDEX(TblTareas[Activa],19)=1,S$7&gt;=INDEX(TblTareas[Semana],19),S$7&lt;INDEX(TblTareas[Semana],19)+INDEX(TblTareas[Duracion],19)),INDEX(TblTareas[Horas],19)/INDEX(TblTareas[Duracion],19),""))</f>
      </c>
      <c r="T26" s="64" t="str">
        <f>IF($A26="","",IF(AND(INDEX(TblTareas[Activa],19)=1,T$7&gt;=INDEX(TblTareas[Semana],19),T$7&lt;INDEX(TblTareas[Semana],19)+INDEX(TblTareas[Duracion],19)),INDEX(TblTareas[Horas],19)/INDEX(TblTareas[Duracion],19),""))</f>
      </c>
    </row>
    <row r="27" ht="34" customHeight="1">
      <c r="A27" s="62" t="str">
        <f>IFERROR(IF(INDEX(TblTareas[ID],20)="","",INDEX(TblTareas[ID],20)),"")</f>
        <v>ART-01</v>
      </c>
      <c r="B27" s="62" t="str">
        <f>IF($A27="","",IFERROR(INDEX(TblTareas[Responsable],20),""))</f>
        <v>Iker</v>
      </c>
      <c r="C27" s="62" t="str">
        <f>IF($A27="","",IFERROR(INDEX(TblTareas[Trabajo],20),""))</f>
        <v>Crear mallas y normales</v>
      </c>
      <c r="D27" s="62" t="str">
        <f>IF($A27="","",IFERROR(INDEX(TblTareas[Estado],20),""))</f>
        <v>Por hacer</v>
      </c>
      <c r="E27" s="64" t="str">
        <f>IF($A27="","",IF(AND(INDEX(TblTareas[Activa],20)=1,E$7&gt;=INDEX(TblTareas[Semana],20),E$7&lt;INDEX(TblTareas[Semana],20)+INDEX(TblTareas[Duracion],20)),INDEX(TblTareas[Horas],20)/INDEX(TblTareas[Duracion],20),""))</f>
      </c>
      <c r="F27" s="64" t="n">
        <f>IF($A27="","",IF(AND(INDEX(TblTareas[Activa],20)=1,F$7&gt;=INDEX(TblTareas[Semana],20),F$7&lt;INDEX(TblTareas[Semana],20)+INDEX(TblTareas[Duracion],20)),INDEX(TblTareas[Horas],20)/INDEX(TblTareas[Duracion],20),""))</f>
        <v>3.5</v>
      </c>
      <c r="G27" s="64" t="n">
        <f>IF($A27="","",IF(AND(INDEX(TblTareas[Activa],20)=1,G$7&gt;=INDEX(TblTareas[Semana],20),G$7&lt;INDEX(TblTareas[Semana],20)+INDEX(TblTareas[Duracion],20)),INDEX(TblTareas[Horas],20)/INDEX(TblTareas[Duracion],20),""))</f>
        <v>3.5</v>
      </c>
      <c r="H27" s="64" t="str">
        <f>IF($A27="","",IF(AND(INDEX(TblTareas[Activa],20)=1,H$7&gt;=INDEX(TblTareas[Semana],20),H$7&lt;INDEX(TblTareas[Semana],20)+INDEX(TblTareas[Duracion],20)),INDEX(TblTareas[Horas],20)/INDEX(TblTareas[Duracion],20),""))</f>
      </c>
      <c r="I27" s="64" t="str">
        <f>IF($A27="","",IF(AND(INDEX(TblTareas[Activa],20)=1,I$7&gt;=INDEX(TblTareas[Semana],20),I$7&lt;INDEX(TblTareas[Semana],20)+INDEX(TblTareas[Duracion],20)),INDEX(TblTareas[Horas],20)/INDEX(TblTareas[Duracion],20),""))</f>
      </c>
      <c r="J27" s="64" t="str">
        <f>IF($A27="","",IF(AND(INDEX(TblTareas[Activa],20)=1,J$7&gt;=INDEX(TblTareas[Semana],20),J$7&lt;INDEX(TblTareas[Semana],20)+INDEX(TblTareas[Duracion],20)),INDEX(TblTareas[Horas],20)/INDEX(TblTareas[Duracion],20),""))</f>
      </c>
      <c r="K27" s="64" t="str">
        <f>IF($A27="","",IF(AND(INDEX(TblTareas[Activa],20)=1,K$7&gt;=INDEX(TblTareas[Semana],20),K$7&lt;INDEX(TblTareas[Semana],20)+INDEX(TblTareas[Duracion],20)),INDEX(TblTareas[Horas],20)/INDEX(TblTareas[Duracion],20),""))</f>
      </c>
      <c r="L27" s="64" t="str">
        <f>IF($A27="","",IF(AND(INDEX(TblTareas[Activa],20)=1,L$7&gt;=INDEX(TblTareas[Semana],20),L$7&lt;INDEX(TblTareas[Semana],20)+INDEX(TblTareas[Duracion],20)),INDEX(TblTareas[Horas],20)/INDEX(TblTareas[Duracion],20),""))</f>
      </c>
      <c r="M27" s="64" t="str">
        <f>IF($A27="","",IF(AND(INDEX(TblTareas[Activa],20)=1,M$7&gt;=INDEX(TblTareas[Semana],20),M$7&lt;INDEX(TblTareas[Semana],20)+INDEX(TblTareas[Duracion],20)),INDEX(TblTareas[Horas],20)/INDEX(TblTareas[Duracion],20),""))</f>
      </c>
      <c r="N27" s="64" t="str">
        <f>IF($A27="","",IF(AND(INDEX(TblTareas[Activa],20)=1,N$7&gt;=INDEX(TblTareas[Semana],20),N$7&lt;INDEX(TblTareas[Semana],20)+INDEX(TblTareas[Duracion],20)),INDEX(TblTareas[Horas],20)/INDEX(TblTareas[Duracion],20),""))</f>
      </c>
      <c r="O27" s="64" t="str">
        <f>IF($A27="","",IF(AND(INDEX(TblTareas[Activa],20)=1,O$7&gt;=INDEX(TblTareas[Semana],20),O$7&lt;INDEX(TblTareas[Semana],20)+INDEX(TblTareas[Duracion],20)),INDEX(TblTareas[Horas],20)/INDEX(TblTareas[Duracion],20),""))</f>
      </c>
      <c r="P27" s="64" t="str">
        <f>IF($A27="","",IF(AND(INDEX(TblTareas[Activa],20)=1,P$7&gt;=INDEX(TblTareas[Semana],20),P$7&lt;INDEX(TblTareas[Semana],20)+INDEX(TblTareas[Duracion],20)),INDEX(TblTareas[Horas],20)/INDEX(TblTareas[Duracion],20),""))</f>
      </c>
      <c r="Q27" s="64" t="str">
        <f>IF($A27="","",IF(AND(INDEX(TblTareas[Activa],20)=1,Q$7&gt;=INDEX(TblTareas[Semana],20),Q$7&lt;INDEX(TblTareas[Semana],20)+INDEX(TblTareas[Duracion],20)),INDEX(TblTareas[Horas],20)/INDEX(TblTareas[Duracion],20),""))</f>
      </c>
      <c r="R27" s="64" t="str">
        <f>IF($A27="","",IF(AND(INDEX(TblTareas[Activa],20)=1,R$7&gt;=INDEX(TblTareas[Semana],20),R$7&lt;INDEX(TblTareas[Semana],20)+INDEX(TblTareas[Duracion],20)),INDEX(TblTareas[Horas],20)/INDEX(TblTareas[Duracion],20),""))</f>
      </c>
      <c r="S27" s="64" t="str">
        <f>IF($A27="","",IF(AND(INDEX(TblTareas[Activa],20)=1,S$7&gt;=INDEX(TblTareas[Semana],20),S$7&lt;INDEX(TblTareas[Semana],20)+INDEX(TblTareas[Duracion],20)),INDEX(TblTareas[Horas],20)/INDEX(TblTareas[Duracion],20),""))</f>
      </c>
      <c r="T27" s="64" t="str">
        <f>IF($A27="","",IF(AND(INDEX(TblTareas[Activa],20)=1,T$7&gt;=INDEX(TblTareas[Semana],20),T$7&lt;INDEX(TblTareas[Semana],20)+INDEX(TblTareas[Duracion],20)),INDEX(TblTareas[Horas],20)/INDEX(TblTareas[Duracion],20),""))</f>
      </c>
    </row>
    <row r="28" ht="34" customHeight="1">
      <c r="A28" s="62" t="str">
        <f>IFERROR(IF(INDEX(TblTareas[ID],21)="","",INDEX(TblTareas[ID],21)),"")</f>
        <v>ART-02</v>
      </c>
      <c r="B28" s="62" t="str">
        <f>IF($A28="","",IFERROR(INDEX(TblTareas[Responsable],21),""))</f>
        <v>Iker</v>
      </c>
      <c r="C28" s="62" t="str">
        <f>IF($A28="","",IFERROR(INDEX(TblTareas[Trabajo],21),""))</f>
        <v>Integrar matrices y depth test</v>
      </c>
      <c r="D28" s="62" t="str">
        <f>IF($A28="","",IFERROR(INDEX(TblTareas[Estado],21),""))</f>
        <v>Por hacer</v>
      </c>
      <c r="E28" s="64" t="str">
        <f>IF($A28="","",IF(AND(INDEX(TblTareas[Activa],21)=1,E$7&gt;=INDEX(TblTareas[Semana],21),E$7&lt;INDEX(TblTareas[Semana],21)+INDEX(TblTareas[Duracion],21)),INDEX(TblTareas[Horas],21)/INDEX(TblTareas[Duracion],21),""))</f>
      </c>
      <c r="F28" s="64" t="str">
        <f>IF($A28="","",IF(AND(INDEX(TblTareas[Activa],21)=1,F$7&gt;=INDEX(TblTareas[Semana],21),F$7&lt;INDEX(TblTareas[Semana],21)+INDEX(TblTareas[Duracion],21)),INDEX(TblTareas[Horas],21)/INDEX(TblTareas[Duracion],21),""))</f>
      </c>
      <c r="G28" s="64" t="str">
        <f>IF($A28="","",IF(AND(INDEX(TblTareas[Activa],21)=1,G$7&gt;=INDEX(TblTareas[Semana],21),G$7&lt;INDEX(TblTareas[Semana],21)+INDEX(TblTareas[Duracion],21)),INDEX(TblTareas[Horas],21)/INDEX(TblTareas[Duracion],21),""))</f>
      </c>
      <c r="H28" s="64" t="n">
        <f>IF($A28="","",IF(AND(INDEX(TblTareas[Activa],21)=1,H$7&gt;=INDEX(TblTareas[Semana],21),H$7&lt;INDEX(TblTareas[Semana],21)+INDEX(TblTareas[Duracion],21)),INDEX(TblTareas[Horas],21)/INDEX(TblTareas[Duracion],21),""))</f>
        <v>5</v>
      </c>
      <c r="I28" s="64" t="str">
        <f>IF($A28="","",IF(AND(INDEX(TblTareas[Activa],21)=1,I$7&gt;=INDEX(TblTareas[Semana],21),I$7&lt;INDEX(TblTareas[Semana],21)+INDEX(TblTareas[Duracion],21)),INDEX(TblTareas[Horas],21)/INDEX(TblTareas[Duracion],21),""))</f>
      </c>
      <c r="J28" s="64" t="str">
        <f>IF($A28="","",IF(AND(INDEX(TblTareas[Activa],21)=1,J$7&gt;=INDEX(TblTareas[Semana],21),J$7&lt;INDEX(TblTareas[Semana],21)+INDEX(TblTareas[Duracion],21)),INDEX(TblTareas[Horas],21)/INDEX(TblTareas[Duracion],21),""))</f>
      </c>
      <c r="K28" s="64" t="str">
        <f>IF($A28="","",IF(AND(INDEX(TblTareas[Activa],21)=1,K$7&gt;=INDEX(TblTareas[Semana],21),K$7&lt;INDEX(TblTareas[Semana],21)+INDEX(TblTareas[Duracion],21)),INDEX(TblTareas[Horas],21)/INDEX(TblTareas[Duracion],21),""))</f>
      </c>
      <c r="L28" s="64" t="str">
        <f>IF($A28="","",IF(AND(INDEX(TblTareas[Activa],21)=1,L$7&gt;=INDEX(TblTareas[Semana],21),L$7&lt;INDEX(TblTareas[Semana],21)+INDEX(TblTareas[Duracion],21)),INDEX(TblTareas[Horas],21)/INDEX(TblTareas[Duracion],21),""))</f>
      </c>
      <c r="M28" s="64" t="str">
        <f>IF($A28="","",IF(AND(INDEX(TblTareas[Activa],21)=1,M$7&gt;=INDEX(TblTareas[Semana],21),M$7&lt;INDEX(TblTareas[Semana],21)+INDEX(TblTareas[Duracion],21)),INDEX(TblTareas[Horas],21)/INDEX(TblTareas[Duracion],21),""))</f>
      </c>
      <c r="N28" s="64" t="str">
        <f>IF($A28="","",IF(AND(INDEX(TblTareas[Activa],21)=1,N$7&gt;=INDEX(TblTareas[Semana],21),N$7&lt;INDEX(TblTareas[Semana],21)+INDEX(TblTareas[Duracion],21)),INDEX(TblTareas[Horas],21)/INDEX(TblTareas[Duracion],21),""))</f>
      </c>
      <c r="O28" s="64" t="str">
        <f>IF($A28="","",IF(AND(INDEX(TblTareas[Activa],21)=1,O$7&gt;=INDEX(TblTareas[Semana],21),O$7&lt;INDEX(TblTareas[Semana],21)+INDEX(TblTareas[Duracion],21)),INDEX(TblTareas[Horas],21)/INDEX(TblTareas[Duracion],21),""))</f>
      </c>
      <c r="P28" s="64" t="str">
        <f>IF($A28="","",IF(AND(INDEX(TblTareas[Activa],21)=1,P$7&gt;=INDEX(TblTareas[Semana],21),P$7&lt;INDEX(TblTareas[Semana],21)+INDEX(TblTareas[Duracion],21)),INDEX(TblTareas[Horas],21)/INDEX(TblTareas[Duracion],21),""))</f>
      </c>
      <c r="Q28" s="64" t="str">
        <f>IF($A28="","",IF(AND(INDEX(TblTareas[Activa],21)=1,Q$7&gt;=INDEX(TblTareas[Semana],21),Q$7&lt;INDEX(TblTareas[Semana],21)+INDEX(TblTareas[Duracion],21)),INDEX(TblTareas[Horas],21)/INDEX(TblTareas[Duracion],21),""))</f>
      </c>
      <c r="R28" s="64" t="str">
        <f>IF($A28="","",IF(AND(INDEX(TblTareas[Activa],21)=1,R$7&gt;=INDEX(TblTareas[Semana],21),R$7&lt;INDEX(TblTareas[Semana],21)+INDEX(TblTareas[Duracion],21)),INDEX(TblTareas[Horas],21)/INDEX(TblTareas[Duracion],21),""))</f>
      </c>
      <c r="S28" s="64" t="str">
        <f>IF($A28="","",IF(AND(INDEX(TblTareas[Activa],21)=1,S$7&gt;=INDEX(TblTareas[Semana],21),S$7&lt;INDEX(TblTareas[Semana],21)+INDEX(TblTareas[Duracion],21)),INDEX(TblTareas[Horas],21)/INDEX(TblTareas[Duracion],21),""))</f>
      </c>
      <c r="T28" s="64" t="str">
        <f>IF($A28="","",IF(AND(INDEX(TblTareas[Activa],21)=1,T$7&gt;=INDEX(TblTareas[Semana],21),T$7&lt;INDEX(TblTareas[Semana],21)+INDEX(TblTareas[Duracion],21)),INDEX(TblTareas[Horas],21)/INDEX(TblTareas[Duracion],21),""))</f>
      </c>
    </row>
    <row r="29" ht="34" customHeight="1">
      <c r="A29" s="62" t="str">
        <f>IFERROR(IF(INDEX(TblTareas[ID],22)="","",INDEX(TblTareas[ID],22)),"")</f>
        <v>ART-03</v>
      </c>
      <c r="B29" s="62" t="str">
        <f>IF($A29="","",IFERROR(INDEX(TblTareas[Responsable],22),""))</f>
        <v>Iker</v>
      </c>
      <c r="C29" s="62" t="str">
        <f>IF($A29="","",IFERROR(INDEX(TblTareas[Trabajo],22),""))</f>
        <v>Integrar materiales e iluminación</v>
      </c>
      <c r="D29" s="62" t="str">
        <f>IF($A29="","",IFERROR(INDEX(TblTareas[Estado],22),""))</f>
        <v>Por hacer</v>
      </c>
      <c r="E29" s="64" t="str">
        <f>IF($A29="","",IF(AND(INDEX(TblTareas[Activa],22)=1,E$7&gt;=INDEX(TblTareas[Semana],22),E$7&lt;INDEX(TblTareas[Semana],22)+INDEX(TblTareas[Duracion],22)),INDEX(TblTareas[Horas],22)/INDEX(TblTareas[Duracion],22),""))</f>
      </c>
      <c r="F29" s="64" t="str">
        <f>IF($A29="","",IF(AND(INDEX(TblTareas[Activa],22)=1,F$7&gt;=INDEX(TblTareas[Semana],22),F$7&lt;INDEX(TblTareas[Semana],22)+INDEX(TblTareas[Duracion],22)),INDEX(TblTareas[Horas],22)/INDEX(TblTareas[Duracion],22),""))</f>
      </c>
      <c r="G29" s="64" t="str">
        <f>IF($A29="","",IF(AND(INDEX(TblTareas[Activa],22)=1,G$7&gt;=INDEX(TblTareas[Semana],22),G$7&lt;INDEX(TblTareas[Semana],22)+INDEX(TblTareas[Duracion],22)),INDEX(TblTareas[Horas],22)/INDEX(TblTareas[Duracion],22),""))</f>
      </c>
      <c r="H29" s="64" t="n">
        <f>IF($A29="","",IF(AND(INDEX(TblTareas[Activa],22)=1,H$7&gt;=INDEX(TblTareas[Semana],22),H$7&lt;INDEX(TblTareas[Semana],22)+INDEX(TblTareas[Duracion],22)),INDEX(TblTareas[Horas],22)/INDEX(TblTareas[Duracion],22),""))</f>
        <v>2.5</v>
      </c>
      <c r="I29" s="64" t="n">
        <f>IF($A29="","",IF(AND(INDEX(TblTareas[Activa],22)=1,I$7&gt;=INDEX(TblTareas[Semana],22),I$7&lt;INDEX(TblTareas[Semana],22)+INDEX(TblTareas[Duracion],22)),INDEX(TblTareas[Horas],22)/INDEX(TblTareas[Duracion],22),""))</f>
        <v>2.5</v>
      </c>
      <c r="J29" s="64" t="str">
        <f>IF($A29="","",IF(AND(INDEX(TblTareas[Activa],22)=1,J$7&gt;=INDEX(TblTareas[Semana],22),J$7&lt;INDEX(TblTareas[Semana],22)+INDEX(TblTareas[Duracion],22)),INDEX(TblTareas[Horas],22)/INDEX(TblTareas[Duracion],22),""))</f>
      </c>
      <c r="K29" s="64" t="str">
        <f>IF($A29="","",IF(AND(INDEX(TblTareas[Activa],22)=1,K$7&gt;=INDEX(TblTareas[Semana],22),K$7&lt;INDEX(TblTareas[Semana],22)+INDEX(TblTareas[Duracion],22)),INDEX(TblTareas[Horas],22)/INDEX(TblTareas[Duracion],22),""))</f>
      </c>
      <c r="L29" s="64" t="str">
        <f>IF($A29="","",IF(AND(INDEX(TblTareas[Activa],22)=1,L$7&gt;=INDEX(TblTareas[Semana],22),L$7&lt;INDEX(TblTareas[Semana],22)+INDEX(TblTareas[Duracion],22)),INDEX(TblTareas[Horas],22)/INDEX(TblTareas[Duracion],22),""))</f>
      </c>
      <c r="M29" s="64" t="str">
        <f>IF($A29="","",IF(AND(INDEX(TblTareas[Activa],22)=1,M$7&gt;=INDEX(TblTareas[Semana],22),M$7&lt;INDEX(TblTareas[Semana],22)+INDEX(TblTareas[Duracion],22)),INDEX(TblTareas[Horas],22)/INDEX(TblTareas[Duracion],22),""))</f>
      </c>
      <c r="N29" s="64" t="str">
        <f>IF($A29="","",IF(AND(INDEX(TblTareas[Activa],22)=1,N$7&gt;=INDEX(TblTareas[Semana],22),N$7&lt;INDEX(TblTareas[Semana],22)+INDEX(TblTareas[Duracion],22)),INDEX(TblTareas[Horas],22)/INDEX(TblTareas[Duracion],22),""))</f>
      </c>
      <c r="O29" s="64" t="str">
        <f>IF($A29="","",IF(AND(INDEX(TblTareas[Activa],22)=1,O$7&gt;=INDEX(TblTareas[Semana],22),O$7&lt;INDEX(TblTareas[Semana],22)+INDEX(TblTareas[Duracion],22)),INDEX(TblTareas[Horas],22)/INDEX(TblTareas[Duracion],22),""))</f>
      </c>
      <c r="P29" s="64" t="str">
        <f>IF($A29="","",IF(AND(INDEX(TblTareas[Activa],22)=1,P$7&gt;=INDEX(TblTareas[Semana],22),P$7&lt;INDEX(TblTareas[Semana],22)+INDEX(TblTareas[Duracion],22)),INDEX(TblTareas[Horas],22)/INDEX(TblTareas[Duracion],22),""))</f>
      </c>
      <c r="Q29" s="64" t="str">
        <f>IF($A29="","",IF(AND(INDEX(TblTareas[Activa],22)=1,Q$7&gt;=INDEX(TblTareas[Semana],22),Q$7&lt;INDEX(TblTareas[Semana],22)+INDEX(TblTareas[Duracion],22)),INDEX(TblTareas[Horas],22)/INDEX(TblTareas[Duracion],22),""))</f>
      </c>
      <c r="R29" s="64" t="str">
        <f>IF($A29="","",IF(AND(INDEX(TblTareas[Activa],22)=1,R$7&gt;=INDEX(TblTareas[Semana],22),R$7&lt;INDEX(TblTareas[Semana],22)+INDEX(TblTareas[Duracion],22)),INDEX(TblTareas[Horas],22)/INDEX(TblTareas[Duracion],22),""))</f>
      </c>
      <c r="S29" s="64" t="str">
        <f>IF($A29="","",IF(AND(INDEX(TblTareas[Activa],22)=1,S$7&gt;=INDEX(TblTareas[Semana],22),S$7&lt;INDEX(TblTareas[Semana],22)+INDEX(TblTareas[Duracion],22)),INDEX(TblTareas[Horas],22)/INDEX(TblTareas[Duracion],22),""))</f>
      </c>
      <c r="T29" s="64" t="str">
        <f>IF($A29="","",IF(AND(INDEX(TblTareas[Activa],22)=1,T$7&gt;=INDEX(TblTareas[Semana],22),T$7&lt;INDEX(TblTareas[Semana],22)+INDEX(TblTareas[Duracion],22)),INDEX(TblTareas[Horas],22)/INDEX(TblTareas[Duracion],22),""))</f>
      </c>
    </row>
    <row r="30" ht="34" customHeight="1">
      <c r="A30" s="62" t="str">
        <f>IFERROR(IF(INDEX(TblTareas[ID],23)="","",INDEX(TblTareas[ID],23)),"")</f>
        <v>ART-04</v>
      </c>
      <c r="B30" s="62" t="str">
        <f>IF($A30="","",IFERROR(INDEX(TblTareas[Responsable],23),""))</f>
        <v>Iker</v>
      </c>
      <c r="C30" s="62" t="str">
        <f>IF($A30="","",IFERROR(INDEX(TblTareas[Trabajo],23),""))</f>
        <v>Orientar modelos en las rutas</v>
      </c>
      <c r="D30" s="62" t="str">
        <f>IF($A30="","",IFERROR(INDEX(TblTareas[Estado],23),""))</f>
        <v>Por hacer</v>
      </c>
      <c r="E30" s="64" t="str">
        <f>IF($A30="","",IF(AND(INDEX(TblTareas[Activa],23)=1,E$7&gt;=INDEX(TblTareas[Semana],23),E$7&lt;INDEX(TblTareas[Semana],23)+INDEX(TblTareas[Duracion],23)),INDEX(TblTareas[Horas],23)/INDEX(TblTareas[Duracion],23),""))</f>
      </c>
      <c r="F30" s="64" t="str">
        <f>IF($A30="","",IF(AND(INDEX(TblTareas[Activa],23)=1,F$7&gt;=INDEX(TblTareas[Semana],23),F$7&lt;INDEX(TblTareas[Semana],23)+INDEX(TblTareas[Duracion],23)),INDEX(TblTareas[Horas],23)/INDEX(TblTareas[Duracion],23),""))</f>
      </c>
      <c r="G30" s="64" t="str">
        <f>IF($A30="","",IF(AND(INDEX(TblTareas[Activa],23)=1,G$7&gt;=INDEX(TblTareas[Semana],23),G$7&lt;INDEX(TblTareas[Semana],23)+INDEX(TblTareas[Duracion],23)),INDEX(TblTareas[Horas],23)/INDEX(TblTareas[Duracion],23),""))</f>
      </c>
      <c r="H30" s="64" t="str">
        <f>IF($A30="","",IF(AND(INDEX(TblTareas[Activa],23)=1,H$7&gt;=INDEX(TblTareas[Semana],23),H$7&lt;INDEX(TblTareas[Semana],23)+INDEX(TblTareas[Duracion],23)),INDEX(TblTareas[Horas],23)/INDEX(TblTareas[Duracion],23),""))</f>
      </c>
      <c r="I30" s="64" t="str">
        <f>IF($A30="","",IF(AND(INDEX(TblTareas[Activa],23)=1,I$7&gt;=INDEX(TblTareas[Semana],23),I$7&lt;INDEX(TblTareas[Semana],23)+INDEX(TblTareas[Duracion],23)),INDEX(TblTareas[Horas],23)/INDEX(TblTareas[Duracion],23),""))</f>
      </c>
      <c r="J30" s="64" t="str">
        <f>IF($A30="","",IF(AND(INDEX(TblTareas[Activa],23)=1,J$7&gt;=INDEX(TblTareas[Semana],23),J$7&lt;INDEX(TblTareas[Semana],23)+INDEX(TblTareas[Duracion],23)),INDEX(TblTareas[Horas],23)/INDEX(TblTareas[Duracion],23),""))</f>
      </c>
      <c r="K30" s="64" t="str">
        <f>IF($A30="","",IF(AND(INDEX(TblTareas[Activa],23)=1,K$7&gt;=INDEX(TblTareas[Semana],23),K$7&lt;INDEX(TblTareas[Semana],23)+INDEX(TblTareas[Duracion],23)),INDEX(TblTareas[Horas],23)/INDEX(TblTareas[Duracion],23),""))</f>
      </c>
      <c r="L30" s="64" t="str">
        <f>IF($A30="","",IF(AND(INDEX(TblTareas[Activa],23)=1,L$7&gt;=INDEX(TblTareas[Semana],23),L$7&lt;INDEX(TblTareas[Semana],23)+INDEX(TblTareas[Duracion],23)),INDEX(TblTareas[Horas],23)/INDEX(TblTareas[Duracion],23),""))</f>
      </c>
      <c r="M30" s="64" t="n">
        <f>IF($A30="","",IF(AND(INDEX(TblTareas[Activa],23)=1,M$7&gt;=INDEX(TblTareas[Semana],23),M$7&lt;INDEX(TblTareas[Semana],23)+INDEX(TblTareas[Duracion],23)),INDEX(TblTareas[Horas],23)/INDEX(TblTareas[Duracion],23),""))</f>
        <v>4</v>
      </c>
      <c r="N30" s="64" t="str">
        <f>IF($A30="","",IF(AND(INDEX(TblTareas[Activa],23)=1,N$7&gt;=INDEX(TblTareas[Semana],23),N$7&lt;INDEX(TblTareas[Semana],23)+INDEX(TblTareas[Duracion],23)),INDEX(TblTareas[Horas],23)/INDEX(TblTareas[Duracion],23),""))</f>
      </c>
      <c r="O30" s="64" t="str">
        <f>IF($A30="","",IF(AND(INDEX(TblTareas[Activa],23)=1,O$7&gt;=INDEX(TblTareas[Semana],23),O$7&lt;INDEX(TblTareas[Semana],23)+INDEX(TblTareas[Duracion],23)),INDEX(TblTareas[Horas],23)/INDEX(TblTareas[Duracion],23),""))</f>
      </c>
      <c r="P30" s="64" t="str">
        <f>IF($A30="","",IF(AND(INDEX(TblTareas[Activa],23)=1,P$7&gt;=INDEX(TblTareas[Semana],23),P$7&lt;INDEX(TblTareas[Semana],23)+INDEX(TblTareas[Duracion],23)),INDEX(TblTareas[Horas],23)/INDEX(TblTareas[Duracion],23),""))</f>
      </c>
      <c r="Q30" s="64" t="str">
        <f>IF($A30="","",IF(AND(INDEX(TblTareas[Activa],23)=1,Q$7&gt;=INDEX(TblTareas[Semana],23),Q$7&lt;INDEX(TblTareas[Semana],23)+INDEX(TblTareas[Duracion],23)),INDEX(TblTareas[Horas],23)/INDEX(TblTareas[Duracion],23),""))</f>
      </c>
      <c r="R30" s="64" t="str">
        <f>IF($A30="","",IF(AND(INDEX(TblTareas[Activa],23)=1,R$7&gt;=INDEX(TblTareas[Semana],23),R$7&lt;INDEX(TblTareas[Semana],23)+INDEX(TblTareas[Duracion],23)),INDEX(TblTareas[Horas],23)/INDEX(TblTareas[Duracion],23),""))</f>
      </c>
      <c r="S30" s="64" t="str">
        <f>IF($A30="","",IF(AND(INDEX(TblTareas[Activa],23)=1,S$7&gt;=INDEX(TblTareas[Semana],23),S$7&lt;INDEX(TblTareas[Semana],23)+INDEX(TblTareas[Duracion],23)),INDEX(TblTareas[Horas],23)/INDEX(TblTareas[Duracion],23),""))</f>
      </c>
      <c r="T30" s="64" t="str">
        <f>IF($A30="","",IF(AND(INDEX(TblTareas[Activa],23)=1,T$7&gt;=INDEX(TblTareas[Semana],23),T$7&lt;INDEX(TblTareas[Semana],23)+INDEX(TblTareas[Duracion],23)),INDEX(TblTareas[Horas],23)/INDEX(TblTareas[Duracion],23),""))</f>
      </c>
    </row>
    <row r="31" ht="34" customHeight="1">
      <c r="A31" s="62" t="str">
        <f>IFERROR(IF(INDEX(TblTareas[ID],24)="","",INDEX(TblTareas[ID],24)),"")</f>
        <v>UI-01</v>
      </c>
      <c r="B31" s="62" t="str">
        <f>IF($A31="","",IFERROR(INDEX(TblTareas[Responsable],24),""))</f>
        <v>Ferran</v>
      </c>
      <c r="C31" s="62" t="str">
        <f>IF($A31="","",IFERROR(INDEX(TblTareas[Trabajo],24),""))</f>
        <v>Diseñar cámara y composición</v>
      </c>
      <c r="D31" s="62" t="str">
        <f>IF($A31="","",IFERROR(INDEX(TblTareas[Estado],24),""))</f>
        <v>Por hacer</v>
      </c>
      <c r="E31" s="64" t="str">
        <f>IF($A31="","",IF(AND(INDEX(TblTareas[Activa],24)=1,E$7&gt;=INDEX(TblTareas[Semana],24),E$7&lt;INDEX(TblTareas[Semana],24)+INDEX(TblTareas[Duracion],24)),INDEX(TblTareas[Horas],24)/INDEX(TblTareas[Duracion],24),""))</f>
      </c>
      <c r="F31" s="64" t="n">
        <f>IF($A31="","",IF(AND(INDEX(TblTareas[Activa],24)=1,F$7&gt;=INDEX(TblTareas[Semana],24),F$7&lt;INDEX(TblTareas[Semana],24)+INDEX(TblTareas[Duracion],24)),INDEX(TblTareas[Horas],24)/INDEX(TblTareas[Duracion],24),""))</f>
        <v>2</v>
      </c>
      <c r="G31" s="64" t="n">
        <f>IF($A31="","",IF(AND(INDEX(TblTareas[Activa],24)=1,G$7&gt;=INDEX(TblTareas[Semana],24),G$7&lt;INDEX(TblTareas[Semana],24)+INDEX(TblTareas[Duracion],24)),INDEX(TblTareas[Horas],24)/INDEX(TblTareas[Duracion],24),""))</f>
        <v>2</v>
      </c>
      <c r="H31" s="64" t="str">
        <f>IF($A31="","",IF(AND(INDEX(TblTareas[Activa],24)=1,H$7&gt;=INDEX(TblTareas[Semana],24),H$7&lt;INDEX(TblTareas[Semana],24)+INDEX(TblTareas[Duracion],24)),INDEX(TblTareas[Horas],24)/INDEX(TblTareas[Duracion],24),""))</f>
      </c>
      <c r="I31" s="64" t="str">
        <f>IF($A31="","",IF(AND(INDEX(TblTareas[Activa],24)=1,I$7&gt;=INDEX(TblTareas[Semana],24),I$7&lt;INDEX(TblTareas[Semana],24)+INDEX(TblTareas[Duracion],24)),INDEX(TblTareas[Horas],24)/INDEX(TblTareas[Duracion],24),""))</f>
      </c>
      <c r="J31" s="64" t="str">
        <f>IF($A31="","",IF(AND(INDEX(TblTareas[Activa],24)=1,J$7&gt;=INDEX(TblTareas[Semana],24),J$7&lt;INDEX(TblTareas[Semana],24)+INDEX(TblTareas[Duracion],24)),INDEX(TblTareas[Horas],24)/INDEX(TblTareas[Duracion],24),""))</f>
      </c>
      <c r="K31" s="64" t="str">
        <f>IF($A31="","",IF(AND(INDEX(TblTareas[Activa],24)=1,K$7&gt;=INDEX(TblTareas[Semana],24),K$7&lt;INDEX(TblTareas[Semana],24)+INDEX(TblTareas[Duracion],24)),INDEX(TblTareas[Horas],24)/INDEX(TblTareas[Duracion],24),""))</f>
      </c>
      <c r="L31" s="64" t="str">
        <f>IF($A31="","",IF(AND(INDEX(TblTareas[Activa],24)=1,L$7&gt;=INDEX(TblTareas[Semana],24),L$7&lt;INDEX(TblTareas[Semana],24)+INDEX(TblTareas[Duracion],24)),INDEX(TblTareas[Horas],24)/INDEX(TblTareas[Duracion],24),""))</f>
      </c>
      <c r="M31" s="64" t="str">
        <f>IF($A31="","",IF(AND(INDEX(TblTareas[Activa],24)=1,M$7&gt;=INDEX(TblTareas[Semana],24),M$7&lt;INDEX(TblTareas[Semana],24)+INDEX(TblTareas[Duracion],24)),INDEX(TblTareas[Horas],24)/INDEX(TblTareas[Duracion],24),""))</f>
      </c>
      <c r="N31" s="64" t="str">
        <f>IF($A31="","",IF(AND(INDEX(TblTareas[Activa],24)=1,N$7&gt;=INDEX(TblTareas[Semana],24),N$7&lt;INDEX(TblTareas[Semana],24)+INDEX(TblTareas[Duracion],24)),INDEX(TblTareas[Horas],24)/INDEX(TblTareas[Duracion],24),""))</f>
      </c>
      <c r="O31" s="64" t="str">
        <f>IF($A31="","",IF(AND(INDEX(TblTareas[Activa],24)=1,O$7&gt;=INDEX(TblTareas[Semana],24),O$7&lt;INDEX(TblTareas[Semana],24)+INDEX(TblTareas[Duracion],24)),INDEX(TblTareas[Horas],24)/INDEX(TblTareas[Duracion],24),""))</f>
      </c>
      <c r="P31" s="64" t="str">
        <f>IF($A31="","",IF(AND(INDEX(TblTareas[Activa],24)=1,P$7&gt;=INDEX(TblTareas[Semana],24),P$7&lt;INDEX(TblTareas[Semana],24)+INDEX(TblTareas[Duracion],24)),INDEX(TblTareas[Horas],24)/INDEX(TblTareas[Duracion],24),""))</f>
      </c>
      <c r="Q31" s="64" t="str">
        <f>IF($A31="","",IF(AND(INDEX(TblTareas[Activa],24)=1,Q$7&gt;=INDEX(TblTareas[Semana],24),Q$7&lt;INDEX(TblTareas[Semana],24)+INDEX(TblTareas[Duracion],24)),INDEX(TblTareas[Horas],24)/INDEX(TblTareas[Duracion],24),""))</f>
      </c>
      <c r="R31" s="64" t="str">
        <f>IF($A31="","",IF(AND(INDEX(TblTareas[Activa],24)=1,R$7&gt;=INDEX(TblTareas[Semana],24),R$7&lt;INDEX(TblTareas[Semana],24)+INDEX(TblTareas[Duracion],24)),INDEX(TblTareas[Horas],24)/INDEX(TblTareas[Duracion],24),""))</f>
      </c>
      <c r="S31" s="64" t="str">
        <f>IF($A31="","",IF(AND(INDEX(TblTareas[Activa],24)=1,S$7&gt;=INDEX(TblTareas[Semana],24),S$7&lt;INDEX(TblTareas[Semana],24)+INDEX(TblTareas[Duracion],24)),INDEX(TblTareas[Horas],24)/INDEX(TblTareas[Duracion],24),""))</f>
      </c>
      <c r="T31" s="64" t="str">
        <f>IF($A31="","",IF(AND(INDEX(TblTareas[Activa],24)=1,T$7&gt;=INDEX(TblTareas[Semana],24),T$7&lt;INDEX(TblTareas[Semana],24)+INDEX(TblTareas[Duracion],24)),INDEX(TblTareas[Horas],24)/INDEX(TblTareas[Duracion],24),""))</f>
      </c>
    </row>
    <row r="32" ht="34" customHeight="1">
      <c r="A32" s="62" t="str">
        <f>IFERROR(IF(INDEX(TblTareas[ID],25)="","",INDEX(TblTareas[ID],25)),"")</f>
        <v>UI-02</v>
      </c>
      <c r="B32" s="62" t="str">
        <f>IF($A32="","",IFERROR(INDEX(TblTareas[Responsable],25),""))</f>
        <v>Ferran</v>
      </c>
      <c r="C32" s="62" t="str">
        <f>IF($A32="","",IFERROR(INDEX(TblTareas[Trabajo],25),""))</f>
        <v>Integrar HUD y menús</v>
      </c>
      <c r="D32" s="62" t="str">
        <f>IF($A32="","",IFERROR(INDEX(TblTareas[Estado],25),""))</f>
        <v>Por hacer</v>
      </c>
      <c r="E32" s="64" t="str">
        <f>IF($A32="","",IF(AND(INDEX(TblTareas[Activa],25)=1,E$7&gt;=INDEX(TblTareas[Semana],25),E$7&lt;INDEX(TblTareas[Semana],25)+INDEX(TblTareas[Duracion],25)),INDEX(TblTareas[Horas],25)/INDEX(TblTareas[Duracion],25),""))</f>
      </c>
      <c r="F32" s="64" t="str">
        <f>IF($A32="","",IF(AND(INDEX(TblTareas[Activa],25)=1,F$7&gt;=INDEX(TblTareas[Semana],25),F$7&lt;INDEX(TblTareas[Semana],25)+INDEX(TblTareas[Duracion],25)),INDEX(TblTareas[Horas],25)/INDEX(TblTareas[Duracion],25),""))</f>
      </c>
      <c r="G32" s="64" t="n">
        <f>IF($A32="","",IF(AND(INDEX(TblTareas[Activa],25)=1,G$7&gt;=INDEX(TblTareas[Semana],25),G$7&lt;INDEX(TblTareas[Semana],25)+INDEX(TblTareas[Duracion],25)),INDEX(TblTareas[Horas],25)/INDEX(TblTareas[Duracion],25),""))</f>
        <v>3</v>
      </c>
      <c r="H32" s="64" t="n">
        <f>IF($A32="","",IF(AND(INDEX(TblTareas[Activa],25)=1,H$7&gt;=INDEX(TblTareas[Semana],25),H$7&lt;INDEX(TblTareas[Semana],25)+INDEX(TblTareas[Duracion],25)),INDEX(TblTareas[Horas],25)/INDEX(TblTareas[Duracion],25),""))</f>
        <v>3</v>
      </c>
      <c r="I32" s="64" t="str">
        <f>IF($A32="","",IF(AND(INDEX(TblTareas[Activa],25)=1,I$7&gt;=INDEX(TblTareas[Semana],25),I$7&lt;INDEX(TblTareas[Semana],25)+INDEX(TblTareas[Duracion],25)),INDEX(TblTareas[Horas],25)/INDEX(TblTareas[Duracion],25),""))</f>
      </c>
      <c r="J32" s="64" t="str">
        <f>IF($A32="","",IF(AND(INDEX(TblTareas[Activa],25)=1,J$7&gt;=INDEX(TblTareas[Semana],25),J$7&lt;INDEX(TblTareas[Semana],25)+INDEX(TblTareas[Duracion],25)),INDEX(TblTareas[Horas],25)/INDEX(TblTareas[Duracion],25),""))</f>
      </c>
      <c r="K32" s="64" t="str">
        <f>IF($A32="","",IF(AND(INDEX(TblTareas[Activa],25)=1,K$7&gt;=INDEX(TblTareas[Semana],25),K$7&lt;INDEX(TblTareas[Semana],25)+INDEX(TblTareas[Duracion],25)),INDEX(TblTareas[Horas],25)/INDEX(TblTareas[Duracion],25),""))</f>
      </c>
      <c r="L32" s="64" t="str">
        <f>IF($A32="","",IF(AND(INDEX(TblTareas[Activa],25)=1,L$7&gt;=INDEX(TblTareas[Semana],25),L$7&lt;INDEX(TblTareas[Semana],25)+INDEX(TblTareas[Duracion],25)),INDEX(TblTareas[Horas],25)/INDEX(TblTareas[Duracion],25),""))</f>
      </c>
      <c r="M32" s="64" t="str">
        <f>IF($A32="","",IF(AND(INDEX(TblTareas[Activa],25)=1,M$7&gt;=INDEX(TblTareas[Semana],25),M$7&lt;INDEX(TblTareas[Semana],25)+INDEX(TblTareas[Duracion],25)),INDEX(TblTareas[Horas],25)/INDEX(TblTareas[Duracion],25),""))</f>
      </c>
      <c r="N32" s="64" t="str">
        <f>IF($A32="","",IF(AND(INDEX(TblTareas[Activa],25)=1,N$7&gt;=INDEX(TblTareas[Semana],25),N$7&lt;INDEX(TblTareas[Semana],25)+INDEX(TblTareas[Duracion],25)),INDEX(TblTareas[Horas],25)/INDEX(TblTareas[Duracion],25),""))</f>
      </c>
      <c r="O32" s="64" t="str">
        <f>IF($A32="","",IF(AND(INDEX(TblTareas[Activa],25)=1,O$7&gt;=INDEX(TblTareas[Semana],25),O$7&lt;INDEX(TblTareas[Semana],25)+INDEX(TblTareas[Duracion],25)),INDEX(TblTareas[Horas],25)/INDEX(TblTareas[Duracion],25),""))</f>
      </c>
      <c r="P32" s="64" t="str">
        <f>IF($A32="","",IF(AND(INDEX(TblTareas[Activa],25)=1,P$7&gt;=INDEX(TblTareas[Semana],25),P$7&lt;INDEX(TblTareas[Semana],25)+INDEX(TblTareas[Duracion],25)),INDEX(TblTareas[Horas],25)/INDEX(TblTareas[Duracion],25),""))</f>
      </c>
      <c r="Q32" s="64" t="str">
        <f>IF($A32="","",IF(AND(INDEX(TblTareas[Activa],25)=1,Q$7&gt;=INDEX(TblTareas[Semana],25),Q$7&lt;INDEX(TblTareas[Semana],25)+INDEX(TblTareas[Duracion],25)),INDEX(TblTareas[Horas],25)/INDEX(TblTareas[Duracion],25),""))</f>
      </c>
      <c r="R32" s="64" t="str">
        <f>IF($A32="","",IF(AND(INDEX(TblTareas[Activa],25)=1,R$7&gt;=INDEX(TblTareas[Semana],25),R$7&lt;INDEX(TblTareas[Semana],25)+INDEX(TblTareas[Duracion],25)),INDEX(TblTareas[Horas],25)/INDEX(TblTareas[Duracion],25),""))</f>
      </c>
      <c r="S32" s="64" t="str">
        <f>IF($A32="","",IF(AND(INDEX(TblTareas[Activa],25)=1,S$7&gt;=INDEX(TblTareas[Semana],25),S$7&lt;INDEX(TblTareas[Semana],25)+INDEX(TblTareas[Duracion],25)),INDEX(TblTareas[Horas],25)/INDEX(TblTareas[Duracion],25),""))</f>
      </c>
      <c r="T32" s="64" t="str">
        <f>IF($A32="","",IF(AND(INDEX(TblTareas[Activa],25)=1,T$7&gt;=INDEX(TblTareas[Semana],25),T$7&lt;INDEX(TblTareas[Semana],25)+INDEX(TblTareas[Duracion],25)),INDEX(TblTareas[Horas],25)/INDEX(TblTareas[Duracion],25),""))</f>
      </c>
    </row>
    <row r="33" ht="34" customHeight="1">
      <c r="A33" s="62" t="str">
        <f>IFERROR(IF(INDEX(TblTareas[ID],26)="","",INDEX(TblTareas[ID],26)),"")</f>
        <v>UI-03</v>
      </c>
      <c r="B33" s="62" t="str">
        <f>IF($A33="","",IFERROR(INDEX(TblTareas[Responsable],26),""))</f>
        <v>Ferran</v>
      </c>
      <c r="C33" s="62" t="str">
        <f>IF($A33="","",IFERROR(INDEX(TblTareas[Trabajo],26),""))</f>
        <v>Integrar marcas y aviso A/B</v>
      </c>
      <c r="D33" s="62" t="str">
        <f>IF($A33="","",IFERROR(INDEX(TblTareas[Estado],26),""))</f>
        <v>Por hacer</v>
      </c>
      <c r="E33" s="64" t="str">
        <f>IF($A33="","",IF(AND(INDEX(TblTareas[Activa],26)=1,E$7&gt;=INDEX(TblTareas[Semana],26),E$7&lt;INDEX(TblTareas[Semana],26)+INDEX(TblTareas[Duracion],26)),INDEX(TblTareas[Horas],26)/INDEX(TblTareas[Duracion],26),""))</f>
      </c>
      <c r="F33" s="64" t="str">
        <f>IF($A33="","",IF(AND(INDEX(TblTareas[Activa],26)=1,F$7&gt;=INDEX(TblTareas[Semana],26),F$7&lt;INDEX(TblTareas[Semana],26)+INDEX(TblTareas[Duracion],26)),INDEX(TblTareas[Horas],26)/INDEX(TblTareas[Duracion],26),""))</f>
      </c>
      <c r="G33" s="64" t="str">
        <f>IF($A33="","",IF(AND(INDEX(TblTareas[Activa],26)=1,G$7&gt;=INDEX(TblTareas[Semana],26),G$7&lt;INDEX(TblTareas[Semana],26)+INDEX(TblTareas[Duracion],26)),INDEX(TblTareas[Horas],26)/INDEX(TblTareas[Duracion],26),""))</f>
      </c>
      <c r="H33" s="64" t="str">
        <f>IF($A33="","",IF(AND(INDEX(TblTareas[Activa],26)=1,H$7&gt;=INDEX(TblTareas[Semana],26),H$7&lt;INDEX(TblTareas[Semana],26)+INDEX(TblTareas[Duracion],26)),INDEX(TblTareas[Horas],26)/INDEX(TblTareas[Duracion],26),""))</f>
      </c>
      <c r="I33" s="64" t="n">
        <f>IF($A33="","",IF(AND(INDEX(TblTareas[Activa],26)=1,I$7&gt;=INDEX(TblTareas[Semana],26),I$7&lt;INDEX(TblTareas[Semana],26)+INDEX(TblTareas[Duracion],26)),INDEX(TblTareas[Horas],26)/INDEX(TblTareas[Duracion],26),""))</f>
        <v>3</v>
      </c>
      <c r="J33" s="64" t="n">
        <f>IF($A33="","",IF(AND(INDEX(TblTareas[Activa],26)=1,J$7&gt;=INDEX(TblTareas[Semana],26),J$7&lt;INDEX(TblTareas[Semana],26)+INDEX(TblTareas[Duracion],26)),INDEX(TblTareas[Horas],26)/INDEX(TblTareas[Duracion],26),""))</f>
        <v>3</v>
      </c>
      <c r="K33" s="64" t="str">
        <f>IF($A33="","",IF(AND(INDEX(TblTareas[Activa],26)=1,K$7&gt;=INDEX(TblTareas[Semana],26),K$7&lt;INDEX(TblTareas[Semana],26)+INDEX(TblTareas[Duracion],26)),INDEX(TblTareas[Horas],26)/INDEX(TblTareas[Duracion],26),""))</f>
      </c>
      <c r="L33" s="64" t="str">
        <f>IF($A33="","",IF(AND(INDEX(TblTareas[Activa],26)=1,L$7&gt;=INDEX(TblTareas[Semana],26),L$7&lt;INDEX(TblTareas[Semana],26)+INDEX(TblTareas[Duracion],26)),INDEX(TblTareas[Horas],26)/INDEX(TblTareas[Duracion],26),""))</f>
      </c>
      <c r="M33" s="64" t="str">
        <f>IF($A33="","",IF(AND(INDEX(TblTareas[Activa],26)=1,M$7&gt;=INDEX(TblTareas[Semana],26),M$7&lt;INDEX(TblTareas[Semana],26)+INDEX(TblTareas[Duracion],26)),INDEX(TblTareas[Horas],26)/INDEX(TblTareas[Duracion],26),""))</f>
      </c>
      <c r="N33" s="64" t="str">
        <f>IF($A33="","",IF(AND(INDEX(TblTareas[Activa],26)=1,N$7&gt;=INDEX(TblTareas[Semana],26),N$7&lt;INDEX(TblTareas[Semana],26)+INDEX(TblTareas[Duracion],26)),INDEX(TblTareas[Horas],26)/INDEX(TblTareas[Duracion],26),""))</f>
      </c>
      <c r="O33" s="64" t="str">
        <f>IF($A33="","",IF(AND(INDEX(TblTareas[Activa],26)=1,O$7&gt;=INDEX(TblTareas[Semana],26),O$7&lt;INDEX(TblTareas[Semana],26)+INDEX(TblTareas[Duracion],26)),INDEX(TblTareas[Horas],26)/INDEX(TblTareas[Duracion],26),""))</f>
      </c>
      <c r="P33" s="64" t="str">
        <f>IF($A33="","",IF(AND(INDEX(TblTareas[Activa],26)=1,P$7&gt;=INDEX(TblTareas[Semana],26),P$7&lt;INDEX(TblTareas[Semana],26)+INDEX(TblTareas[Duracion],26)),INDEX(TblTareas[Horas],26)/INDEX(TblTareas[Duracion],26),""))</f>
      </c>
      <c r="Q33" s="64" t="str">
        <f>IF($A33="","",IF(AND(INDEX(TblTareas[Activa],26)=1,Q$7&gt;=INDEX(TblTareas[Semana],26),Q$7&lt;INDEX(TblTareas[Semana],26)+INDEX(TblTareas[Duracion],26)),INDEX(TblTareas[Horas],26)/INDEX(TblTareas[Duracion],26),""))</f>
      </c>
      <c r="R33" s="64" t="str">
        <f>IF($A33="","",IF(AND(INDEX(TblTareas[Activa],26)=1,R$7&gt;=INDEX(TblTareas[Semana],26),R$7&lt;INDEX(TblTareas[Semana],26)+INDEX(TblTareas[Duracion],26)),INDEX(TblTareas[Horas],26)/INDEX(TblTareas[Duracion],26),""))</f>
      </c>
      <c r="S33" s="64" t="str">
        <f>IF($A33="","",IF(AND(INDEX(TblTareas[Activa],26)=1,S$7&gt;=INDEX(TblTareas[Semana],26),S$7&lt;INDEX(TblTareas[Semana],26)+INDEX(TblTareas[Duracion],26)),INDEX(TblTareas[Horas],26)/INDEX(TblTareas[Duracion],26),""))</f>
      </c>
      <c r="T33" s="64" t="str">
        <f>IF($A33="","",IF(AND(INDEX(TblTareas[Activa],26)=1,T$7&gt;=INDEX(TblTareas[Semana],26),T$7&lt;INDEX(TblTareas[Semana],26)+INDEX(TblTareas[Duracion],26)),INDEX(TblTareas[Horas],26)/INDEX(TblTareas[Duracion],26),""))</f>
      </c>
    </row>
    <row r="34" ht="34" customHeight="1">
      <c r="A34" s="62" t="str">
        <f>IFERROR(IF(INDEX(TblTareas[ID],27)="","",INDEX(TblTareas[ID],27)),"")</f>
        <v>PROF-01</v>
      </c>
      <c r="B34" s="62" t="str">
        <f>IF($A34="","",IFERROR(INDEX(TblTareas[Responsable],27),""))</f>
        <v>Iker</v>
      </c>
      <c r="C34" s="62" t="str">
        <f>IF($A34="","",IFERROR(INDEX(TblTareas[Trabajo],27),""))</f>
        <v>Integrar planos y filtros de impacto</v>
      </c>
      <c r="D34" s="62" t="str">
        <f>IF($A34="","",IFERROR(INDEX(TblTareas[Estado],27),""))</f>
        <v>Por hacer</v>
      </c>
      <c r="E34" s="64" t="str">
        <f>IF($A34="","",IF(AND(INDEX(TblTareas[Activa],27)=1,E$7&gt;=INDEX(TblTareas[Semana],27),E$7&lt;INDEX(TblTareas[Semana],27)+INDEX(TblTareas[Duracion],27)),INDEX(TblTareas[Horas],27)/INDEX(TblTareas[Duracion],27),""))</f>
      </c>
      <c r="F34" s="64" t="str">
        <f>IF($A34="","",IF(AND(INDEX(TblTareas[Activa],27)=1,F$7&gt;=INDEX(TblTareas[Semana],27),F$7&lt;INDEX(TblTareas[Semana],27)+INDEX(TblTareas[Duracion],27)),INDEX(TblTareas[Horas],27)/INDEX(TblTareas[Duracion],27),""))</f>
      </c>
      <c r="G34" s="64" t="str">
        <f>IF($A34="","",IF(AND(INDEX(TblTareas[Activa],27)=1,G$7&gt;=INDEX(TblTareas[Semana],27),G$7&lt;INDEX(TblTareas[Semana],27)+INDEX(TblTareas[Duracion],27)),INDEX(TblTareas[Horas],27)/INDEX(TblTareas[Duracion],27),""))</f>
      </c>
      <c r="H34" s="64" t="str">
        <f>IF($A34="","",IF(AND(INDEX(TblTareas[Activa],27)=1,H$7&gt;=INDEX(TblTareas[Semana],27),H$7&lt;INDEX(TblTareas[Semana],27)+INDEX(TblTareas[Duracion],27)),INDEX(TblTareas[Horas],27)/INDEX(TblTareas[Duracion],27),""))</f>
      </c>
      <c r="I34" s="64" t="str">
        <f>IF($A34="","",IF(AND(INDEX(TblTareas[Activa],27)=1,I$7&gt;=INDEX(TblTareas[Semana],27),I$7&lt;INDEX(TblTareas[Semana],27)+INDEX(TblTareas[Duracion],27)),INDEX(TblTareas[Horas],27)/INDEX(TblTareas[Duracion],27),""))</f>
      </c>
      <c r="J34" s="64" t="str">
        <f>IF($A34="","",IF(AND(INDEX(TblTareas[Activa],27)=1,J$7&gt;=INDEX(TblTareas[Semana],27),J$7&lt;INDEX(TblTareas[Semana],27)+INDEX(TblTareas[Duracion],27)),INDEX(TblTareas[Horas],27)/INDEX(TblTareas[Duracion],27),""))</f>
      </c>
      <c r="K34" s="64" t="str">
        <f>IF($A34="","",IF(AND(INDEX(TblTareas[Activa],27)=1,K$7&gt;=INDEX(TblTareas[Semana],27),K$7&lt;INDEX(TblTareas[Semana],27)+INDEX(TblTareas[Duracion],27)),INDEX(TblTareas[Horas],27)/INDEX(TblTareas[Duracion],27),""))</f>
      </c>
      <c r="L34" s="64" t="str">
        <f>IF($A34="","",IF(AND(INDEX(TblTareas[Activa],27)=1,L$7&gt;=INDEX(TblTareas[Semana],27),L$7&lt;INDEX(TblTareas[Semana],27)+INDEX(TblTareas[Duracion],27)),INDEX(TblTareas[Horas],27)/INDEX(TblTareas[Duracion],27),""))</f>
      </c>
      <c r="M34" s="64" t="str">
        <f>IF($A34="","",IF(AND(INDEX(TblTareas[Activa],27)=1,M$7&gt;=INDEX(TblTareas[Semana],27),M$7&lt;INDEX(TblTareas[Semana],27)+INDEX(TblTareas[Duracion],27)),INDEX(TblTareas[Horas],27)/INDEX(TblTareas[Duracion],27),""))</f>
      </c>
      <c r="N34" s="64" t="n">
        <f>IF($A34="","",IF(AND(INDEX(TblTareas[Activa],27)=1,N$7&gt;=INDEX(TblTareas[Semana],27),N$7&lt;INDEX(TblTareas[Semana],27)+INDEX(TblTareas[Duracion],27)),INDEX(TblTareas[Horas],27)/INDEX(TblTareas[Duracion],27),""))</f>
        <v>7</v>
      </c>
      <c r="O34" s="64" t="str">
        <f>IF($A34="","",IF(AND(INDEX(TblTareas[Activa],27)=1,O$7&gt;=INDEX(TblTareas[Semana],27),O$7&lt;INDEX(TblTareas[Semana],27)+INDEX(TblTareas[Duracion],27)),INDEX(TblTareas[Horas],27)/INDEX(TblTareas[Duracion],27),""))</f>
      </c>
      <c r="P34" s="64" t="str">
        <f>IF($A34="","",IF(AND(INDEX(TblTareas[Activa],27)=1,P$7&gt;=INDEX(TblTareas[Semana],27),P$7&lt;INDEX(TblTareas[Semana],27)+INDEX(TblTareas[Duracion],27)),INDEX(TblTareas[Horas],27)/INDEX(TblTareas[Duracion],27),""))</f>
      </c>
      <c r="Q34" s="64" t="str">
        <f>IF($A34="","",IF(AND(INDEX(TblTareas[Activa],27)=1,Q$7&gt;=INDEX(TblTareas[Semana],27),Q$7&lt;INDEX(TblTareas[Semana],27)+INDEX(TblTareas[Duracion],27)),INDEX(TblTareas[Horas],27)/INDEX(TblTareas[Duracion],27),""))</f>
      </c>
      <c r="R34" s="64" t="str">
        <f>IF($A34="","",IF(AND(INDEX(TblTareas[Activa],27)=1,R$7&gt;=INDEX(TblTareas[Semana],27),R$7&lt;INDEX(TblTareas[Semana],27)+INDEX(TblTareas[Duracion],27)),INDEX(TblTareas[Horas],27)/INDEX(TblTareas[Duracion],27),""))</f>
      </c>
      <c r="S34" s="64" t="str">
        <f>IF($A34="","",IF(AND(INDEX(TblTareas[Activa],27)=1,S$7&gt;=INDEX(TblTareas[Semana],27),S$7&lt;INDEX(TblTareas[Semana],27)+INDEX(TblTareas[Duracion],27)),INDEX(TblTareas[Horas],27)/INDEX(TblTareas[Duracion],27),""))</f>
      </c>
      <c r="T34" s="64" t="str">
        <f>IF($A34="","",IF(AND(INDEX(TblTareas[Activa],27)=1,T$7&gt;=INDEX(TblTareas[Semana],27),T$7&lt;INDEX(TblTareas[Semana],27)+INDEX(TblTareas[Duracion],27)),INDEX(TblTareas[Horas],27)/INDEX(TblTareas[Duracion],27),""))</f>
      </c>
    </row>
    <row r="35" ht="34" customHeight="1">
      <c r="A35" s="62" t="str">
        <f>IFERROR(IF(INDEX(TblTareas[ID],28)="","",INDEX(TblTareas[ID],28)),"")</f>
        <v>PROF-02</v>
      </c>
      <c r="B35" s="62" t="str">
        <f>IF($A35="","",IFERROR(INDEX(TblTareas[Responsable],28),""))</f>
        <v>Iker</v>
      </c>
      <c r="C35" s="62" t="str">
        <f>IF($A35="","",IFERROR(INDEX(TblTareas[Trabajo],28),""))</f>
        <v>Integrar transición y recarga</v>
      </c>
      <c r="D35" s="62" t="str">
        <f>IF($A35="","",IFERROR(INDEX(TblTareas[Estado],28),""))</f>
        <v>Por hacer</v>
      </c>
      <c r="E35" s="64" t="str">
        <f>IF($A35="","",IF(AND(INDEX(TblTareas[Activa],28)=1,E$7&gt;=INDEX(TblTareas[Semana],28),E$7&lt;INDEX(TblTareas[Semana],28)+INDEX(TblTareas[Duracion],28)),INDEX(TblTareas[Horas],28)/INDEX(TblTareas[Duracion],28),""))</f>
      </c>
      <c r="F35" s="64" t="str">
        <f>IF($A35="","",IF(AND(INDEX(TblTareas[Activa],28)=1,F$7&gt;=INDEX(TblTareas[Semana],28),F$7&lt;INDEX(TblTareas[Semana],28)+INDEX(TblTareas[Duracion],28)),INDEX(TblTareas[Horas],28)/INDEX(TblTareas[Duracion],28),""))</f>
      </c>
      <c r="G35" s="64" t="str">
        <f>IF($A35="","",IF(AND(INDEX(TblTareas[Activa],28)=1,G$7&gt;=INDEX(TblTareas[Semana],28),G$7&lt;INDEX(TblTareas[Semana],28)+INDEX(TblTareas[Duracion],28)),INDEX(TblTareas[Horas],28)/INDEX(TblTareas[Duracion],28),""))</f>
      </c>
      <c r="H35" s="64" t="str">
        <f>IF($A35="","",IF(AND(INDEX(TblTareas[Activa],28)=1,H$7&gt;=INDEX(TblTareas[Semana],28),H$7&lt;INDEX(TblTareas[Semana],28)+INDEX(TblTareas[Duracion],28)),INDEX(TblTareas[Horas],28)/INDEX(TblTareas[Duracion],28),""))</f>
      </c>
      <c r="I35" s="64" t="str">
        <f>IF($A35="","",IF(AND(INDEX(TblTareas[Activa],28)=1,I$7&gt;=INDEX(TblTareas[Semana],28),I$7&lt;INDEX(TblTareas[Semana],28)+INDEX(TblTareas[Duracion],28)),INDEX(TblTareas[Horas],28)/INDEX(TblTareas[Duracion],28),""))</f>
      </c>
      <c r="J35" s="64" t="str">
        <f>IF($A35="","",IF(AND(INDEX(TblTareas[Activa],28)=1,J$7&gt;=INDEX(TblTareas[Semana],28),J$7&lt;INDEX(TblTareas[Semana],28)+INDEX(TblTareas[Duracion],28)),INDEX(TblTareas[Horas],28)/INDEX(TblTareas[Duracion],28),""))</f>
      </c>
      <c r="K35" s="64" t="str">
        <f>IF($A35="","",IF(AND(INDEX(TblTareas[Activa],28)=1,K$7&gt;=INDEX(TblTareas[Semana],28),K$7&lt;INDEX(TblTareas[Semana],28)+INDEX(TblTareas[Duracion],28)),INDEX(TblTareas[Horas],28)/INDEX(TblTareas[Duracion],28),""))</f>
      </c>
      <c r="L35" s="64" t="str">
        <f>IF($A35="","",IF(AND(INDEX(TblTareas[Activa],28)=1,L$7&gt;=INDEX(TblTareas[Semana],28),L$7&lt;INDEX(TblTareas[Semana],28)+INDEX(TblTareas[Duracion],28)),INDEX(TblTareas[Horas],28)/INDEX(TblTareas[Duracion],28),""))</f>
      </c>
      <c r="M35" s="64" t="str">
        <f>IF($A35="","",IF(AND(INDEX(TblTareas[Activa],28)=1,M$7&gt;=INDEX(TblTareas[Semana],28),M$7&lt;INDEX(TblTareas[Semana],28)+INDEX(TblTareas[Duracion],28)),INDEX(TblTareas[Horas],28)/INDEX(TblTareas[Duracion],28),""))</f>
      </c>
      <c r="N35" s="64" t="str">
        <f>IF($A35="","",IF(AND(INDEX(TblTareas[Activa],28)=1,N$7&gt;=INDEX(TblTareas[Semana],28),N$7&lt;INDEX(TblTareas[Semana],28)+INDEX(TblTareas[Duracion],28)),INDEX(TblTareas[Horas],28)/INDEX(TblTareas[Duracion],28),""))</f>
      </c>
      <c r="O35" s="64" t="n">
        <f>IF($A35="","",IF(AND(INDEX(TblTareas[Activa],28)=1,O$7&gt;=INDEX(TblTareas[Semana],28),O$7&lt;INDEX(TblTareas[Semana],28)+INDEX(TblTareas[Duracion],28)),INDEX(TblTareas[Horas],28)/INDEX(TblTareas[Duracion],28),""))</f>
        <v>6</v>
      </c>
      <c r="P35" s="64" t="str">
        <f>IF($A35="","",IF(AND(INDEX(TblTareas[Activa],28)=1,P$7&gt;=INDEX(TblTareas[Semana],28),P$7&lt;INDEX(TblTareas[Semana],28)+INDEX(TblTareas[Duracion],28)),INDEX(TblTareas[Horas],28)/INDEX(TblTareas[Duracion],28),""))</f>
      </c>
      <c r="Q35" s="64" t="str">
        <f>IF($A35="","",IF(AND(INDEX(TblTareas[Activa],28)=1,Q$7&gt;=INDEX(TblTareas[Semana],28),Q$7&lt;INDEX(TblTareas[Semana],28)+INDEX(TblTareas[Duracion],28)),INDEX(TblTareas[Horas],28)/INDEX(TblTareas[Duracion],28),""))</f>
      </c>
      <c r="R35" s="64" t="str">
        <f>IF($A35="","",IF(AND(INDEX(TblTareas[Activa],28)=1,R$7&gt;=INDEX(TblTareas[Semana],28),R$7&lt;INDEX(TblTareas[Semana],28)+INDEX(TblTareas[Duracion],28)),INDEX(TblTareas[Horas],28)/INDEX(TblTareas[Duracion],28),""))</f>
      </c>
      <c r="S35" s="64" t="str">
        <f>IF($A35="","",IF(AND(INDEX(TblTareas[Activa],28)=1,S$7&gt;=INDEX(TblTareas[Semana],28),S$7&lt;INDEX(TblTareas[Semana],28)+INDEX(TblTareas[Duracion],28)),INDEX(TblTareas[Horas],28)/INDEX(TblTareas[Duracion],28),""))</f>
      </c>
      <c r="T35" s="64" t="str">
        <f>IF($A35="","",IF(AND(INDEX(TblTareas[Activa],28)=1,T$7&gt;=INDEX(TblTareas[Semana],28),T$7&lt;INDEX(TblTareas[Semana],28)+INDEX(TblTareas[Duracion],28)),INDEX(TblTareas[Horas],28)/INDEX(TblTareas[Duracion],28),""))</f>
      </c>
    </row>
    <row r="36" ht="34" customHeight="1">
      <c r="A36" s="62" t="str">
        <f>IFERROR(IF(INDEX(TblTareas[ID],29)="","",INDEX(TblTareas[ID],29)),"")</f>
        <v>PROF-03</v>
      </c>
      <c r="B36" s="62" t="str">
        <f>IF($A36="","",IFERROR(INDEX(TblTareas[Responsable],29),""))</f>
        <v>Iker</v>
      </c>
      <c r="C36" s="62" t="str">
        <f>IF($A36="","",IFERROR(INDEX(TblTareas[Trabajo],29),""))</f>
        <v>Integrar profundidad del jefe</v>
      </c>
      <c r="D36" s="62" t="str">
        <f>IF($A36="","",IFERROR(INDEX(TblTareas[Estado],29),""))</f>
        <v>Por hacer</v>
      </c>
      <c r="E36" s="64" t="str">
        <f>IF($A36="","",IF(AND(INDEX(TblTareas[Activa],29)=1,E$7&gt;=INDEX(TblTareas[Semana],29),E$7&lt;INDEX(TblTareas[Semana],29)+INDEX(TblTareas[Duracion],29)),INDEX(TblTareas[Horas],29)/INDEX(TblTareas[Duracion],29),""))</f>
      </c>
      <c r="F36" s="64" t="str">
        <f>IF($A36="","",IF(AND(INDEX(TblTareas[Activa],29)=1,F$7&gt;=INDEX(TblTareas[Semana],29),F$7&lt;INDEX(TblTareas[Semana],29)+INDEX(TblTareas[Duracion],29)),INDEX(TblTareas[Horas],29)/INDEX(TblTareas[Duracion],29),""))</f>
      </c>
      <c r="G36" s="64" t="str">
        <f>IF($A36="","",IF(AND(INDEX(TblTareas[Activa],29)=1,G$7&gt;=INDEX(TblTareas[Semana],29),G$7&lt;INDEX(TblTareas[Semana],29)+INDEX(TblTareas[Duracion],29)),INDEX(TblTareas[Horas],29)/INDEX(TblTareas[Duracion],29),""))</f>
      </c>
      <c r="H36" s="64" t="str">
        <f>IF($A36="","",IF(AND(INDEX(TblTareas[Activa],29)=1,H$7&gt;=INDEX(TblTareas[Semana],29),H$7&lt;INDEX(TblTareas[Semana],29)+INDEX(TblTareas[Duracion],29)),INDEX(TblTareas[Horas],29)/INDEX(TblTareas[Duracion],29),""))</f>
      </c>
      <c r="I36" s="64" t="str">
        <f>IF($A36="","",IF(AND(INDEX(TblTareas[Activa],29)=1,I$7&gt;=INDEX(TblTareas[Semana],29),I$7&lt;INDEX(TblTareas[Semana],29)+INDEX(TblTareas[Duracion],29)),INDEX(TblTareas[Horas],29)/INDEX(TblTareas[Duracion],29),""))</f>
      </c>
      <c r="J36" s="64" t="str">
        <f>IF($A36="","",IF(AND(INDEX(TblTareas[Activa],29)=1,J$7&gt;=INDEX(TblTareas[Semana],29),J$7&lt;INDEX(TblTareas[Semana],29)+INDEX(TblTareas[Duracion],29)),INDEX(TblTareas[Horas],29)/INDEX(TblTareas[Duracion],29),""))</f>
      </c>
      <c r="K36" s="64" t="str">
        <f>IF($A36="","",IF(AND(INDEX(TblTareas[Activa],29)=1,K$7&gt;=INDEX(TblTareas[Semana],29),K$7&lt;INDEX(TblTareas[Semana],29)+INDEX(TblTareas[Duracion],29)),INDEX(TblTareas[Horas],29)/INDEX(TblTareas[Duracion],29),""))</f>
      </c>
      <c r="L36" s="64" t="str">
        <f>IF($A36="","",IF(AND(INDEX(TblTareas[Activa],29)=1,L$7&gt;=INDEX(TblTareas[Semana],29),L$7&lt;INDEX(TblTareas[Semana],29)+INDEX(TblTareas[Duracion],29)),INDEX(TblTareas[Horas],29)/INDEX(TblTareas[Duracion],29),""))</f>
      </c>
      <c r="M36" s="64" t="str">
        <f>IF($A36="","",IF(AND(INDEX(TblTareas[Activa],29)=1,M$7&gt;=INDEX(TblTareas[Semana],29),M$7&lt;INDEX(TblTareas[Semana],29)+INDEX(TblTareas[Duracion],29)),INDEX(TblTareas[Horas],29)/INDEX(TblTareas[Duracion],29),""))</f>
      </c>
      <c r="N36" s="64" t="str">
        <f>IF($A36="","",IF(AND(INDEX(TblTareas[Activa],29)=1,N$7&gt;=INDEX(TblTareas[Semana],29),N$7&lt;INDEX(TblTareas[Semana],29)+INDEX(TblTareas[Duracion],29)),INDEX(TblTareas[Horas],29)/INDEX(TblTareas[Duracion],29),""))</f>
      </c>
      <c r="O36" s="64" t="n">
        <f>IF($A36="","",IF(AND(INDEX(TblTareas[Activa],29)=1,O$7&gt;=INDEX(TblTareas[Semana],29),O$7&lt;INDEX(TblTareas[Semana],29)+INDEX(TblTareas[Duracion],29)),INDEX(TblTareas[Horas],29)/INDEX(TblTareas[Duracion],29),""))</f>
        <v>4</v>
      </c>
      <c r="P36" s="64" t="str">
        <f>IF($A36="","",IF(AND(INDEX(TblTareas[Activa],29)=1,P$7&gt;=INDEX(TblTareas[Semana],29),P$7&lt;INDEX(TblTareas[Semana],29)+INDEX(TblTareas[Duracion],29)),INDEX(TblTareas[Horas],29)/INDEX(TblTareas[Duracion],29),""))</f>
      </c>
      <c r="Q36" s="64" t="str">
        <f>IF($A36="","",IF(AND(INDEX(TblTareas[Activa],29)=1,Q$7&gt;=INDEX(TblTareas[Semana],29),Q$7&lt;INDEX(TblTareas[Semana],29)+INDEX(TblTareas[Duracion],29)),INDEX(TblTareas[Horas],29)/INDEX(TblTareas[Duracion],29),""))</f>
      </c>
      <c r="R36" s="64" t="str">
        <f>IF($A36="","",IF(AND(INDEX(TblTareas[Activa],29)=1,R$7&gt;=INDEX(TblTareas[Semana],29),R$7&lt;INDEX(TblTareas[Semana],29)+INDEX(TblTareas[Duracion],29)),INDEX(TblTareas[Horas],29)/INDEX(TblTareas[Duracion],29),""))</f>
      </c>
      <c r="S36" s="64" t="str">
        <f>IF($A36="","",IF(AND(INDEX(TblTareas[Activa],29)=1,S$7&gt;=INDEX(TblTareas[Semana],29),S$7&lt;INDEX(TblTareas[Semana],29)+INDEX(TblTareas[Duracion],29)),INDEX(TblTareas[Horas],29)/INDEX(TblTareas[Duracion],29),""))</f>
      </c>
      <c r="T36" s="64" t="str">
        <f>IF($A36="","",IF(AND(INDEX(TblTareas[Activa],29)=1,T$7&gt;=INDEX(TblTareas[Semana],29),T$7&lt;INDEX(TblTareas[Semana],29)+INDEX(TblTareas[Duracion],29)),INDEX(TblTareas[Horas],29)/INDEX(TblTareas[Duracion],29),""))</f>
      </c>
    </row>
    <row r="37" ht="34" customHeight="1">
      <c r="A37" s="62" t="str">
        <f>IFERROR(IF(INDEX(TblTareas[ID],30)="","",INDEX(TblTareas[ID],30)),"")</f>
        <v>QA-01</v>
      </c>
      <c r="B37" s="62" t="str">
        <f>IF($A37="","",IFERROR(INDEX(TblTareas[Responsable],30),""))</f>
        <v>Uri</v>
      </c>
      <c r="C37" s="62" t="str">
        <f>IF($A37="","",IFERROR(INDEX(TblTareas[Trabajo],30),""))</f>
        <v>Ejecutar pruebas funcionales</v>
      </c>
      <c r="D37" s="62" t="str">
        <f>IF($A37="","",IFERROR(INDEX(TblTareas[Estado],30),""))</f>
        <v>Por hacer</v>
      </c>
      <c r="E37" s="64" t="str">
        <f>IF($A37="","",IF(AND(INDEX(TblTareas[Activa],30)=1,E$7&gt;=INDEX(TblTareas[Semana],30),E$7&lt;INDEX(TblTareas[Semana],30)+INDEX(TblTareas[Duracion],30)),INDEX(TblTareas[Horas],30)/INDEX(TblTareas[Duracion],30),""))</f>
      </c>
      <c r="F37" s="64" t="str">
        <f>IF($A37="","",IF(AND(INDEX(TblTareas[Activa],30)=1,F$7&gt;=INDEX(TblTareas[Semana],30),F$7&lt;INDEX(TblTareas[Semana],30)+INDEX(TblTareas[Duracion],30)),INDEX(TblTareas[Horas],30)/INDEX(TblTareas[Duracion],30),""))</f>
      </c>
      <c r="G37" s="64" t="n">
        <f>IF($A37="","",IF(AND(INDEX(TblTareas[Activa],30)=1,G$7&gt;=INDEX(TblTareas[Semana],30),G$7&lt;INDEX(TblTareas[Semana],30)+INDEX(TblTareas[Duracion],30)),INDEX(TblTareas[Horas],30)/INDEX(TblTareas[Duracion],30),""))</f>
        <v>2</v>
      </c>
      <c r="H37" s="64" t="n">
        <f>IF($A37="","",IF(AND(INDEX(TblTareas[Activa],30)=1,H$7&gt;=INDEX(TblTareas[Semana],30),H$7&lt;INDEX(TblTareas[Semana],30)+INDEX(TblTareas[Duracion],30)),INDEX(TblTareas[Horas],30)/INDEX(TblTareas[Duracion],30),""))</f>
        <v>2</v>
      </c>
      <c r="I37" s="64" t="n">
        <f>IF($A37="","",IF(AND(INDEX(TblTareas[Activa],30)=1,I$7&gt;=INDEX(TblTareas[Semana],30),I$7&lt;INDEX(TblTareas[Semana],30)+INDEX(TblTareas[Duracion],30)),INDEX(TblTareas[Horas],30)/INDEX(TblTareas[Duracion],30),""))</f>
        <v>2</v>
      </c>
      <c r="J37" s="64" t="n">
        <f>IF($A37="","",IF(AND(INDEX(TblTareas[Activa],30)=1,J$7&gt;=INDEX(TblTareas[Semana],30),J$7&lt;INDEX(TblTareas[Semana],30)+INDEX(TblTareas[Duracion],30)),INDEX(TblTareas[Horas],30)/INDEX(TblTareas[Duracion],30),""))</f>
        <v>2</v>
      </c>
      <c r="K37" s="64" t="n">
        <f>IF($A37="","",IF(AND(INDEX(TblTareas[Activa],30)=1,K$7&gt;=INDEX(TblTareas[Semana],30),K$7&lt;INDEX(TblTareas[Semana],30)+INDEX(TblTareas[Duracion],30)),INDEX(TblTareas[Horas],30)/INDEX(TblTareas[Duracion],30),""))</f>
        <v>2</v>
      </c>
      <c r="L37" s="64" t="str">
        <f>IF($A37="","",IF(AND(INDEX(TblTareas[Activa],30)=1,L$7&gt;=INDEX(TblTareas[Semana],30),L$7&lt;INDEX(TblTareas[Semana],30)+INDEX(TblTareas[Duracion],30)),INDEX(TblTareas[Horas],30)/INDEX(TblTareas[Duracion],30),""))</f>
      </c>
      <c r="M37" s="64" t="str">
        <f>IF($A37="","",IF(AND(INDEX(TblTareas[Activa],30)=1,M$7&gt;=INDEX(TblTareas[Semana],30),M$7&lt;INDEX(TblTareas[Semana],30)+INDEX(TblTareas[Duracion],30)),INDEX(TblTareas[Horas],30)/INDEX(TblTareas[Duracion],30),""))</f>
      </c>
      <c r="N37" s="64" t="str">
        <f>IF($A37="","",IF(AND(INDEX(TblTareas[Activa],30)=1,N$7&gt;=INDEX(TblTareas[Semana],30),N$7&lt;INDEX(TblTareas[Semana],30)+INDEX(TblTareas[Duracion],30)),INDEX(TblTareas[Horas],30)/INDEX(TblTareas[Duracion],30),""))</f>
      </c>
      <c r="O37" s="64" t="str">
        <f>IF($A37="","",IF(AND(INDEX(TblTareas[Activa],30)=1,O$7&gt;=INDEX(TblTareas[Semana],30),O$7&lt;INDEX(TblTareas[Semana],30)+INDEX(TblTareas[Duracion],30)),INDEX(TblTareas[Horas],30)/INDEX(TblTareas[Duracion],30),""))</f>
      </c>
      <c r="P37" s="64" t="str">
        <f>IF($A37="","",IF(AND(INDEX(TblTareas[Activa],30)=1,P$7&gt;=INDEX(TblTareas[Semana],30),P$7&lt;INDEX(TblTareas[Semana],30)+INDEX(TblTareas[Duracion],30)),INDEX(TblTareas[Horas],30)/INDEX(TblTareas[Duracion],30),""))</f>
      </c>
      <c r="Q37" s="64" t="str">
        <f>IF($A37="","",IF(AND(INDEX(TblTareas[Activa],30)=1,Q$7&gt;=INDEX(TblTareas[Semana],30),Q$7&lt;INDEX(TblTareas[Semana],30)+INDEX(TblTareas[Duracion],30)),INDEX(TblTareas[Horas],30)/INDEX(TblTareas[Duracion],30),""))</f>
      </c>
      <c r="R37" s="64" t="str">
        <f>IF($A37="","",IF(AND(INDEX(TblTareas[Activa],30)=1,R$7&gt;=INDEX(TblTareas[Semana],30),R$7&lt;INDEX(TblTareas[Semana],30)+INDEX(TblTareas[Duracion],30)),INDEX(TblTareas[Horas],30)/INDEX(TblTareas[Duracion],30),""))</f>
      </c>
      <c r="S37" s="64" t="str">
        <f>IF($A37="","",IF(AND(INDEX(TblTareas[Activa],30)=1,S$7&gt;=INDEX(TblTareas[Semana],30),S$7&lt;INDEX(TblTareas[Semana],30)+INDEX(TblTareas[Duracion],30)),INDEX(TblTareas[Horas],30)/INDEX(TblTareas[Duracion],30),""))</f>
      </c>
      <c r="T37" s="64" t="str">
        <f>IF($A37="","",IF(AND(INDEX(TblTareas[Activa],30)=1,T$7&gt;=INDEX(TblTareas[Semana],30),T$7&lt;INDEX(TblTareas[Semana],30)+INDEX(TblTareas[Duracion],30)),INDEX(TblTareas[Horas],30)/INDEX(TblTareas[Duracion],30),""))</f>
      </c>
    </row>
    <row r="38" ht="34" customHeight="1">
      <c r="A38" s="62" t="str">
        <f>IFERROR(IF(INDEX(TblTareas[ID],31)="","",INDEX(TblTareas[ID],31)),"")</f>
        <v>QA-02</v>
      </c>
      <c r="B38" s="62" t="str">
        <f>IF($A38="","",IFERROR(INDEX(TblTareas[Responsable],31),""))</f>
        <v>Uri</v>
      </c>
      <c r="C38" s="62" t="str">
        <f>IF($A38="","",IFERROR(INDEX(TblTareas[Trabajo],31),""))</f>
        <v>Medir rendimiento y reinicios</v>
      </c>
      <c r="D38" s="62" t="str">
        <f>IF($A38="","",IFERROR(INDEX(TblTareas[Estado],31),""))</f>
        <v>Por hacer</v>
      </c>
      <c r="E38" s="64" t="str">
        <f>IF($A38="","",IF(AND(INDEX(TblTareas[Activa],31)=1,E$7&gt;=INDEX(TblTareas[Semana],31),E$7&lt;INDEX(TblTareas[Semana],31)+INDEX(TblTareas[Duracion],31)),INDEX(TblTareas[Horas],31)/INDEX(TblTareas[Duracion],31),""))</f>
      </c>
      <c r="F38" s="64" t="str">
        <f>IF($A38="","",IF(AND(INDEX(TblTareas[Activa],31)=1,F$7&gt;=INDEX(TblTareas[Semana],31),F$7&lt;INDEX(TblTareas[Semana],31)+INDEX(TblTareas[Duracion],31)),INDEX(TblTareas[Horas],31)/INDEX(TblTareas[Duracion],31),""))</f>
      </c>
      <c r="G38" s="64" t="str">
        <f>IF($A38="","",IF(AND(INDEX(TblTareas[Activa],31)=1,G$7&gt;=INDEX(TblTareas[Semana],31),G$7&lt;INDEX(TblTareas[Semana],31)+INDEX(TblTareas[Duracion],31)),INDEX(TblTareas[Horas],31)/INDEX(TblTareas[Duracion],31),""))</f>
      </c>
      <c r="H38" s="64" t="str">
        <f>IF($A38="","",IF(AND(INDEX(TblTareas[Activa],31)=1,H$7&gt;=INDEX(TblTareas[Semana],31),H$7&lt;INDEX(TblTareas[Semana],31)+INDEX(TblTareas[Duracion],31)),INDEX(TblTareas[Horas],31)/INDEX(TblTareas[Duracion],31),""))</f>
      </c>
      <c r="I38" s="64" t="str">
        <f>IF($A38="","",IF(AND(INDEX(TblTareas[Activa],31)=1,I$7&gt;=INDEX(TblTareas[Semana],31),I$7&lt;INDEX(TblTareas[Semana],31)+INDEX(TblTareas[Duracion],31)),INDEX(TblTareas[Horas],31)/INDEX(TblTareas[Duracion],31),""))</f>
      </c>
      <c r="J38" s="64" t="str">
        <f>IF($A38="","",IF(AND(INDEX(TblTareas[Activa],31)=1,J$7&gt;=INDEX(TblTareas[Semana],31),J$7&lt;INDEX(TblTareas[Semana],31)+INDEX(TblTareas[Duracion],31)),INDEX(TblTareas[Horas],31)/INDEX(TblTareas[Duracion],31),""))</f>
      </c>
      <c r="K38" s="64" t="str">
        <f>IF($A38="","",IF(AND(INDEX(TblTareas[Activa],31)=1,K$7&gt;=INDEX(TblTareas[Semana],31),K$7&lt;INDEX(TblTareas[Semana],31)+INDEX(TblTareas[Duracion],31)),INDEX(TblTareas[Horas],31)/INDEX(TblTareas[Duracion],31),""))</f>
      </c>
      <c r="L38" s="64" t="str">
        <f>IF($A38="","",IF(AND(INDEX(TblTareas[Activa],31)=1,L$7&gt;=INDEX(TblTareas[Semana],31),L$7&lt;INDEX(TblTareas[Semana],31)+INDEX(TblTareas[Duracion],31)),INDEX(TblTareas[Horas],31)/INDEX(TblTareas[Duracion],31),""))</f>
      </c>
      <c r="M38" s="64" t="n">
        <f>IF($A38="","",IF(AND(INDEX(TblTareas[Activa],31)=1,M$7&gt;=INDEX(TblTareas[Semana],31),M$7&lt;INDEX(TblTareas[Semana],31)+INDEX(TblTareas[Duracion],31)),INDEX(TblTareas[Horas],31)/INDEX(TblTareas[Duracion],31),""))</f>
        <v>2.5</v>
      </c>
      <c r="N38" s="64" t="n">
        <f>IF($A38="","",IF(AND(INDEX(TblTareas[Activa],31)=1,N$7&gt;=INDEX(TblTareas[Semana],31),N$7&lt;INDEX(TblTareas[Semana],31)+INDEX(TblTareas[Duracion],31)),INDEX(TblTareas[Horas],31)/INDEX(TblTareas[Duracion],31),""))</f>
        <v>2.5</v>
      </c>
      <c r="O38" s="64" t="str">
        <f>IF($A38="","",IF(AND(INDEX(TblTareas[Activa],31)=1,O$7&gt;=INDEX(TblTareas[Semana],31),O$7&lt;INDEX(TblTareas[Semana],31)+INDEX(TblTareas[Duracion],31)),INDEX(TblTareas[Horas],31)/INDEX(TblTareas[Duracion],31),""))</f>
      </c>
      <c r="P38" s="64" t="str">
        <f>IF($A38="","",IF(AND(INDEX(TblTareas[Activa],31)=1,P$7&gt;=INDEX(TblTareas[Semana],31),P$7&lt;INDEX(TblTareas[Semana],31)+INDEX(TblTareas[Duracion],31)),INDEX(TblTareas[Horas],31)/INDEX(TblTareas[Duracion],31),""))</f>
      </c>
      <c r="Q38" s="64" t="str">
        <f>IF($A38="","",IF(AND(INDEX(TblTareas[Activa],31)=1,Q$7&gt;=INDEX(TblTareas[Semana],31),Q$7&lt;INDEX(TblTareas[Semana],31)+INDEX(TblTareas[Duracion],31)),INDEX(TblTareas[Horas],31)/INDEX(TblTareas[Duracion],31),""))</f>
      </c>
      <c r="R38" s="64" t="str">
        <f>IF($A38="","",IF(AND(INDEX(TblTareas[Activa],31)=1,R$7&gt;=INDEX(TblTareas[Semana],31),R$7&lt;INDEX(TblTareas[Semana],31)+INDEX(TblTareas[Duracion],31)),INDEX(TblTareas[Horas],31)/INDEX(TblTareas[Duracion],31),""))</f>
      </c>
      <c r="S38" s="64" t="str">
        <f>IF($A38="","",IF(AND(INDEX(TblTareas[Activa],31)=1,S$7&gt;=INDEX(TblTareas[Semana],31),S$7&lt;INDEX(TblTareas[Semana],31)+INDEX(TblTareas[Duracion],31)),INDEX(TblTareas[Horas],31)/INDEX(TblTareas[Duracion],31),""))</f>
      </c>
      <c r="T38" s="64" t="str">
        <f>IF($A38="","",IF(AND(INDEX(TblTareas[Activa],31)=1,T$7&gt;=INDEX(TblTareas[Semana],31),T$7&lt;INDEX(TblTareas[Semana],31)+INDEX(TblTareas[Duracion],31)),INDEX(TblTareas[Horas],31)/INDEX(TblTareas[Duracion],31),""))</f>
      </c>
    </row>
    <row r="39" ht="34" customHeight="1">
      <c r="A39" s="62" t="str">
        <f>IFERROR(IF(INDEX(TblTareas[ID],32)="","",INDEX(TblTareas[ID],32)),"")</f>
        <v>QA-03</v>
      </c>
      <c r="B39" s="62" t="str">
        <f>IF($A39="","",IFERROR(INDEX(TblTareas[Responsable],32),""))</f>
        <v>Uri</v>
      </c>
      <c r="C39" s="62" t="str">
        <f>IF($A39="","",IFERROR(INDEX(TblTareas[Trabajo],32),""))</f>
        <v>Validar percepción de profundidad</v>
      </c>
      <c r="D39" s="62" t="str">
        <f>IF($A39="","",IFERROR(INDEX(TblTareas[Estado],32),""))</f>
        <v>Por hacer</v>
      </c>
      <c r="E39" s="64" t="str">
        <f>IF($A39="","",IF(AND(INDEX(TblTareas[Activa],32)=1,E$7&gt;=INDEX(TblTareas[Semana],32),E$7&lt;INDEX(TblTareas[Semana],32)+INDEX(TblTareas[Duracion],32)),INDEX(TblTareas[Horas],32)/INDEX(TblTareas[Duracion],32),""))</f>
      </c>
      <c r="F39" s="64" t="str">
        <f>IF($A39="","",IF(AND(INDEX(TblTareas[Activa],32)=1,F$7&gt;=INDEX(TblTareas[Semana],32),F$7&lt;INDEX(TblTareas[Semana],32)+INDEX(TblTareas[Duracion],32)),INDEX(TblTareas[Horas],32)/INDEX(TblTareas[Duracion],32),""))</f>
      </c>
      <c r="G39" s="64" t="str">
        <f>IF($A39="","",IF(AND(INDEX(TblTareas[Activa],32)=1,G$7&gt;=INDEX(TblTareas[Semana],32),G$7&lt;INDEX(TblTareas[Semana],32)+INDEX(TblTareas[Duracion],32)),INDEX(TblTareas[Horas],32)/INDEX(TblTareas[Duracion],32),""))</f>
      </c>
      <c r="H39" s="64" t="str">
        <f>IF($A39="","",IF(AND(INDEX(TblTareas[Activa],32)=1,H$7&gt;=INDEX(TblTareas[Semana],32),H$7&lt;INDEX(TblTareas[Semana],32)+INDEX(TblTareas[Duracion],32)),INDEX(TblTareas[Horas],32)/INDEX(TblTareas[Duracion],32),""))</f>
      </c>
      <c r="I39" s="64" t="str">
        <f>IF($A39="","",IF(AND(INDEX(TblTareas[Activa],32)=1,I$7&gt;=INDEX(TblTareas[Semana],32),I$7&lt;INDEX(TblTareas[Semana],32)+INDEX(TblTareas[Duracion],32)),INDEX(TblTareas[Horas],32)/INDEX(TblTareas[Duracion],32),""))</f>
      </c>
      <c r="J39" s="64" t="n">
        <f>IF($A39="","",IF(AND(INDEX(TblTareas[Activa],32)=1,J$7&gt;=INDEX(TblTareas[Semana],32),J$7&lt;INDEX(TblTareas[Semana],32)+INDEX(TblTareas[Duracion],32)),INDEX(TblTareas[Horas],32)/INDEX(TblTareas[Duracion],32),""))</f>
        <v>4</v>
      </c>
      <c r="K39" s="64" t="str">
        <f>IF($A39="","",IF(AND(INDEX(TblTareas[Activa],32)=1,K$7&gt;=INDEX(TblTareas[Semana],32),K$7&lt;INDEX(TblTareas[Semana],32)+INDEX(TblTareas[Duracion],32)),INDEX(TblTareas[Horas],32)/INDEX(TblTareas[Duracion],32),""))</f>
      </c>
      <c r="L39" s="64" t="str">
        <f>IF($A39="","",IF(AND(INDEX(TblTareas[Activa],32)=1,L$7&gt;=INDEX(TblTareas[Semana],32),L$7&lt;INDEX(TblTareas[Semana],32)+INDEX(TblTareas[Duracion],32)),INDEX(TblTareas[Horas],32)/INDEX(TblTareas[Duracion],32),""))</f>
      </c>
      <c r="M39" s="64" t="str">
        <f>IF($A39="","",IF(AND(INDEX(TblTareas[Activa],32)=1,M$7&gt;=INDEX(TblTareas[Semana],32),M$7&lt;INDEX(TblTareas[Semana],32)+INDEX(TblTareas[Duracion],32)),INDEX(TblTareas[Horas],32)/INDEX(TblTareas[Duracion],32),""))</f>
      </c>
      <c r="N39" s="64" t="str">
        <f>IF($A39="","",IF(AND(INDEX(TblTareas[Activa],32)=1,N$7&gt;=INDEX(TblTareas[Semana],32),N$7&lt;INDEX(TblTareas[Semana],32)+INDEX(TblTareas[Duracion],32)),INDEX(TblTareas[Horas],32)/INDEX(TblTareas[Duracion],32),""))</f>
      </c>
      <c r="O39" s="64" t="str">
        <f>IF($A39="","",IF(AND(INDEX(TblTareas[Activa],32)=1,O$7&gt;=INDEX(TblTareas[Semana],32),O$7&lt;INDEX(TblTareas[Semana],32)+INDEX(TblTareas[Duracion],32)),INDEX(TblTareas[Horas],32)/INDEX(TblTareas[Duracion],32),""))</f>
      </c>
      <c r="P39" s="64" t="str">
        <f>IF($A39="","",IF(AND(INDEX(TblTareas[Activa],32)=1,P$7&gt;=INDEX(TblTareas[Semana],32),P$7&lt;INDEX(TblTareas[Semana],32)+INDEX(TblTareas[Duracion],32)),INDEX(TblTareas[Horas],32)/INDEX(TblTareas[Duracion],32),""))</f>
      </c>
      <c r="Q39" s="64" t="str">
        <f>IF($A39="","",IF(AND(INDEX(TblTareas[Activa],32)=1,Q$7&gt;=INDEX(TblTareas[Semana],32),Q$7&lt;INDEX(TblTareas[Semana],32)+INDEX(TblTareas[Duracion],32)),INDEX(TblTareas[Horas],32)/INDEX(TblTareas[Duracion],32),""))</f>
      </c>
      <c r="R39" s="64" t="str">
        <f>IF($A39="","",IF(AND(INDEX(TblTareas[Activa],32)=1,R$7&gt;=INDEX(TblTareas[Semana],32),R$7&lt;INDEX(TblTareas[Semana],32)+INDEX(TblTareas[Duracion],32)),INDEX(TblTareas[Horas],32)/INDEX(TblTareas[Duracion],32),""))</f>
      </c>
      <c r="S39" s="64" t="str">
        <f>IF($A39="","",IF(AND(INDEX(TblTareas[Activa],32)=1,S$7&gt;=INDEX(TblTareas[Semana],32),S$7&lt;INDEX(TblTareas[Semana],32)+INDEX(TblTareas[Duracion],32)),INDEX(TblTareas[Horas],32)/INDEX(TblTareas[Duracion],32),""))</f>
      </c>
      <c r="T39" s="64" t="str">
        <f>IF($A39="","",IF(AND(INDEX(TblTareas[Activa],32)=1,T$7&gt;=INDEX(TblTareas[Semana],32),T$7&lt;INDEX(TblTareas[Semana],32)+INDEX(TblTareas[Duracion],32)),INDEX(TblTareas[Horas],32)/INDEX(TblTareas[Duracion],32),""))</f>
      </c>
    </row>
    <row r="40" ht="34" customHeight="1">
      <c r="A40" s="62" t="str">
        <f>IFERROR(IF(INDEX(TblTareas[ID],33)="","",INDEX(TblTareas[ID],33)),"")</f>
        <v>QA-04</v>
      </c>
      <c r="B40" s="62" t="str">
        <f>IF($A40="","",IFERROR(INDEX(TblTareas[Responsable],33),""))</f>
        <v>Uri</v>
      </c>
      <c r="C40" s="62" t="str">
        <f>IF($A40="","",IFERROR(INDEX(TblTareas[Trabajo],33),""))</f>
        <v>Medir duración y balance</v>
      </c>
      <c r="D40" s="62" t="str">
        <f>IF($A40="","",IFERROR(INDEX(TblTareas[Estado],33),""))</f>
        <v>Por hacer</v>
      </c>
      <c r="E40" s="64" t="str">
        <f>IF($A40="","",IF(AND(INDEX(TblTareas[Activa],33)=1,E$7&gt;=INDEX(TblTareas[Semana],33),E$7&lt;INDEX(TblTareas[Semana],33)+INDEX(TblTareas[Duracion],33)),INDEX(TblTareas[Horas],33)/INDEX(TblTareas[Duracion],33),""))</f>
      </c>
      <c r="F40" s="64" t="str">
        <f>IF($A40="","",IF(AND(INDEX(TblTareas[Activa],33)=1,F$7&gt;=INDEX(TblTareas[Semana],33),F$7&lt;INDEX(TblTareas[Semana],33)+INDEX(TblTareas[Duracion],33)),INDEX(TblTareas[Horas],33)/INDEX(TblTareas[Duracion],33),""))</f>
      </c>
      <c r="G40" s="64" t="str">
        <f>IF($A40="","",IF(AND(INDEX(TblTareas[Activa],33)=1,G$7&gt;=INDEX(TblTareas[Semana],33),G$7&lt;INDEX(TblTareas[Semana],33)+INDEX(TblTareas[Duracion],33)),INDEX(TblTareas[Horas],33)/INDEX(TblTareas[Duracion],33),""))</f>
      </c>
      <c r="H40" s="64" t="str">
        <f>IF($A40="","",IF(AND(INDEX(TblTareas[Activa],33)=1,H$7&gt;=INDEX(TblTareas[Semana],33),H$7&lt;INDEX(TblTareas[Semana],33)+INDEX(TblTareas[Duracion],33)),INDEX(TblTareas[Horas],33)/INDEX(TblTareas[Duracion],33),""))</f>
      </c>
      <c r="I40" s="64" t="str">
        <f>IF($A40="","",IF(AND(INDEX(TblTareas[Activa],33)=1,I$7&gt;=INDEX(TblTareas[Semana],33),I$7&lt;INDEX(TblTareas[Semana],33)+INDEX(TblTareas[Duracion],33)),INDEX(TblTareas[Horas],33)/INDEX(TblTareas[Duracion],33),""))</f>
      </c>
      <c r="J40" s="64" t="str">
        <f>IF($A40="","",IF(AND(INDEX(TblTareas[Activa],33)=1,J$7&gt;=INDEX(TblTareas[Semana],33),J$7&lt;INDEX(TblTareas[Semana],33)+INDEX(TblTareas[Duracion],33)),INDEX(TblTareas[Horas],33)/INDEX(TblTareas[Duracion],33),""))</f>
      </c>
      <c r="K40" s="64" t="str">
        <f>IF($A40="","",IF(AND(INDEX(TblTareas[Activa],33)=1,K$7&gt;=INDEX(TblTareas[Semana],33),K$7&lt;INDEX(TblTareas[Semana],33)+INDEX(TblTareas[Duracion],33)),INDEX(TblTareas[Horas],33)/INDEX(TblTareas[Duracion],33),""))</f>
      </c>
      <c r="L40" s="64" t="str">
        <f>IF($A40="","",IF(AND(INDEX(TblTareas[Activa],33)=1,L$7&gt;=INDEX(TblTareas[Semana],33),L$7&lt;INDEX(TblTareas[Semana],33)+INDEX(TblTareas[Duracion],33)),INDEX(TblTareas[Horas],33)/INDEX(TblTareas[Duracion],33),""))</f>
      </c>
      <c r="M40" s="64" t="str">
        <f>IF($A40="","",IF(AND(INDEX(TblTareas[Activa],33)=1,M$7&gt;=INDEX(TblTareas[Semana],33),M$7&lt;INDEX(TblTareas[Semana],33)+INDEX(TblTareas[Duracion],33)),INDEX(TblTareas[Horas],33)/INDEX(TblTareas[Duracion],33),""))</f>
      </c>
      <c r="N40" s="64" t="str">
        <f>IF($A40="","",IF(AND(INDEX(TblTareas[Activa],33)=1,N$7&gt;=INDEX(TblTareas[Semana],33),N$7&lt;INDEX(TblTareas[Semana],33)+INDEX(TblTareas[Duracion],33)),INDEX(TblTareas[Horas],33)/INDEX(TblTareas[Duracion],33),""))</f>
      </c>
      <c r="O40" s="64" t="n">
        <f>IF($A40="","",IF(AND(INDEX(TblTareas[Activa],33)=1,O$7&gt;=INDEX(TblTareas[Semana],33),O$7&lt;INDEX(TblTareas[Semana],33)+INDEX(TblTareas[Duracion],33)),INDEX(TblTareas[Horas],33)/INDEX(TblTareas[Duracion],33),""))</f>
        <v>5</v>
      </c>
      <c r="P40" s="64" t="str">
        <f>IF($A40="","",IF(AND(INDEX(TblTareas[Activa],33)=1,P$7&gt;=INDEX(TblTareas[Semana],33),P$7&lt;INDEX(TblTareas[Semana],33)+INDEX(TblTareas[Duracion],33)),INDEX(TblTareas[Horas],33)/INDEX(TblTareas[Duracion],33),""))</f>
      </c>
      <c r="Q40" s="64" t="str">
        <f>IF($A40="","",IF(AND(INDEX(TblTareas[Activa],33)=1,Q$7&gt;=INDEX(TblTareas[Semana],33),Q$7&lt;INDEX(TblTareas[Semana],33)+INDEX(TblTareas[Duracion],33)),INDEX(TblTareas[Horas],33)/INDEX(TblTareas[Duracion],33),""))</f>
      </c>
      <c r="R40" s="64" t="str">
        <f>IF($A40="","",IF(AND(INDEX(TblTareas[Activa],33)=1,R$7&gt;=INDEX(TblTareas[Semana],33),R$7&lt;INDEX(TblTareas[Semana],33)+INDEX(TblTareas[Duracion],33)),INDEX(TblTareas[Horas],33)/INDEX(TblTareas[Duracion],33),""))</f>
      </c>
      <c r="S40" s="64" t="str">
        <f>IF($A40="","",IF(AND(INDEX(TblTareas[Activa],33)=1,S$7&gt;=INDEX(TblTareas[Semana],33),S$7&lt;INDEX(TblTareas[Semana],33)+INDEX(TblTareas[Duracion],33)),INDEX(TblTareas[Horas],33)/INDEX(TblTareas[Duracion],33),""))</f>
      </c>
      <c r="T40" s="64" t="str">
        <f>IF($A40="","",IF(AND(INDEX(TblTareas[Activa],33)=1,T$7&gt;=INDEX(TblTareas[Semana],33),T$7&lt;INDEX(TblTareas[Semana],33)+INDEX(TblTareas[Duracion],33)),INDEX(TblTareas[Horas],33)/INDEX(TblTareas[Duracion],33),""))</f>
      </c>
    </row>
    <row r="41" ht="34" customHeight="1">
      <c r="A41" s="62" t="str">
        <f>IFERROR(IF(INDEX(TblTareas[ID],34)="","",INDEX(TblTareas[ID],34)),"")</f>
        <v>FIX-01</v>
      </c>
      <c r="B41" s="62" t="str">
        <f>IF($A41="","",IFERROR(INDEX(TblTareas[Responsable],34),""))</f>
        <v>Iker</v>
      </c>
      <c r="C41" s="62" t="str">
        <f>IF($A41="","",IFERROR(INDEX(TblTareas[Trabajo],34),""))</f>
        <v>Resolver defectos y regresiones</v>
      </c>
      <c r="D41" s="62" t="str">
        <f>IF($A41="","",IFERROR(INDEX(TblTareas[Estado],34),""))</f>
        <v>Por hacer</v>
      </c>
      <c r="E41" s="64" t="str">
        <f>IF($A41="","",IF(AND(INDEX(TblTareas[Activa],34)=1,E$7&gt;=INDEX(TblTareas[Semana],34),E$7&lt;INDEX(TblTareas[Semana],34)+INDEX(TblTareas[Duracion],34)),INDEX(TblTareas[Horas],34)/INDEX(TblTareas[Duracion],34),""))</f>
      </c>
      <c r="F41" s="64" t="str">
        <f>IF($A41="","",IF(AND(INDEX(TblTareas[Activa],34)=1,F$7&gt;=INDEX(TblTareas[Semana],34),F$7&lt;INDEX(TblTareas[Semana],34)+INDEX(TblTareas[Duracion],34)),INDEX(TblTareas[Horas],34)/INDEX(TblTareas[Duracion],34),""))</f>
      </c>
      <c r="G41" s="64" t="str">
        <f>IF($A41="","",IF(AND(INDEX(TblTareas[Activa],34)=1,G$7&gt;=INDEX(TblTareas[Semana],34),G$7&lt;INDEX(TblTareas[Semana],34)+INDEX(TblTareas[Duracion],34)),INDEX(TblTareas[Horas],34)/INDEX(TblTareas[Duracion],34),""))</f>
      </c>
      <c r="H41" s="64" t="str">
        <f>IF($A41="","",IF(AND(INDEX(TblTareas[Activa],34)=1,H$7&gt;=INDEX(TblTareas[Semana],34),H$7&lt;INDEX(TblTareas[Semana],34)+INDEX(TblTareas[Duracion],34)),INDEX(TblTareas[Horas],34)/INDEX(TblTareas[Duracion],34),""))</f>
      </c>
      <c r="I41" s="64" t="str">
        <f>IF($A41="","",IF(AND(INDEX(TblTareas[Activa],34)=1,I$7&gt;=INDEX(TblTareas[Semana],34),I$7&lt;INDEX(TblTareas[Semana],34)+INDEX(TblTareas[Duracion],34)),INDEX(TblTareas[Horas],34)/INDEX(TblTareas[Duracion],34),""))</f>
      </c>
      <c r="J41" s="64" t="str">
        <f>IF($A41="","",IF(AND(INDEX(TblTareas[Activa],34)=1,J$7&gt;=INDEX(TblTareas[Semana],34),J$7&lt;INDEX(TblTareas[Semana],34)+INDEX(TblTareas[Duracion],34)),INDEX(TblTareas[Horas],34)/INDEX(TblTareas[Duracion],34),""))</f>
      </c>
      <c r="K41" s="64" t="str">
        <f>IF($A41="","",IF(AND(INDEX(TblTareas[Activa],34)=1,K$7&gt;=INDEX(TblTareas[Semana],34),K$7&lt;INDEX(TblTareas[Semana],34)+INDEX(TblTareas[Duracion],34)),INDEX(TblTareas[Horas],34)/INDEX(TblTareas[Duracion],34),""))</f>
      </c>
      <c r="L41" s="64" t="str">
        <f>IF($A41="","",IF(AND(INDEX(TblTareas[Activa],34)=1,L$7&gt;=INDEX(TblTareas[Semana],34),L$7&lt;INDEX(TblTareas[Semana],34)+INDEX(TblTareas[Duracion],34)),INDEX(TblTareas[Horas],34)/INDEX(TblTareas[Duracion],34),""))</f>
      </c>
      <c r="M41" s="64" t="str">
        <f>IF($A41="","",IF(AND(INDEX(TblTareas[Activa],34)=1,M$7&gt;=INDEX(TblTareas[Semana],34),M$7&lt;INDEX(TblTareas[Semana],34)+INDEX(TblTareas[Duracion],34)),INDEX(TblTareas[Horas],34)/INDEX(TblTareas[Duracion],34),""))</f>
      </c>
      <c r="N41" s="64" t="str">
        <f>IF($A41="","",IF(AND(INDEX(TblTareas[Activa],34)=1,N$7&gt;=INDEX(TblTareas[Semana],34),N$7&lt;INDEX(TblTareas[Semana],34)+INDEX(TblTareas[Duracion],34)),INDEX(TblTareas[Horas],34)/INDEX(TblTareas[Duracion],34),""))</f>
      </c>
      <c r="O41" s="64" t="str">
        <f>IF($A41="","",IF(AND(INDEX(TblTareas[Activa],34)=1,O$7&gt;=INDEX(TblTareas[Semana],34),O$7&lt;INDEX(TblTareas[Semana],34)+INDEX(TblTareas[Duracion],34)),INDEX(TblTareas[Horas],34)/INDEX(TblTareas[Duracion],34),""))</f>
      </c>
      <c r="P41" s="64" t="n">
        <f>IF($A41="","",IF(AND(INDEX(TblTareas[Activa],34)=1,P$7&gt;=INDEX(TblTareas[Semana],34),P$7&lt;INDEX(TblTareas[Semana],34)+INDEX(TblTareas[Duracion],34)),INDEX(TblTareas[Horas],34)/INDEX(TblTareas[Duracion],34),""))</f>
        <v>8</v>
      </c>
      <c r="Q41" s="64" t="str">
        <f>IF($A41="","",IF(AND(INDEX(TblTareas[Activa],34)=1,Q$7&gt;=INDEX(TblTareas[Semana],34),Q$7&lt;INDEX(TblTareas[Semana],34)+INDEX(TblTareas[Duracion],34)),INDEX(TblTareas[Horas],34)/INDEX(TblTareas[Duracion],34),""))</f>
      </c>
      <c r="R41" s="64" t="str">
        <f>IF($A41="","",IF(AND(INDEX(TblTareas[Activa],34)=1,R$7&gt;=INDEX(TblTareas[Semana],34),R$7&lt;INDEX(TblTareas[Semana],34)+INDEX(TblTareas[Duracion],34)),INDEX(TblTareas[Horas],34)/INDEX(TblTareas[Duracion],34),""))</f>
      </c>
      <c r="S41" s="64" t="str">
        <f>IF($A41="","",IF(AND(INDEX(TblTareas[Activa],34)=1,S$7&gt;=INDEX(TblTareas[Semana],34),S$7&lt;INDEX(TblTareas[Semana],34)+INDEX(TblTareas[Duracion],34)),INDEX(TblTareas[Horas],34)/INDEX(TblTareas[Duracion],34),""))</f>
      </c>
      <c r="T41" s="64" t="str">
        <f>IF($A41="","",IF(AND(INDEX(TblTareas[Activa],34)=1,T$7&gt;=INDEX(TblTareas[Semana],34),T$7&lt;INDEX(TblTareas[Semana],34)+INDEX(TblTareas[Duracion],34)),INDEX(TblTareas[Horas],34)/INDEX(TblTareas[Duracion],34),""))</f>
      </c>
    </row>
    <row r="42" ht="34" customHeight="1">
      <c r="A42" s="62" t="str">
        <f>IFERROR(IF(INDEX(TblTareas[ID],35)="","",INDEX(TblTareas[ID],35)),"")</f>
        <v>DOC-01</v>
      </c>
      <c r="B42" s="62" t="str">
        <f>IF($A42="","",IFERROR(INDEX(TblTareas[Responsable],35),""))</f>
        <v>David</v>
      </c>
      <c r="C42" s="62" t="str">
        <f>IF($A42="","",IFERROR(INDEX(TblTareas[Trabajo],35),""))</f>
        <v>Organizar portafolio y fuentes</v>
      </c>
      <c r="D42" s="62" t="str">
        <f>IF($A42="","",IFERROR(INDEX(TblTareas[Estado],35),""))</f>
        <v>Por hacer</v>
      </c>
      <c r="E42" s="64" t="n">
        <f>IF($A42="","",IF(AND(INDEX(TblTareas[Activa],35)=1,E$7&gt;=INDEX(TblTareas[Semana],35),E$7&lt;INDEX(TblTareas[Semana],35)+INDEX(TblTareas[Duracion],35)),INDEX(TblTareas[Horas],35)/INDEX(TblTareas[Duracion],35),""))</f>
        <v>1.5</v>
      </c>
      <c r="F42" s="64" t="n">
        <f>IF($A42="","",IF(AND(INDEX(TblTareas[Activa],35)=1,F$7&gt;=INDEX(TblTareas[Semana],35),F$7&lt;INDEX(TblTareas[Semana],35)+INDEX(TblTareas[Duracion],35)),INDEX(TblTareas[Horas],35)/INDEX(TblTareas[Duracion],35),""))</f>
        <v>1.5</v>
      </c>
      <c r="G42" s="64" t="str">
        <f>IF($A42="","",IF(AND(INDEX(TblTareas[Activa],35)=1,G$7&gt;=INDEX(TblTareas[Semana],35),G$7&lt;INDEX(TblTareas[Semana],35)+INDEX(TblTareas[Duracion],35)),INDEX(TblTareas[Horas],35)/INDEX(TblTareas[Duracion],35),""))</f>
      </c>
      <c r="H42" s="64" t="str">
        <f>IF($A42="","",IF(AND(INDEX(TblTareas[Activa],35)=1,H$7&gt;=INDEX(TblTareas[Semana],35),H$7&lt;INDEX(TblTareas[Semana],35)+INDEX(TblTareas[Duracion],35)),INDEX(TblTareas[Horas],35)/INDEX(TblTareas[Duracion],35),""))</f>
      </c>
      <c r="I42" s="64" t="str">
        <f>IF($A42="","",IF(AND(INDEX(TblTareas[Activa],35)=1,I$7&gt;=INDEX(TblTareas[Semana],35),I$7&lt;INDEX(TblTareas[Semana],35)+INDEX(TblTareas[Duracion],35)),INDEX(TblTareas[Horas],35)/INDEX(TblTareas[Duracion],35),""))</f>
      </c>
      <c r="J42" s="64" t="str">
        <f>IF($A42="","",IF(AND(INDEX(TblTareas[Activa],35)=1,J$7&gt;=INDEX(TblTareas[Semana],35),J$7&lt;INDEX(TblTareas[Semana],35)+INDEX(TblTareas[Duracion],35)),INDEX(TblTareas[Horas],35)/INDEX(TblTareas[Duracion],35),""))</f>
      </c>
      <c r="K42" s="64" t="str">
        <f>IF($A42="","",IF(AND(INDEX(TblTareas[Activa],35)=1,K$7&gt;=INDEX(TblTareas[Semana],35),K$7&lt;INDEX(TblTareas[Semana],35)+INDEX(TblTareas[Duracion],35)),INDEX(TblTareas[Horas],35)/INDEX(TblTareas[Duracion],35),""))</f>
      </c>
      <c r="L42" s="64" t="str">
        <f>IF($A42="","",IF(AND(INDEX(TblTareas[Activa],35)=1,L$7&gt;=INDEX(TblTareas[Semana],35),L$7&lt;INDEX(TblTareas[Semana],35)+INDEX(TblTareas[Duracion],35)),INDEX(TblTareas[Horas],35)/INDEX(TblTareas[Duracion],35),""))</f>
      </c>
      <c r="M42" s="64" t="str">
        <f>IF($A42="","",IF(AND(INDEX(TblTareas[Activa],35)=1,M$7&gt;=INDEX(TblTareas[Semana],35),M$7&lt;INDEX(TblTareas[Semana],35)+INDEX(TblTareas[Duracion],35)),INDEX(TblTareas[Horas],35)/INDEX(TblTareas[Duracion],35),""))</f>
      </c>
      <c r="N42" s="64" t="str">
        <f>IF($A42="","",IF(AND(INDEX(TblTareas[Activa],35)=1,N$7&gt;=INDEX(TblTareas[Semana],35),N$7&lt;INDEX(TblTareas[Semana],35)+INDEX(TblTareas[Duracion],35)),INDEX(TblTareas[Horas],35)/INDEX(TblTareas[Duracion],35),""))</f>
      </c>
      <c r="O42" s="64" t="str">
        <f>IF($A42="","",IF(AND(INDEX(TblTareas[Activa],35)=1,O$7&gt;=INDEX(TblTareas[Semana],35),O$7&lt;INDEX(TblTareas[Semana],35)+INDEX(TblTareas[Duracion],35)),INDEX(TblTareas[Horas],35)/INDEX(TblTareas[Duracion],35),""))</f>
      </c>
      <c r="P42" s="64" t="str">
        <f>IF($A42="","",IF(AND(INDEX(TblTareas[Activa],35)=1,P$7&gt;=INDEX(TblTareas[Semana],35),P$7&lt;INDEX(TblTareas[Semana],35)+INDEX(TblTareas[Duracion],35)),INDEX(TblTareas[Horas],35)/INDEX(TblTareas[Duracion],35),""))</f>
      </c>
      <c r="Q42" s="64" t="str">
        <f>IF($A42="","",IF(AND(INDEX(TblTareas[Activa],35)=1,Q$7&gt;=INDEX(TblTareas[Semana],35),Q$7&lt;INDEX(TblTareas[Semana],35)+INDEX(TblTareas[Duracion],35)),INDEX(TblTareas[Horas],35)/INDEX(TblTareas[Duracion],35),""))</f>
      </c>
      <c r="R42" s="64" t="str">
        <f>IF($A42="","",IF(AND(INDEX(TblTareas[Activa],35)=1,R$7&gt;=INDEX(TblTareas[Semana],35),R$7&lt;INDEX(TblTareas[Semana],35)+INDEX(TblTareas[Duracion],35)),INDEX(TblTareas[Horas],35)/INDEX(TblTareas[Duracion],35),""))</f>
      </c>
      <c r="S42" s="64" t="str">
        <f>IF($A42="","",IF(AND(INDEX(TblTareas[Activa],35)=1,S$7&gt;=INDEX(TblTareas[Semana],35),S$7&lt;INDEX(TblTareas[Semana],35)+INDEX(TblTareas[Duracion],35)),INDEX(TblTareas[Horas],35)/INDEX(TblTareas[Duracion],35),""))</f>
      </c>
      <c r="T42" s="64" t="str">
        <f>IF($A42="","",IF(AND(INDEX(TblTareas[Activa],35)=1,T$7&gt;=INDEX(TblTareas[Semana],35),T$7&lt;INDEX(TblTareas[Semana],35)+INDEX(TblTareas[Duracion],35)),INDEX(TblTareas[Horas],35)/INDEX(TblTareas[Duracion],35),""))</f>
      </c>
    </row>
    <row r="43" ht="34" customHeight="1">
      <c r="A43" s="62" t="str">
        <f>IFERROR(IF(INDEX(TblTareas[ID],36)="","",INDEX(TblTareas[ID],36)),"")</f>
        <v>DOC-02</v>
      </c>
      <c r="B43" s="62" t="str">
        <f>IF($A43="","",IFERROR(INDEX(TblTareas[Responsable],36),""))</f>
        <v>David</v>
      </c>
      <c r="C43" s="62" t="str">
        <f>IF($A43="","",IFERROR(INDEX(TblTareas[Trabajo],36),""))</f>
        <v>Redactar memoria y evidencias</v>
      </c>
      <c r="D43" s="62" t="str">
        <f>IF($A43="","",IFERROR(INDEX(TblTareas[Estado],36),""))</f>
        <v>Por hacer</v>
      </c>
      <c r="E43" s="64" t="str">
        <f>IF($A43="","",IF(AND(INDEX(TblTareas[Activa],36)=1,E$7&gt;=INDEX(TblTareas[Semana],36),E$7&lt;INDEX(TblTareas[Semana],36)+INDEX(TblTareas[Duracion],36)),INDEX(TblTareas[Horas],36)/INDEX(TblTareas[Duracion],36),""))</f>
      </c>
      <c r="F43" s="64" t="str">
        <f>IF($A43="","",IF(AND(INDEX(TblTareas[Activa],36)=1,F$7&gt;=INDEX(TblTareas[Semana],36),F$7&lt;INDEX(TblTareas[Semana],36)+INDEX(TblTareas[Duracion],36)),INDEX(TblTareas[Horas],36)/INDEX(TblTareas[Duracion],36),""))</f>
      </c>
      <c r="G43" s="64" t="str">
        <f>IF($A43="","",IF(AND(INDEX(TblTareas[Activa],36)=1,G$7&gt;=INDEX(TblTareas[Semana],36),G$7&lt;INDEX(TblTareas[Semana],36)+INDEX(TblTareas[Duracion],36)),INDEX(TblTareas[Horas],36)/INDEX(TblTareas[Duracion],36),""))</f>
      </c>
      <c r="H43" s="64" t="str">
        <f>IF($A43="","",IF(AND(INDEX(TblTareas[Activa],36)=1,H$7&gt;=INDEX(TblTareas[Semana],36),H$7&lt;INDEX(TblTareas[Semana],36)+INDEX(TblTareas[Duracion],36)),INDEX(TblTareas[Horas],36)/INDEX(TblTareas[Duracion],36),""))</f>
      </c>
      <c r="I43" s="64" t="str">
        <f>IF($A43="","",IF(AND(INDEX(TblTareas[Activa],36)=1,I$7&gt;=INDEX(TblTareas[Semana],36),I$7&lt;INDEX(TblTareas[Semana],36)+INDEX(TblTareas[Duracion],36)),INDEX(TblTareas[Horas],36)/INDEX(TblTareas[Duracion],36),""))</f>
      </c>
      <c r="J43" s="64" t="str">
        <f>IF($A43="","",IF(AND(INDEX(TblTareas[Activa],36)=1,J$7&gt;=INDEX(TblTareas[Semana],36),J$7&lt;INDEX(TblTareas[Semana],36)+INDEX(TblTareas[Duracion],36)),INDEX(TblTareas[Horas],36)/INDEX(TblTareas[Duracion],36),""))</f>
      </c>
      <c r="K43" s="64" t="str">
        <f>IF($A43="","",IF(AND(INDEX(TblTareas[Activa],36)=1,K$7&gt;=INDEX(TblTareas[Semana],36),K$7&lt;INDEX(TblTareas[Semana],36)+INDEX(TblTareas[Duracion],36)),INDEX(TblTareas[Horas],36)/INDEX(TblTareas[Duracion],36),""))</f>
      </c>
      <c r="L43" s="64" t="str">
        <f>IF($A43="","",IF(AND(INDEX(TblTareas[Activa],36)=1,L$7&gt;=INDEX(TblTareas[Semana],36),L$7&lt;INDEX(TblTareas[Semana],36)+INDEX(TblTareas[Duracion],36)),INDEX(TblTareas[Horas],36)/INDEX(TblTareas[Duracion],36),""))</f>
      </c>
      <c r="M43" s="64" t="n">
        <f>IF($A43="","",IF(AND(INDEX(TblTareas[Activa],36)=1,M$7&gt;=INDEX(TblTareas[Semana],36),M$7&lt;INDEX(TblTareas[Semana],36)+INDEX(TblTareas[Duracion],36)),INDEX(TblTareas[Horas],36)/INDEX(TblTareas[Duracion],36),""))</f>
        <v>4</v>
      </c>
      <c r="N43" s="64" t="n">
        <f>IF($A43="","",IF(AND(INDEX(TblTareas[Activa],36)=1,N$7&gt;=INDEX(TblTareas[Semana],36),N$7&lt;INDEX(TblTareas[Semana],36)+INDEX(TblTareas[Duracion],36)),INDEX(TblTareas[Horas],36)/INDEX(TblTareas[Duracion],36),""))</f>
        <v>4</v>
      </c>
      <c r="O43" s="64" t="str">
        <f>IF($A43="","",IF(AND(INDEX(TblTareas[Activa],36)=1,O$7&gt;=INDEX(TblTareas[Semana],36),O$7&lt;INDEX(TblTareas[Semana],36)+INDEX(TblTareas[Duracion],36)),INDEX(TblTareas[Horas],36)/INDEX(TblTareas[Duracion],36),""))</f>
      </c>
      <c r="P43" s="64" t="str">
        <f>IF($A43="","",IF(AND(INDEX(TblTareas[Activa],36)=1,P$7&gt;=INDEX(TblTareas[Semana],36),P$7&lt;INDEX(TblTareas[Semana],36)+INDEX(TblTareas[Duracion],36)),INDEX(TblTareas[Horas],36)/INDEX(TblTareas[Duracion],36),""))</f>
      </c>
      <c r="Q43" s="64" t="str">
        <f>IF($A43="","",IF(AND(INDEX(TblTareas[Activa],36)=1,Q$7&gt;=INDEX(TblTareas[Semana],36),Q$7&lt;INDEX(TblTareas[Semana],36)+INDEX(TblTareas[Duracion],36)),INDEX(TblTareas[Horas],36)/INDEX(TblTareas[Duracion],36),""))</f>
      </c>
      <c r="R43" s="64" t="str">
        <f>IF($A43="","",IF(AND(INDEX(TblTareas[Activa],36)=1,R$7&gt;=INDEX(TblTareas[Semana],36),R$7&lt;INDEX(TblTareas[Semana],36)+INDEX(TblTareas[Duracion],36)),INDEX(TblTareas[Horas],36)/INDEX(TblTareas[Duracion],36),""))</f>
      </c>
      <c r="S43" s="64" t="str">
        <f>IF($A43="","",IF(AND(INDEX(TblTareas[Activa],36)=1,S$7&gt;=INDEX(TblTareas[Semana],36),S$7&lt;INDEX(TblTareas[Semana],36)+INDEX(TblTareas[Duracion],36)),INDEX(TblTareas[Horas],36)/INDEX(TblTareas[Duracion],36),""))</f>
      </c>
      <c r="T43" s="64" t="str">
        <f>IF($A43="","",IF(AND(INDEX(TblTareas[Activa],36)=1,T$7&gt;=INDEX(TblTareas[Semana],36),T$7&lt;INDEX(TblTareas[Semana],36)+INDEX(TblTareas[Duracion],36)),INDEX(TblTareas[Horas],36)/INDEX(TblTareas[Duracion],36),""))</f>
      </c>
    </row>
    <row r="44" ht="34" customHeight="1">
      <c r="A44" s="62" t="str">
        <f>IFERROR(IF(INDEX(TblTareas[ID],37)="","",INDEX(TblTareas[ID],37)),"")</f>
        <v>DOC-03</v>
      </c>
      <c r="B44" s="62" t="str">
        <f>IF($A44="","",IFERROR(INDEX(TblTareas[Responsable],37),""))</f>
        <v>David</v>
      </c>
      <c r="C44" s="62" t="str">
        <f>IF($A44="","",IFERROR(INDEX(TblTareas[Trabajo],37),""))</f>
        <v>Preparar demostración y ensayo</v>
      </c>
      <c r="D44" s="62" t="str">
        <f>IF($A44="","",IFERROR(INDEX(TblTareas[Estado],37),""))</f>
        <v>Por hacer</v>
      </c>
      <c r="E44" s="64" t="str">
        <f>IF($A44="","",IF(AND(INDEX(TblTareas[Activa],37)=1,E$7&gt;=INDEX(TblTareas[Semana],37),E$7&lt;INDEX(TblTareas[Semana],37)+INDEX(TblTareas[Duracion],37)),INDEX(TblTareas[Horas],37)/INDEX(TblTareas[Duracion],37),""))</f>
      </c>
      <c r="F44" s="64" t="str">
        <f>IF($A44="","",IF(AND(INDEX(TblTareas[Activa],37)=1,F$7&gt;=INDEX(TblTareas[Semana],37),F$7&lt;INDEX(TblTareas[Semana],37)+INDEX(TblTareas[Duracion],37)),INDEX(TblTareas[Horas],37)/INDEX(TblTareas[Duracion],37),""))</f>
      </c>
      <c r="G44" s="64" t="str">
        <f>IF($A44="","",IF(AND(INDEX(TblTareas[Activa],37)=1,G$7&gt;=INDEX(TblTareas[Semana],37),G$7&lt;INDEX(TblTareas[Semana],37)+INDEX(TblTareas[Duracion],37)),INDEX(TblTareas[Horas],37)/INDEX(TblTareas[Duracion],37),""))</f>
      </c>
      <c r="H44" s="64" t="str">
        <f>IF($A44="","",IF(AND(INDEX(TblTareas[Activa],37)=1,H$7&gt;=INDEX(TblTareas[Semana],37),H$7&lt;INDEX(TblTareas[Semana],37)+INDEX(TblTareas[Duracion],37)),INDEX(TblTareas[Horas],37)/INDEX(TblTareas[Duracion],37),""))</f>
      </c>
      <c r="I44" s="64" t="str">
        <f>IF($A44="","",IF(AND(INDEX(TblTareas[Activa],37)=1,I$7&gt;=INDEX(TblTareas[Semana],37),I$7&lt;INDEX(TblTareas[Semana],37)+INDEX(TblTareas[Duracion],37)),INDEX(TblTareas[Horas],37)/INDEX(TblTareas[Duracion],37),""))</f>
      </c>
      <c r="J44" s="64" t="str">
        <f>IF($A44="","",IF(AND(INDEX(TblTareas[Activa],37)=1,J$7&gt;=INDEX(TblTareas[Semana],37),J$7&lt;INDEX(TblTareas[Semana],37)+INDEX(TblTareas[Duracion],37)),INDEX(TblTareas[Horas],37)/INDEX(TblTareas[Duracion],37),""))</f>
      </c>
      <c r="K44" s="64" t="str">
        <f>IF($A44="","",IF(AND(INDEX(TblTareas[Activa],37)=1,K$7&gt;=INDEX(TblTareas[Semana],37),K$7&lt;INDEX(TblTareas[Semana],37)+INDEX(TblTareas[Duracion],37)),INDEX(TblTareas[Horas],37)/INDEX(TblTareas[Duracion],37),""))</f>
      </c>
      <c r="L44" s="64" t="str">
        <f>IF($A44="","",IF(AND(INDEX(TblTareas[Activa],37)=1,L$7&gt;=INDEX(TblTareas[Semana],37),L$7&lt;INDEX(TblTareas[Semana],37)+INDEX(TblTareas[Duracion],37)),INDEX(TblTareas[Horas],37)/INDEX(TblTareas[Duracion],37),""))</f>
      </c>
      <c r="M44" s="64" t="str">
        <f>IF($A44="","",IF(AND(INDEX(TblTareas[Activa],37)=1,M$7&gt;=INDEX(TblTareas[Semana],37),M$7&lt;INDEX(TblTareas[Semana],37)+INDEX(TblTareas[Duracion],37)),INDEX(TblTareas[Horas],37)/INDEX(TblTareas[Duracion],37),""))</f>
      </c>
      <c r="N44" s="64" t="str">
        <f>IF($A44="","",IF(AND(INDEX(TblTareas[Activa],37)=1,N$7&gt;=INDEX(TblTareas[Semana],37),N$7&lt;INDEX(TblTareas[Semana],37)+INDEX(TblTareas[Duracion],37)),INDEX(TblTareas[Horas],37)/INDEX(TblTareas[Duracion],37),""))</f>
      </c>
      <c r="O44" s="64" t="str">
        <f>IF($A44="","",IF(AND(INDEX(TblTareas[Activa],37)=1,O$7&gt;=INDEX(TblTareas[Semana],37),O$7&lt;INDEX(TblTareas[Semana],37)+INDEX(TblTareas[Duracion],37)),INDEX(TblTareas[Horas],37)/INDEX(TblTareas[Duracion],37),""))</f>
      </c>
      <c r="P44" s="64" t="n">
        <f>IF($A44="","",IF(AND(INDEX(TblTareas[Activa],37)=1,P$7&gt;=INDEX(TblTareas[Semana],37),P$7&lt;INDEX(TblTareas[Semana],37)+INDEX(TblTareas[Duracion],37)),INDEX(TblTareas[Horas],37)/INDEX(TblTareas[Duracion],37),""))</f>
        <v>4</v>
      </c>
      <c r="Q44" s="64" t="str">
        <f>IF($A44="","",IF(AND(INDEX(TblTareas[Activa],37)=1,Q$7&gt;=INDEX(TblTareas[Semana],37),Q$7&lt;INDEX(TblTareas[Semana],37)+INDEX(TblTareas[Duracion],37)),INDEX(TblTareas[Horas],37)/INDEX(TblTareas[Duracion],37),""))</f>
      </c>
      <c r="R44" s="64" t="str">
        <f>IF($A44="","",IF(AND(INDEX(TblTareas[Activa],37)=1,R$7&gt;=INDEX(TblTareas[Semana],37),R$7&lt;INDEX(TblTareas[Semana],37)+INDEX(TblTareas[Duracion],37)),INDEX(TblTareas[Horas],37)/INDEX(TblTareas[Duracion],37),""))</f>
      </c>
      <c r="S44" s="64" t="str">
        <f>IF($A44="","",IF(AND(INDEX(TblTareas[Activa],37)=1,S$7&gt;=INDEX(TblTareas[Semana],37),S$7&lt;INDEX(TblTareas[Semana],37)+INDEX(TblTareas[Duracion],37)),INDEX(TblTareas[Horas],37)/INDEX(TblTareas[Duracion],37),""))</f>
      </c>
      <c r="T44" s="64" t="str">
        <f>IF($A44="","",IF(AND(INDEX(TblTareas[Activa],37)=1,T$7&gt;=INDEX(TblTareas[Semana],37),T$7&lt;INDEX(TblTareas[Semana],37)+INDEX(TblTareas[Duracion],37)),INDEX(TblTareas[Horas],37)/INDEX(TblTareas[Duracion],37),""))</f>
      </c>
    </row>
    <row r="45" ht="34" customHeight="1">
      <c r="A45" s="62" t="str">
        <f>IFERROR(IF(INDEX(TblTareas[ID],38)="","",INDEX(TblTareas[ID],38)),"")</f>
        <v>REL-01</v>
      </c>
      <c r="B45" s="62" t="str">
        <f>IF($A45="","",IFERROR(INDEX(TblTareas[Responsable],38),""))</f>
        <v>Iker</v>
      </c>
      <c r="C45" s="62" t="str">
        <f>IF($A45="","",IFERROR(INDEX(TblTareas[Trabajo],38),""))</f>
        <v>Empaquetar versión de entrega</v>
      </c>
      <c r="D45" s="62" t="str">
        <f>IF($A45="","",IFERROR(INDEX(TblTareas[Estado],38),""))</f>
        <v>Por hacer</v>
      </c>
      <c r="E45" s="64" t="str">
        <f>IF($A45="","",IF(AND(INDEX(TblTareas[Activa],38)=1,E$7&gt;=INDEX(TblTareas[Semana],38),E$7&lt;INDEX(TblTareas[Semana],38)+INDEX(TblTareas[Duracion],38)),INDEX(TblTareas[Horas],38)/INDEX(TblTareas[Duracion],38),""))</f>
      </c>
      <c r="F45" s="64" t="str">
        <f>IF($A45="","",IF(AND(INDEX(TblTareas[Activa],38)=1,F$7&gt;=INDEX(TblTareas[Semana],38),F$7&lt;INDEX(TblTareas[Semana],38)+INDEX(TblTareas[Duracion],38)),INDEX(TblTareas[Horas],38)/INDEX(TblTareas[Duracion],38),""))</f>
      </c>
      <c r="G45" s="64" t="str">
        <f>IF($A45="","",IF(AND(INDEX(TblTareas[Activa],38)=1,G$7&gt;=INDEX(TblTareas[Semana],38),G$7&lt;INDEX(TblTareas[Semana],38)+INDEX(TblTareas[Duracion],38)),INDEX(TblTareas[Horas],38)/INDEX(TblTareas[Duracion],38),""))</f>
      </c>
      <c r="H45" s="64" t="str">
        <f>IF($A45="","",IF(AND(INDEX(TblTareas[Activa],38)=1,H$7&gt;=INDEX(TblTareas[Semana],38),H$7&lt;INDEX(TblTareas[Semana],38)+INDEX(TblTareas[Duracion],38)),INDEX(TblTareas[Horas],38)/INDEX(TblTareas[Duracion],38),""))</f>
      </c>
      <c r="I45" s="64" t="str">
        <f>IF($A45="","",IF(AND(INDEX(TblTareas[Activa],38)=1,I$7&gt;=INDEX(TblTareas[Semana],38),I$7&lt;INDEX(TblTareas[Semana],38)+INDEX(TblTareas[Duracion],38)),INDEX(TblTareas[Horas],38)/INDEX(TblTareas[Duracion],38),""))</f>
      </c>
      <c r="J45" s="64" t="str">
        <f>IF($A45="","",IF(AND(INDEX(TblTareas[Activa],38)=1,J$7&gt;=INDEX(TblTareas[Semana],38),J$7&lt;INDEX(TblTareas[Semana],38)+INDEX(TblTareas[Duracion],38)),INDEX(TblTareas[Horas],38)/INDEX(TblTareas[Duracion],38),""))</f>
      </c>
      <c r="K45" s="64" t="str">
        <f>IF($A45="","",IF(AND(INDEX(TblTareas[Activa],38)=1,K$7&gt;=INDEX(TblTareas[Semana],38),K$7&lt;INDEX(TblTareas[Semana],38)+INDEX(TblTareas[Duracion],38)),INDEX(TblTareas[Horas],38)/INDEX(TblTareas[Duracion],38),""))</f>
      </c>
      <c r="L45" s="64" t="str">
        <f>IF($A45="","",IF(AND(INDEX(TblTareas[Activa],38)=1,L$7&gt;=INDEX(TblTareas[Semana],38),L$7&lt;INDEX(TblTareas[Semana],38)+INDEX(TblTareas[Duracion],38)),INDEX(TblTareas[Horas],38)/INDEX(TblTareas[Duracion],38),""))</f>
      </c>
      <c r="M45" s="64" t="str">
        <f>IF($A45="","",IF(AND(INDEX(TblTareas[Activa],38)=1,M$7&gt;=INDEX(TblTareas[Semana],38),M$7&lt;INDEX(TblTareas[Semana],38)+INDEX(TblTareas[Duracion],38)),INDEX(TblTareas[Horas],38)/INDEX(TblTareas[Duracion],38),""))</f>
      </c>
      <c r="N45" s="64" t="str">
        <f>IF($A45="","",IF(AND(INDEX(TblTareas[Activa],38)=1,N$7&gt;=INDEX(TblTareas[Semana],38),N$7&lt;INDEX(TblTareas[Semana],38)+INDEX(TblTareas[Duracion],38)),INDEX(TblTareas[Horas],38)/INDEX(TblTareas[Duracion],38),""))</f>
      </c>
      <c r="O45" s="64" t="str">
        <f>IF($A45="","",IF(AND(INDEX(TblTareas[Activa],38)=1,O$7&gt;=INDEX(TblTareas[Semana],38),O$7&lt;INDEX(TblTareas[Semana],38)+INDEX(TblTareas[Duracion],38)),INDEX(TblTareas[Horas],38)/INDEX(TblTareas[Duracion],38),""))</f>
      </c>
      <c r="P45" s="64" t="str">
        <f>IF($A45="","",IF(AND(INDEX(TblTareas[Activa],38)=1,P$7&gt;=INDEX(TblTareas[Semana],38),P$7&lt;INDEX(TblTareas[Semana],38)+INDEX(TblTareas[Duracion],38)),INDEX(TblTareas[Horas],38)/INDEX(TblTareas[Duracion],38),""))</f>
      </c>
      <c r="Q45" s="64" t="n">
        <f>IF($A45="","",IF(AND(INDEX(TblTareas[Activa],38)=1,Q$7&gt;=INDEX(TblTareas[Semana],38),Q$7&lt;INDEX(TblTareas[Semana],38)+INDEX(TblTareas[Duracion],38)),INDEX(TblTareas[Horas],38)/INDEX(TblTareas[Duracion],38),""))</f>
        <v>4</v>
      </c>
      <c r="R45" s="64" t="str">
        <f>IF($A45="","",IF(AND(INDEX(TblTareas[Activa],38)=1,R$7&gt;=INDEX(TblTareas[Semana],38),R$7&lt;INDEX(TblTareas[Semana],38)+INDEX(TblTareas[Duracion],38)),INDEX(TblTareas[Horas],38)/INDEX(TblTareas[Duracion],38),""))</f>
      </c>
      <c r="S45" s="64" t="str">
        <f>IF($A45="","",IF(AND(INDEX(TblTareas[Activa],38)=1,S$7&gt;=INDEX(TblTareas[Semana],38),S$7&lt;INDEX(TblTareas[Semana],38)+INDEX(TblTareas[Duracion],38)),INDEX(TblTareas[Horas],38)/INDEX(TblTareas[Duracion],38),""))</f>
      </c>
      <c r="T45" s="64" t="str">
        <f>IF($A45="","",IF(AND(INDEX(TblTareas[Activa],38)=1,T$7&gt;=INDEX(TblTareas[Semana],38),T$7&lt;INDEX(TblTareas[Semana],38)+INDEX(TblTareas[Duracion],38)),INDEX(TblTareas[Horas],38)/INDEX(TblTareas[Duracion],38),""))</f>
      </c>
    </row>
    <row r="46" ht="34" customHeight="1">
      <c r="A46" s="62" t="str">
        <f>IFERROR(IF(INDEX(TblTareas[ID],39)="","",INDEX(TblTareas[ID],39)),"")</f>
        <v>OPT-01</v>
      </c>
      <c r="B46" s="62" t="str">
        <f>IF($A46="","",IFERROR(INDEX(TblTareas[Responsable],39),""))</f>
        <v>Amin</v>
      </c>
      <c r="C46" s="62" t="str">
        <f>IF($A46="","",IFERROR(INDEX(TblTareas[Trabajo],39),""))</f>
        <v>Especificar y validar rescate opcional</v>
      </c>
      <c r="D46" s="62" t="str">
        <f>IF($A46="","",IFERROR(INDEX(TblTareas[Estado],39),""))</f>
        <v>Por hacer</v>
      </c>
      <c r="E46" s="64" t="str">
        <f>IF($A46="","",IF(AND(INDEX(TblTareas[Activa],39)=1,E$7&gt;=INDEX(TblTareas[Semana],39),E$7&lt;INDEX(TblTareas[Semana],39)+INDEX(TblTareas[Duracion],39)),INDEX(TblTareas[Horas],39)/INDEX(TblTareas[Duracion],39),""))</f>
      </c>
      <c r="F46" s="64" t="str">
        <f>IF($A46="","",IF(AND(INDEX(TblTareas[Activa],39)=1,F$7&gt;=INDEX(TblTareas[Semana],39),F$7&lt;INDEX(TblTareas[Semana],39)+INDEX(TblTareas[Duracion],39)),INDEX(TblTareas[Horas],39)/INDEX(TblTareas[Duracion],39),""))</f>
      </c>
      <c r="G46" s="64" t="str">
        <f>IF($A46="","",IF(AND(INDEX(TblTareas[Activa],39)=1,G$7&gt;=INDEX(TblTareas[Semana],39),G$7&lt;INDEX(TblTareas[Semana],39)+INDEX(TblTareas[Duracion],39)),INDEX(TblTareas[Horas],39)/INDEX(TblTareas[Duracion],39),""))</f>
      </c>
      <c r="H46" s="64" t="str">
        <f>IF($A46="","",IF(AND(INDEX(TblTareas[Activa],39)=1,H$7&gt;=INDEX(TblTareas[Semana],39),H$7&lt;INDEX(TblTareas[Semana],39)+INDEX(TblTareas[Duracion],39)),INDEX(TblTareas[Horas],39)/INDEX(TblTareas[Duracion],39),""))</f>
      </c>
      <c r="I46" s="64" t="str">
        <f>IF($A46="","",IF(AND(INDEX(TblTareas[Activa],39)=1,I$7&gt;=INDEX(TblTareas[Semana],39),I$7&lt;INDEX(TblTareas[Semana],39)+INDEX(TblTareas[Duracion],39)),INDEX(TblTareas[Horas],39)/INDEX(TblTareas[Duracion],39),""))</f>
      </c>
      <c r="J46" s="64" t="str">
        <f>IF($A46="","",IF(AND(INDEX(TblTareas[Activa],39)=1,J$7&gt;=INDEX(TblTareas[Semana],39),J$7&lt;INDEX(TblTareas[Semana],39)+INDEX(TblTareas[Duracion],39)),INDEX(TblTareas[Horas],39)/INDEX(TblTareas[Duracion],39),""))</f>
      </c>
      <c r="K46" s="64" t="str">
        <f>IF($A46="","",IF(AND(INDEX(TblTareas[Activa],39)=1,K$7&gt;=INDEX(TblTareas[Semana],39),K$7&lt;INDEX(TblTareas[Semana],39)+INDEX(TblTareas[Duracion],39)),INDEX(TblTareas[Horas],39)/INDEX(TblTareas[Duracion],39),""))</f>
      </c>
      <c r="L46" s="64" t="str">
        <f>IF($A46="","",IF(AND(INDEX(TblTareas[Activa],39)=1,L$7&gt;=INDEX(TblTareas[Semana],39),L$7&lt;INDEX(TblTareas[Semana],39)+INDEX(TblTareas[Duracion],39)),INDEX(TblTareas[Horas],39)/INDEX(TblTareas[Duracion],39),""))</f>
      </c>
      <c r="M46" s="64" t="str">
        <f>IF($A46="","",IF(AND(INDEX(TblTareas[Activa],39)=1,M$7&gt;=INDEX(TblTareas[Semana],39),M$7&lt;INDEX(TblTareas[Semana],39)+INDEX(TblTareas[Duracion],39)),INDEX(TblTareas[Horas],39)/INDEX(TblTareas[Duracion],39),""))</f>
      </c>
      <c r="N46" s="64" t="str">
        <f>IF($A46="","",IF(AND(INDEX(TblTareas[Activa],39)=1,N$7&gt;=INDEX(TblTareas[Semana],39),N$7&lt;INDEX(TblTareas[Semana],39)+INDEX(TblTareas[Duracion],39)),INDEX(TblTareas[Horas],39)/INDEX(TblTareas[Duracion],39),""))</f>
      </c>
      <c r="O46" s="64" t="str">
        <f>IF($A46="","",IF(AND(INDEX(TblTareas[Activa],39)=1,O$7&gt;=INDEX(TblTareas[Semana],39),O$7&lt;INDEX(TblTareas[Semana],39)+INDEX(TblTareas[Duracion],39)),INDEX(TblTareas[Horas],39)/INDEX(TblTareas[Duracion],39),""))</f>
      </c>
      <c r="P46" s="64" t="str">
        <f>IF($A46="","",IF(AND(INDEX(TblTareas[Activa],39)=1,P$7&gt;=INDEX(TblTareas[Semana],39),P$7&lt;INDEX(TblTareas[Semana],39)+INDEX(TblTareas[Duracion],39)),INDEX(TblTareas[Horas],39)/INDEX(TblTareas[Duracion],39),""))</f>
      </c>
      <c r="Q46" s="64" t="str">
        <f>IF($A46="","",IF(AND(INDEX(TblTareas[Activa],39)=1,Q$7&gt;=INDEX(TblTareas[Semana],39),Q$7&lt;INDEX(TblTareas[Semana],39)+INDEX(TblTareas[Duracion],39)),INDEX(TblTareas[Horas],39)/INDEX(TblTareas[Duracion],39),""))</f>
      </c>
      <c r="R46" s="64" t="str">
        <f>IF($A46="","",IF(AND(INDEX(TblTareas[Activa],39)=1,R$7&gt;=INDEX(TblTareas[Semana],39),R$7&lt;INDEX(TblTareas[Semana],39)+INDEX(TblTareas[Duracion],39)),INDEX(TblTareas[Horas],39)/INDEX(TblTareas[Duracion],39),""))</f>
      </c>
      <c r="S46" s="64" t="str">
        <f>IF($A46="","",IF(AND(INDEX(TblTareas[Activa],39)=1,S$7&gt;=INDEX(TblTareas[Semana],39),S$7&lt;INDEX(TblTareas[Semana],39)+INDEX(TblTareas[Duracion],39)),INDEX(TblTareas[Horas],39)/INDEX(TblTareas[Duracion],39),""))</f>
      </c>
      <c r="T46" s="64" t="str">
        <f>IF($A46="","",IF(AND(INDEX(TblTareas[Activa],39)=1,T$7&gt;=INDEX(TblTareas[Semana],39),T$7&lt;INDEX(TblTareas[Semana],39)+INDEX(TblTareas[Duracion],39)),INDEX(TblTareas[Horas],39)/INDEX(TblTareas[Duracion],39),""))</f>
      </c>
    </row>
    <row r="47" ht="34" customHeight="1">
      <c r="A47" s="62" t="str">
        <f>IFERROR(IF(INDEX(TblTareas[ID],40)="","",INDEX(TblTareas[ID],40)),"")</f>
        <v>OPT-02</v>
      </c>
      <c r="B47" s="62" t="str">
        <f>IF($A47="","",IFERROR(INDEX(TblTareas[Responsable],40),""))</f>
        <v>Iker</v>
      </c>
      <c r="C47" s="62" t="str">
        <f>IF($A47="","",IFERROR(INDEX(TblTareas[Trabajo],40),""))</f>
        <v>Implementar doble nave si hay margen</v>
      </c>
      <c r="D47" s="62" t="str">
        <f>IF($A47="","",IFERROR(INDEX(TblTareas[Estado],40),""))</f>
        <v>Por hacer</v>
      </c>
      <c r="E47" s="64" t="str">
        <f>IF($A47="","",IF(AND(INDEX(TblTareas[Activa],40)=1,E$7&gt;=INDEX(TblTareas[Semana],40),E$7&lt;INDEX(TblTareas[Semana],40)+INDEX(TblTareas[Duracion],40)),INDEX(TblTareas[Horas],40)/INDEX(TblTareas[Duracion],40),""))</f>
      </c>
      <c r="F47" s="64" t="str">
        <f>IF($A47="","",IF(AND(INDEX(TblTareas[Activa],40)=1,F$7&gt;=INDEX(TblTareas[Semana],40),F$7&lt;INDEX(TblTareas[Semana],40)+INDEX(TblTareas[Duracion],40)),INDEX(TblTareas[Horas],40)/INDEX(TblTareas[Duracion],40),""))</f>
      </c>
      <c r="G47" s="64" t="str">
        <f>IF($A47="","",IF(AND(INDEX(TblTareas[Activa],40)=1,G$7&gt;=INDEX(TblTareas[Semana],40),G$7&lt;INDEX(TblTareas[Semana],40)+INDEX(TblTareas[Duracion],40)),INDEX(TblTareas[Horas],40)/INDEX(TblTareas[Duracion],40),""))</f>
      </c>
      <c r="H47" s="64" t="str">
        <f>IF($A47="","",IF(AND(INDEX(TblTareas[Activa],40)=1,H$7&gt;=INDEX(TblTareas[Semana],40),H$7&lt;INDEX(TblTareas[Semana],40)+INDEX(TblTareas[Duracion],40)),INDEX(TblTareas[Horas],40)/INDEX(TblTareas[Duracion],40),""))</f>
      </c>
      <c r="I47" s="64" t="str">
        <f>IF($A47="","",IF(AND(INDEX(TblTareas[Activa],40)=1,I$7&gt;=INDEX(TblTareas[Semana],40),I$7&lt;INDEX(TblTareas[Semana],40)+INDEX(TblTareas[Duracion],40)),INDEX(TblTareas[Horas],40)/INDEX(TblTareas[Duracion],40),""))</f>
      </c>
      <c r="J47" s="64" t="str">
        <f>IF($A47="","",IF(AND(INDEX(TblTareas[Activa],40)=1,J$7&gt;=INDEX(TblTareas[Semana],40),J$7&lt;INDEX(TblTareas[Semana],40)+INDEX(TblTareas[Duracion],40)),INDEX(TblTareas[Horas],40)/INDEX(TblTareas[Duracion],40),""))</f>
      </c>
      <c r="K47" s="64" t="str">
        <f>IF($A47="","",IF(AND(INDEX(TblTareas[Activa],40)=1,K$7&gt;=INDEX(TblTareas[Semana],40),K$7&lt;INDEX(TblTareas[Semana],40)+INDEX(TblTareas[Duracion],40)),INDEX(TblTareas[Horas],40)/INDEX(TblTareas[Duracion],40),""))</f>
      </c>
      <c r="L47" s="64" t="str">
        <f>IF($A47="","",IF(AND(INDEX(TblTareas[Activa],40)=1,L$7&gt;=INDEX(TblTareas[Semana],40),L$7&lt;INDEX(TblTareas[Semana],40)+INDEX(TblTareas[Duracion],40)),INDEX(TblTareas[Horas],40)/INDEX(TblTareas[Duracion],40),""))</f>
      </c>
      <c r="M47" s="64" t="str">
        <f>IF($A47="","",IF(AND(INDEX(TblTareas[Activa],40)=1,M$7&gt;=INDEX(TblTareas[Semana],40),M$7&lt;INDEX(TblTareas[Semana],40)+INDEX(TblTareas[Duracion],40)),INDEX(TblTareas[Horas],40)/INDEX(TblTareas[Duracion],40),""))</f>
      </c>
      <c r="N47" s="64" t="str">
        <f>IF($A47="","",IF(AND(INDEX(TblTareas[Activa],40)=1,N$7&gt;=INDEX(TblTareas[Semana],40),N$7&lt;INDEX(TblTareas[Semana],40)+INDEX(TblTareas[Duracion],40)),INDEX(TblTareas[Horas],40)/INDEX(TblTareas[Duracion],40),""))</f>
      </c>
      <c r="O47" s="64" t="str">
        <f>IF($A47="","",IF(AND(INDEX(TblTareas[Activa],40)=1,O$7&gt;=INDEX(TblTareas[Semana],40),O$7&lt;INDEX(TblTareas[Semana],40)+INDEX(TblTareas[Duracion],40)),INDEX(TblTareas[Horas],40)/INDEX(TblTareas[Duracion],40),""))</f>
      </c>
      <c r="P47" s="64" t="str">
        <f>IF($A47="","",IF(AND(INDEX(TblTareas[Activa],40)=1,P$7&gt;=INDEX(TblTareas[Semana],40),P$7&lt;INDEX(TblTareas[Semana],40)+INDEX(TblTareas[Duracion],40)),INDEX(TblTareas[Horas],40)/INDEX(TblTareas[Duracion],40),""))</f>
      </c>
      <c r="Q47" s="64" t="str">
        <f>IF($A47="","",IF(AND(INDEX(TblTareas[Activa],40)=1,Q$7&gt;=INDEX(TblTareas[Semana],40),Q$7&lt;INDEX(TblTareas[Semana],40)+INDEX(TblTareas[Duracion],40)),INDEX(TblTareas[Horas],40)/INDEX(TblTareas[Duracion],40),""))</f>
      </c>
      <c r="R47" s="64" t="str">
        <f>IF($A47="","",IF(AND(INDEX(TblTareas[Activa],40)=1,R$7&gt;=INDEX(TblTareas[Semana],40),R$7&lt;INDEX(TblTareas[Semana],40)+INDEX(TblTareas[Duracion],40)),INDEX(TblTareas[Horas],40)/INDEX(TblTareas[Duracion],40),""))</f>
      </c>
      <c r="S47" s="64" t="str">
        <f>IF($A47="","",IF(AND(INDEX(TblTareas[Activa],40)=1,S$7&gt;=INDEX(TblTareas[Semana],40),S$7&lt;INDEX(TblTareas[Semana],40)+INDEX(TblTareas[Duracion],40)),INDEX(TblTareas[Horas],40)/INDEX(TblTareas[Duracion],40),""))</f>
      </c>
      <c r="T47" s="64" t="str">
        <f>IF($A47="","",IF(AND(INDEX(TblTareas[Activa],40)=1,T$7&gt;=INDEX(TblTareas[Semana],40),T$7&lt;INDEX(TblTareas[Semana],40)+INDEX(TblTareas[Duracion],40)),INDEX(TblTareas[Horas],40)/INDEX(TblTareas[Duracion],40),""))</f>
      </c>
    </row>
    <row r="48" ht="34" customHeight="1">
      <c r="A48" s="62" t="str">
        <f>IFERROR(IF(INDEX(TblTareas[ID],41)="","",INDEX(TblTareas[ID],41)),"")</f>
      </c>
      <c r="B48" s="62" t="str">
        <f>IF($A48="","",IFERROR(INDEX(TblTareas[Responsable],41),""))</f>
      </c>
      <c r="C48" s="62" t="str">
        <f>IF($A48="","",IFERROR(INDEX(TblTareas[Trabajo],41),""))</f>
      </c>
      <c r="D48" s="62" t="str">
        <f>IF($A48="","",IFERROR(INDEX(TblTareas[Estado],41),""))</f>
      </c>
      <c r="E48" s="64" t="str">
        <f>IF($A48="","",IF(AND(INDEX(TblTareas[Activa],41)=1,E$7&gt;=INDEX(TblTareas[Semana],41),E$7&lt;INDEX(TblTareas[Semana],41)+INDEX(TblTareas[Duracion],41)),INDEX(TblTareas[Horas],41)/INDEX(TblTareas[Duracion],41),""))</f>
      </c>
      <c r="F48" s="64" t="str">
        <f>IF($A48="","",IF(AND(INDEX(TblTareas[Activa],41)=1,F$7&gt;=INDEX(TblTareas[Semana],41),F$7&lt;INDEX(TblTareas[Semana],41)+INDEX(TblTareas[Duracion],41)),INDEX(TblTareas[Horas],41)/INDEX(TblTareas[Duracion],41),""))</f>
      </c>
      <c r="G48" s="64" t="str">
        <f>IF($A48="","",IF(AND(INDEX(TblTareas[Activa],41)=1,G$7&gt;=INDEX(TblTareas[Semana],41),G$7&lt;INDEX(TblTareas[Semana],41)+INDEX(TblTareas[Duracion],41)),INDEX(TblTareas[Horas],41)/INDEX(TblTareas[Duracion],41),""))</f>
      </c>
      <c r="H48" s="64" t="str">
        <f>IF($A48="","",IF(AND(INDEX(TblTareas[Activa],41)=1,H$7&gt;=INDEX(TblTareas[Semana],41),H$7&lt;INDEX(TblTareas[Semana],41)+INDEX(TblTareas[Duracion],41)),INDEX(TblTareas[Horas],41)/INDEX(TblTareas[Duracion],41),""))</f>
      </c>
      <c r="I48" s="64" t="str">
        <f>IF($A48="","",IF(AND(INDEX(TblTareas[Activa],41)=1,I$7&gt;=INDEX(TblTareas[Semana],41),I$7&lt;INDEX(TblTareas[Semana],41)+INDEX(TblTareas[Duracion],41)),INDEX(TblTareas[Horas],41)/INDEX(TblTareas[Duracion],41),""))</f>
      </c>
      <c r="J48" s="64" t="str">
        <f>IF($A48="","",IF(AND(INDEX(TblTareas[Activa],41)=1,J$7&gt;=INDEX(TblTareas[Semana],41),J$7&lt;INDEX(TblTareas[Semana],41)+INDEX(TblTareas[Duracion],41)),INDEX(TblTareas[Horas],41)/INDEX(TblTareas[Duracion],41),""))</f>
      </c>
      <c r="K48" s="64" t="str">
        <f>IF($A48="","",IF(AND(INDEX(TblTareas[Activa],41)=1,K$7&gt;=INDEX(TblTareas[Semana],41),K$7&lt;INDEX(TblTareas[Semana],41)+INDEX(TblTareas[Duracion],41)),INDEX(TblTareas[Horas],41)/INDEX(TblTareas[Duracion],41),""))</f>
      </c>
      <c r="L48" s="64" t="str">
        <f>IF($A48="","",IF(AND(INDEX(TblTareas[Activa],41)=1,L$7&gt;=INDEX(TblTareas[Semana],41),L$7&lt;INDEX(TblTareas[Semana],41)+INDEX(TblTareas[Duracion],41)),INDEX(TblTareas[Horas],41)/INDEX(TblTareas[Duracion],41),""))</f>
      </c>
      <c r="M48" s="64" t="str">
        <f>IF($A48="","",IF(AND(INDEX(TblTareas[Activa],41)=1,M$7&gt;=INDEX(TblTareas[Semana],41),M$7&lt;INDEX(TblTareas[Semana],41)+INDEX(TblTareas[Duracion],41)),INDEX(TblTareas[Horas],41)/INDEX(TblTareas[Duracion],41),""))</f>
      </c>
      <c r="N48" s="64" t="str">
        <f>IF($A48="","",IF(AND(INDEX(TblTareas[Activa],41)=1,N$7&gt;=INDEX(TblTareas[Semana],41),N$7&lt;INDEX(TblTareas[Semana],41)+INDEX(TblTareas[Duracion],41)),INDEX(TblTareas[Horas],41)/INDEX(TblTareas[Duracion],41),""))</f>
      </c>
      <c r="O48" s="64" t="str">
        <f>IF($A48="","",IF(AND(INDEX(TblTareas[Activa],41)=1,O$7&gt;=INDEX(TblTareas[Semana],41),O$7&lt;INDEX(TblTareas[Semana],41)+INDEX(TblTareas[Duracion],41)),INDEX(TblTareas[Horas],41)/INDEX(TblTareas[Duracion],41),""))</f>
      </c>
      <c r="P48" s="64" t="str">
        <f>IF($A48="","",IF(AND(INDEX(TblTareas[Activa],41)=1,P$7&gt;=INDEX(TblTareas[Semana],41),P$7&lt;INDEX(TblTareas[Semana],41)+INDEX(TblTareas[Duracion],41)),INDEX(TblTareas[Horas],41)/INDEX(TblTareas[Duracion],41),""))</f>
      </c>
      <c r="Q48" s="64" t="str">
        <f>IF($A48="","",IF(AND(INDEX(TblTareas[Activa],41)=1,Q$7&gt;=INDEX(TblTareas[Semana],41),Q$7&lt;INDEX(TblTareas[Semana],41)+INDEX(TblTareas[Duracion],41)),INDEX(TblTareas[Horas],41)/INDEX(TblTareas[Duracion],41),""))</f>
      </c>
      <c r="R48" s="64" t="str">
        <f>IF($A48="","",IF(AND(INDEX(TblTareas[Activa],41)=1,R$7&gt;=INDEX(TblTareas[Semana],41),R$7&lt;INDEX(TblTareas[Semana],41)+INDEX(TblTareas[Duracion],41)),INDEX(TblTareas[Horas],41)/INDEX(TblTareas[Duracion],41),""))</f>
      </c>
      <c r="S48" s="64" t="str">
        <f>IF($A48="","",IF(AND(INDEX(TblTareas[Activa],41)=1,S$7&gt;=INDEX(TblTareas[Semana],41),S$7&lt;INDEX(TblTareas[Semana],41)+INDEX(TblTareas[Duracion],41)),INDEX(TblTareas[Horas],41)/INDEX(TblTareas[Duracion],41),""))</f>
      </c>
      <c r="T48" s="64" t="str">
        <f>IF($A48="","",IF(AND(INDEX(TblTareas[Activa],41)=1,T$7&gt;=INDEX(TblTareas[Semana],41),T$7&lt;INDEX(TblTareas[Semana],41)+INDEX(TblTareas[Duracion],41)),INDEX(TblTareas[Horas],41)/INDEX(TblTareas[Duracion],41),""))</f>
      </c>
    </row>
    <row r="49" ht="34" customHeight="1">
      <c r="A49" s="62" t="str">
        <f>IFERROR(IF(INDEX(TblTareas[ID],42)="","",INDEX(TblTareas[ID],42)),"")</f>
      </c>
      <c r="B49" s="62" t="str">
        <f>IF($A49="","",IFERROR(INDEX(TblTareas[Responsable],42),""))</f>
      </c>
      <c r="C49" s="62" t="str">
        <f>IF($A49="","",IFERROR(INDEX(TblTareas[Trabajo],42),""))</f>
      </c>
      <c r="D49" s="62" t="str">
        <f>IF($A49="","",IFERROR(INDEX(TblTareas[Estado],42),""))</f>
      </c>
      <c r="E49" s="64" t="str">
        <f>IF($A49="","",IF(AND(INDEX(TblTareas[Activa],42)=1,E$7&gt;=INDEX(TblTareas[Semana],42),E$7&lt;INDEX(TblTareas[Semana],42)+INDEX(TblTareas[Duracion],42)),INDEX(TblTareas[Horas],42)/INDEX(TblTareas[Duracion],42),""))</f>
      </c>
      <c r="F49" s="64" t="str">
        <f>IF($A49="","",IF(AND(INDEX(TblTareas[Activa],42)=1,F$7&gt;=INDEX(TblTareas[Semana],42),F$7&lt;INDEX(TblTareas[Semana],42)+INDEX(TblTareas[Duracion],42)),INDEX(TblTareas[Horas],42)/INDEX(TblTareas[Duracion],42),""))</f>
      </c>
      <c r="G49" s="64" t="str">
        <f>IF($A49="","",IF(AND(INDEX(TblTareas[Activa],42)=1,G$7&gt;=INDEX(TblTareas[Semana],42),G$7&lt;INDEX(TblTareas[Semana],42)+INDEX(TblTareas[Duracion],42)),INDEX(TblTareas[Horas],42)/INDEX(TblTareas[Duracion],42),""))</f>
      </c>
      <c r="H49" s="64" t="str">
        <f>IF($A49="","",IF(AND(INDEX(TblTareas[Activa],42)=1,H$7&gt;=INDEX(TblTareas[Semana],42),H$7&lt;INDEX(TblTareas[Semana],42)+INDEX(TblTareas[Duracion],42)),INDEX(TblTareas[Horas],42)/INDEX(TblTareas[Duracion],42),""))</f>
      </c>
      <c r="I49" s="64" t="str">
        <f>IF($A49="","",IF(AND(INDEX(TblTareas[Activa],42)=1,I$7&gt;=INDEX(TblTareas[Semana],42),I$7&lt;INDEX(TblTareas[Semana],42)+INDEX(TblTareas[Duracion],42)),INDEX(TblTareas[Horas],42)/INDEX(TblTareas[Duracion],42),""))</f>
      </c>
      <c r="J49" s="64" t="str">
        <f>IF($A49="","",IF(AND(INDEX(TblTareas[Activa],42)=1,J$7&gt;=INDEX(TblTareas[Semana],42),J$7&lt;INDEX(TblTareas[Semana],42)+INDEX(TblTareas[Duracion],42)),INDEX(TblTareas[Horas],42)/INDEX(TblTareas[Duracion],42),""))</f>
      </c>
      <c r="K49" s="64" t="str">
        <f>IF($A49="","",IF(AND(INDEX(TblTareas[Activa],42)=1,K$7&gt;=INDEX(TblTareas[Semana],42),K$7&lt;INDEX(TblTareas[Semana],42)+INDEX(TblTareas[Duracion],42)),INDEX(TblTareas[Horas],42)/INDEX(TblTareas[Duracion],42),""))</f>
      </c>
      <c r="L49" s="64" t="str">
        <f>IF($A49="","",IF(AND(INDEX(TblTareas[Activa],42)=1,L$7&gt;=INDEX(TblTareas[Semana],42),L$7&lt;INDEX(TblTareas[Semana],42)+INDEX(TblTareas[Duracion],42)),INDEX(TblTareas[Horas],42)/INDEX(TblTareas[Duracion],42),""))</f>
      </c>
      <c r="M49" s="64" t="str">
        <f>IF($A49="","",IF(AND(INDEX(TblTareas[Activa],42)=1,M$7&gt;=INDEX(TblTareas[Semana],42),M$7&lt;INDEX(TblTareas[Semana],42)+INDEX(TblTareas[Duracion],42)),INDEX(TblTareas[Horas],42)/INDEX(TblTareas[Duracion],42),""))</f>
      </c>
      <c r="N49" s="64" t="str">
        <f>IF($A49="","",IF(AND(INDEX(TblTareas[Activa],42)=1,N$7&gt;=INDEX(TblTareas[Semana],42),N$7&lt;INDEX(TblTareas[Semana],42)+INDEX(TblTareas[Duracion],42)),INDEX(TblTareas[Horas],42)/INDEX(TblTareas[Duracion],42),""))</f>
      </c>
      <c r="O49" s="64" t="str">
        <f>IF($A49="","",IF(AND(INDEX(TblTareas[Activa],42)=1,O$7&gt;=INDEX(TblTareas[Semana],42),O$7&lt;INDEX(TblTareas[Semana],42)+INDEX(TblTareas[Duracion],42)),INDEX(TblTareas[Horas],42)/INDEX(TblTareas[Duracion],42),""))</f>
      </c>
      <c r="P49" s="64" t="str">
        <f>IF($A49="","",IF(AND(INDEX(TblTareas[Activa],42)=1,P$7&gt;=INDEX(TblTareas[Semana],42),P$7&lt;INDEX(TblTareas[Semana],42)+INDEX(TblTareas[Duracion],42)),INDEX(TblTareas[Horas],42)/INDEX(TblTareas[Duracion],42),""))</f>
      </c>
      <c r="Q49" s="64" t="str">
        <f>IF($A49="","",IF(AND(INDEX(TblTareas[Activa],42)=1,Q$7&gt;=INDEX(TblTareas[Semana],42),Q$7&lt;INDEX(TblTareas[Semana],42)+INDEX(TblTareas[Duracion],42)),INDEX(TblTareas[Horas],42)/INDEX(TblTareas[Duracion],42),""))</f>
      </c>
      <c r="R49" s="64" t="str">
        <f>IF($A49="","",IF(AND(INDEX(TblTareas[Activa],42)=1,R$7&gt;=INDEX(TblTareas[Semana],42),R$7&lt;INDEX(TblTareas[Semana],42)+INDEX(TblTareas[Duracion],42)),INDEX(TblTareas[Horas],42)/INDEX(TblTareas[Duracion],42),""))</f>
      </c>
      <c r="S49" s="64" t="str">
        <f>IF($A49="","",IF(AND(INDEX(TblTareas[Activa],42)=1,S$7&gt;=INDEX(TblTareas[Semana],42),S$7&lt;INDEX(TblTareas[Semana],42)+INDEX(TblTareas[Duracion],42)),INDEX(TblTareas[Horas],42)/INDEX(TblTareas[Duracion],42),""))</f>
      </c>
      <c r="T49" s="64" t="str">
        <f>IF($A49="","",IF(AND(INDEX(TblTareas[Activa],42)=1,T$7&gt;=INDEX(TblTareas[Semana],42),T$7&lt;INDEX(TblTareas[Semana],42)+INDEX(TblTareas[Duracion],42)),INDEX(TblTareas[Horas],42)/INDEX(TblTareas[Duracion],42),""))</f>
      </c>
    </row>
    <row r="50" ht="34" customHeight="1">
      <c r="A50" s="62" t="str">
        <f>IFERROR(IF(INDEX(TblTareas[ID],43)="","",INDEX(TblTareas[ID],43)),"")</f>
      </c>
      <c r="B50" s="62" t="str">
        <f>IF($A50="","",IFERROR(INDEX(TblTareas[Responsable],43),""))</f>
      </c>
      <c r="C50" s="62" t="str">
        <f>IF($A50="","",IFERROR(INDEX(TblTareas[Trabajo],43),""))</f>
      </c>
      <c r="D50" s="62" t="str">
        <f>IF($A50="","",IFERROR(INDEX(TblTareas[Estado],43),""))</f>
      </c>
      <c r="E50" s="64" t="str">
        <f>IF($A50="","",IF(AND(INDEX(TblTareas[Activa],43)=1,E$7&gt;=INDEX(TblTareas[Semana],43),E$7&lt;INDEX(TblTareas[Semana],43)+INDEX(TblTareas[Duracion],43)),INDEX(TblTareas[Horas],43)/INDEX(TblTareas[Duracion],43),""))</f>
      </c>
      <c r="F50" s="64" t="str">
        <f>IF($A50="","",IF(AND(INDEX(TblTareas[Activa],43)=1,F$7&gt;=INDEX(TblTareas[Semana],43),F$7&lt;INDEX(TblTareas[Semana],43)+INDEX(TblTareas[Duracion],43)),INDEX(TblTareas[Horas],43)/INDEX(TblTareas[Duracion],43),""))</f>
      </c>
      <c r="G50" s="64" t="str">
        <f>IF($A50="","",IF(AND(INDEX(TblTareas[Activa],43)=1,G$7&gt;=INDEX(TblTareas[Semana],43),G$7&lt;INDEX(TblTareas[Semana],43)+INDEX(TblTareas[Duracion],43)),INDEX(TblTareas[Horas],43)/INDEX(TblTareas[Duracion],43),""))</f>
      </c>
      <c r="H50" s="64" t="str">
        <f>IF($A50="","",IF(AND(INDEX(TblTareas[Activa],43)=1,H$7&gt;=INDEX(TblTareas[Semana],43),H$7&lt;INDEX(TblTareas[Semana],43)+INDEX(TblTareas[Duracion],43)),INDEX(TblTareas[Horas],43)/INDEX(TblTareas[Duracion],43),""))</f>
      </c>
      <c r="I50" s="64" t="str">
        <f>IF($A50="","",IF(AND(INDEX(TblTareas[Activa],43)=1,I$7&gt;=INDEX(TblTareas[Semana],43),I$7&lt;INDEX(TblTareas[Semana],43)+INDEX(TblTareas[Duracion],43)),INDEX(TblTareas[Horas],43)/INDEX(TblTareas[Duracion],43),""))</f>
      </c>
      <c r="J50" s="64" t="str">
        <f>IF($A50="","",IF(AND(INDEX(TblTareas[Activa],43)=1,J$7&gt;=INDEX(TblTareas[Semana],43),J$7&lt;INDEX(TblTareas[Semana],43)+INDEX(TblTareas[Duracion],43)),INDEX(TblTareas[Horas],43)/INDEX(TblTareas[Duracion],43),""))</f>
      </c>
      <c r="K50" s="64" t="str">
        <f>IF($A50="","",IF(AND(INDEX(TblTareas[Activa],43)=1,K$7&gt;=INDEX(TblTareas[Semana],43),K$7&lt;INDEX(TblTareas[Semana],43)+INDEX(TblTareas[Duracion],43)),INDEX(TblTareas[Horas],43)/INDEX(TblTareas[Duracion],43),""))</f>
      </c>
      <c r="L50" s="64" t="str">
        <f>IF($A50="","",IF(AND(INDEX(TblTareas[Activa],43)=1,L$7&gt;=INDEX(TblTareas[Semana],43),L$7&lt;INDEX(TblTareas[Semana],43)+INDEX(TblTareas[Duracion],43)),INDEX(TblTareas[Horas],43)/INDEX(TblTareas[Duracion],43),""))</f>
      </c>
      <c r="M50" s="64" t="str">
        <f>IF($A50="","",IF(AND(INDEX(TblTareas[Activa],43)=1,M$7&gt;=INDEX(TblTareas[Semana],43),M$7&lt;INDEX(TblTareas[Semana],43)+INDEX(TblTareas[Duracion],43)),INDEX(TblTareas[Horas],43)/INDEX(TblTareas[Duracion],43),""))</f>
      </c>
      <c r="N50" s="64" t="str">
        <f>IF($A50="","",IF(AND(INDEX(TblTareas[Activa],43)=1,N$7&gt;=INDEX(TblTareas[Semana],43),N$7&lt;INDEX(TblTareas[Semana],43)+INDEX(TblTareas[Duracion],43)),INDEX(TblTareas[Horas],43)/INDEX(TblTareas[Duracion],43),""))</f>
      </c>
      <c r="O50" s="64" t="str">
        <f>IF($A50="","",IF(AND(INDEX(TblTareas[Activa],43)=1,O$7&gt;=INDEX(TblTareas[Semana],43),O$7&lt;INDEX(TblTareas[Semana],43)+INDEX(TblTareas[Duracion],43)),INDEX(TblTareas[Horas],43)/INDEX(TblTareas[Duracion],43),""))</f>
      </c>
      <c r="P50" s="64" t="str">
        <f>IF($A50="","",IF(AND(INDEX(TblTareas[Activa],43)=1,P$7&gt;=INDEX(TblTareas[Semana],43),P$7&lt;INDEX(TblTareas[Semana],43)+INDEX(TblTareas[Duracion],43)),INDEX(TblTareas[Horas],43)/INDEX(TblTareas[Duracion],43),""))</f>
      </c>
      <c r="Q50" s="64" t="str">
        <f>IF($A50="","",IF(AND(INDEX(TblTareas[Activa],43)=1,Q$7&gt;=INDEX(TblTareas[Semana],43),Q$7&lt;INDEX(TblTareas[Semana],43)+INDEX(TblTareas[Duracion],43)),INDEX(TblTareas[Horas],43)/INDEX(TblTareas[Duracion],43),""))</f>
      </c>
      <c r="R50" s="64" t="str">
        <f>IF($A50="","",IF(AND(INDEX(TblTareas[Activa],43)=1,R$7&gt;=INDEX(TblTareas[Semana],43),R$7&lt;INDEX(TblTareas[Semana],43)+INDEX(TblTareas[Duracion],43)),INDEX(TblTareas[Horas],43)/INDEX(TblTareas[Duracion],43),""))</f>
      </c>
      <c r="S50" s="64" t="str">
        <f>IF($A50="","",IF(AND(INDEX(TblTareas[Activa],43)=1,S$7&gt;=INDEX(TblTareas[Semana],43),S$7&lt;INDEX(TblTareas[Semana],43)+INDEX(TblTareas[Duracion],43)),INDEX(TblTareas[Horas],43)/INDEX(TblTareas[Duracion],43),""))</f>
      </c>
      <c r="T50" s="64" t="str">
        <f>IF($A50="","",IF(AND(INDEX(TblTareas[Activa],43)=1,T$7&gt;=INDEX(TblTareas[Semana],43),T$7&lt;INDEX(TblTareas[Semana],43)+INDEX(TblTareas[Duracion],43)),INDEX(TblTareas[Horas],43)/INDEX(TblTareas[Duracion],43),""))</f>
      </c>
    </row>
    <row r="51" ht="34" customHeight="1">
      <c r="A51" s="62" t="str">
        <f>IFERROR(IF(INDEX(TblTareas[ID],44)="","",INDEX(TblTareas[ID],44)),"")</f>
      </c>
      <c r="B51" s="62" t="str">
        <f>IF($A51="","",IFERROR(INDEX(TblTareas[Responsable],44),""))</f>
      </c>
      <c r="C51" s="62" t="str">
        <f>IF($A51="","",IFERROR(INDEX(TblTareas[Trabajo],44),""))</f>
      </c>
      <c r="D51" s="62" t="str">
        <f>IF($A51="","",IFERROR(INDEX(TblTareas[Estado],44),""))</f>
      </c>
      <c r="E51" s="64" t="str">
        <f>IF($A51="","",IF(AND(INDEX(TblTareas[Activa],44)=1,E$7&gt;=INDEX(TblTareas[Semana],44),E$7&lt;INDEX(TblTareas[Semana],44)+INDEX(TblTareas[Duracion],44)),INDEX(TblTareas[Horas],44)/INDEX(TblTareas[Duracion],44),""))</f>
      </c>
      <c r="F51" s="64" t="str">
        <f>IF($A51="","",IF(AND(INDEX(TblTareas[Activa],44)=1,F$7&gt;=INDEX(TblTareas[Semana],44),F$7&lt;INDEX(TblTareas[Semana],44)+INDEX(TblTareas[Duracion],44)),INDEX(TblTareas[Horas],44)/INDEX(TblTareas[Duracion],44),""))</f>
      </c>
      <c r="G51" s="64" t="str">
        <f>IF($A51="","",IF(AND(INDEX(TblTareas[Activa],44)=1,G$7&gt;=INDEX(TblTareas[Semana],44),G$7&lt;INDEX(TblTareas[Semana],44)+INDEX(TblTareas[Duracion],44)),INDEX(TblTareas[Horas],44)/INDEX(TblTareas[Duracion],44),""))</f>
      </c>
      <c r="H51" s="64" t="str">
        <f>IF($A51="","",IF(AND(INDEX(TblTareas[Activa],44)=1,H$7&gt;=INDEX(TblTareas[Semana],44),H$7&lt;INDEX(TblTareas[Semana],44)+INDEX(TblTareas[Duracion],44)),INDEX(TblTareas[Horas],44)/INDEX(TblTareas[Duracion],44),""))</f>
      </c>
      <c r="I51" s="64" t="str">
        <f>IF($A51="","",IF(AND(INDEX(TblTareas[Activa],44)=1,I$7&gt;=INDEX(TblTareas[Semana],44),I$7&lt;INDEX(TblTareas[Semana],44)+INDEX(TblTareas[Duracion],44)),INDEX(TblTareas[Horas],44)/INDEX(TblTareas[Duracion],44),""))</f>
      </c>
      <c r="J51" s="64" t="str">
        <f>IF($A51="","",IF(AND(INDEX(TblTareas[Activa],44)=1,J$7&gt;=INDEX(TblTareas[Semana],44),J$7&lt;INDEX(TblTareas[Semana],44)+INDEX(TblTareas[Duracion],44)),INDEX(TblTareas[Horas],44)/INDEX(TblTareas[Duracion],44),""))</f>
      </c>
      <c r="K51" s="64" t="str">
        <f>IF($A51="","",IF(AND(INDEX(TblTareas[Activa],44)=1,K$7&gt;=INDEX(TblTareas[Semana],44),K$7&lt;INDEX(TblTareas[Semana],44)+INDEX(TblTareas[Duracion],44)),INDEX(TblTareas[Horas],44)/INDEX(TblTareas[Duracion],44),""))</f>
      </c>
      <c r="L51" s="64" t="str">
        <f>IF($A51="","",IF(AND(INDEX(TblTareas[Activa],44)=1,L$7&gt;=INDEX(TblTareas[Semana],44),L$7&lt;INDEX(TblTareas[Semana],44)+INDEX(TblTareas[Duracion],44)),INDEX(TblTareas[Horas],44)/INDEX(TblTareas[Duracion],44),""))</f>
      </c>
      <c r="M51" s="64" t="str">
        <f>IF($A51="","",IF(AND(INDEX(TblTareas[Activa],44)=1,M$7&gt;=INDEX(TblTareas[Semana],44),M$7&lt;INDEX(TblTareas[Semana],44)+INDEX(TblTareas[Duracion],44)),INDEX(TblTareas[Horas],44)/INDEX(TblTareas[Duracion],44),""))</f>
      </c>
      <c r="N51" s="64" t="str">
        <f>IF($A51="","",IF(AND(INDEX(TblTareas[Activa],44)=1,N$7&gt;=INDEX(TblTareas[Semana],44),N$7&lt;INDEX(TblTareas[Semana],44)+INDEX(TblTareas[Duracion],44)),INDEX(TblTareas[Horas],44)/INDEX(TblTareas[Duracion],44),""))</f>
      </c>
      <c r="O51" s="64" t="str">
        <f>IF($A51="","",IF(AND(INDEX(TblTareas[Activa],44)=1,O$7&gt;=INDEX(TblTareas[Semana],44),O$7&lt;INDEX(TblTareas[Semana],44)+INDEX(TblTareas[Duracion],44)),INDEX(TblTareas[Horas],44)/INDEX(TblTareas[Duracion],44),""))</f>
      </c>
      <c r="P51" s="64" t="str">
        <f>IF($A51="","",IF(AND(INDEX(TblTareas[Activa],44)=1,P$7&gt;=INDEX(TblTareas[Semana],44),P$7&lt;INDEX(TblTareas[Semana],44)+INDEX(TblTareas[Duracion],44)),INDEX(TblTareas[Horas],44)/INDEX(TblTareas[Duracion],44),""))</f>
      </c>
      <c r="Q51" s="64" t="str">
        <f>IF($A51="","",IF(AND(INDEX(TblTareas[Activa],44)=1,Q$7&gt;=INDEX(TblTareas[Semana],44),Q$7&lt;INDEX(TblTareas[Semana],44)+INDEX(TblTareas[Duracion],44)),INDEX(TblTareas[Horas],44)/INDEX(TblTareas[Duracion],44),""))</f>
      </c>
      <c r="R51" s="64" t="str">
        <f>IF($A51="","",IF(AND(INDEX(TblTareas[Activa],44)=1,R$7&gt;=INDEX(TblTareas[Semana],44),R$7&lt;INDEX(TblTareas[Semana],44)+INDEX(TblTareas[Duracion],44)),INDEX(TblTareas[Horas],44)/INDEX(TblTareas[Duracion],44),""))</f>
      </c>
      <c r="S51" s="64" t="str">
        <f>IF($A51="","",IF(AND(INDEX(TblTareas[Activa],44)=1,S$7&gt;=INDEX(TblTareas[Semana],44),S$7&lt;INDEX(TblTareas[Semana],44)+INDEX(TblTareas[Duracion],44)),INDEX(TblTareas[Horas],44)/INDEX(TblTareas[Duracion],44),""))</f>
      </c>
      <c r="T51" s="64" t="str">
        <f>IF($A51="","",IF(AND(INDEX(TblTareas[Activa],44)=1,T$7&gt;=INDEX(TblTareas[Semana],44),T$7&lt;INDEX(TblTareas[Semana],44)+INDEX(TblTareas[Duracion],44)),INDEX(TblTareas[Horas],44)/INDEX(TblTareas[Duracion],44),""))</f>
      </c>
    </row>
    <row r="52" ht="34" customHeight="1">
      <c r="A52" s="62" t="str">
        <f>IFERROR(IF(INDEX(TblTareas[ID],45)="","",INDEX(TblTareas[ID],45)),"")</f>
      </c>
      <c r="B52" s="62" t="str">
        <f>IF($A52="","",IFERROR(INDEX(TblTareas[Responsable],45),""))</f>
      </c>
      <c r="C52" s="62" t="str">
        <f>IF($A52="","",IFERROR(INDEX(TblTareas[Trabajo],45),""))</f>
      </c>
      <c r="D52" s="62" t="str">
        <f>IF($A52="","",IFERROR(INDEX(TblTareas[Estado],45),""))</f>
      </c>
      <c r="E52" s="64" t="str">
        <f>IF($A52="","",IF(AND(INDEX(TblTareas[Activa],45)=1,E$7&gt;=INDEX(TblTareas[Semana],45),E$7&lt;INDEX(TblTareas[Semana],45)+INDEX(TblTareas[Duracion],45)),INDEX(TblTareas[Horas],45)/INDEX(TblTareas[Duracion],45),""))</f>
      </c>
      <c r="F52" s="64" t="str">
        <f>IF($A52="","",IF(AND(INDEX(TblTareas[Activa],45)=1,F$7&gt;=INDEX(TblTareas[Semana],45),F$7&lt;INDEX(TblTareas[Semana],45)+INDEX(TblTareas[Duracion],45)),INDEX(TblTareas[Horas],45)/INDEX(TblTareas[Duracion],45),""))</f>
      </c>
      <c r="G52" s="64" t="str">
        <f>IF($A52="","",IF(AND(INDEX(TblTareas[Activa],45)=1,G$7&gt;=INDEX(TblTareas[Semana],45),G$7&lt;INDEX(TblTareas[Semana],45)+INDEX(TblTareas[Duracion],45)),INDEX(TblTareas[Horas],45)/INDEX(TblTareas[Duracion],45),""))</f>
      </c>
      <c r="H52" s="64" t="str">
        <f>IF($A52="","",IF(AND(INDEX(TblTareas[Activa],45)=1,H$7&gt;=INDEX(TblTareas[Semana],45),H$7&lt;INDEX(TblTareas[Semana],45)+INDEX(TblTareas[Duracion],45)),INDEX(TblTareas[Horas],45)/INDEX(TblTareas[Duracion],45),""))</f>
      </c>
      <c r="I52" s="64" t="str">
        <f>IF($A52="","",IF(AND(INDEX(TblTareas[Activa],45)=1,I$7&gt;=INDEX(TblTareas[Semana],45),I$7&lt;INDEX(TblTareas[Semana],45)+INDEX(TblTareas[Duracion],45)),INDEX(TblTareas[Horas],45)/INDEX(TblTareas[Duracion],45),""))</f>
      </c>
      <c r="J52" s="64" t="str">
        <f>IF($A52="","",IF(AND(INDEX(TblTareas[Activa],45)=1,J$7&gt;=INDEX(TblTareas[Semana],45),J$7&lt;INDEX(TblTareas[Semana],45)+INDEX(TblTareas[Duracion],45)),INDEX(TblTareas[Horas],45)/INDEX(TblTareas[Duracion],45),""))</f>
      </c>
      <c r="K52" s="64" t="str">
        <f>IF($A52="","",IF(AND(INDEX(TblTareas[Activa],45)=1,K$7&gt;=INDEX(TblTareas[Semana],45),K$7&lt;INDEX(TblTareas[Semana],45)+INDEX(TblTareas[Duracion],45)),INDEX(TblTareas[Horas],45)/INDEX(TblTareas[Duracion],45),""))</f>
      </c>
      <c r="L52" s="64" t="str">
        <f>IF($A52="","",IF(AND(INDEX(TblTareas[Activa],45)=1,L$7&gt;=INDEX(TblTareas[Semana],45),L$7&lt;INDEX(TblTareas[Semana],45)+INDEX(TblTareas[Duracion],45)),INDEX(TblTareas[Horas],45)/INDEX(TblTareas[Duracion],45),""))</f>
      </c>
      <c r="M52" s="64" t="str">
        <f>IF($A52="","",IF(AND(INDEX(TblTareas[Activa],45)=1,M$7&gt;=INDEX(TblTareas[Semana],45),M$7&lt;INDEX(TblTareas[Semana],45)+INDEX(TblTareas[Duracion],45)),INDEX(TblTareas[Horas],45)/INDEX(TblTareas[Duracion],45),""))</f>
      </c>
      <c r="N52" s="64" t="str">
        <f>IF($A52="","",IF(AND(INDEX(TblTareas[Activa],45)=1,N$7&gt;=INDEX(TblTareas[Semana],45),N$7&lt;INDEX(TblTareas[Semana],45)+INDEX(TblTareas[Duracion],45)),INDEX(TblTareas[Horas],45)/INDEX(TblTareas[Duracion],45),""))</f>
      </c>
      <c r="O52" s="64" t="str">
        <f>IF($A52="","",IF(AND(INDEX(TblTareas[Activa],45)=1,O$7&gt;=INDEX(TblTareas[Semana],45),O$7&lt;INDEX(TblTareas[Semana],45)+INDEX(TblTareas[Duracion],45)),INDEX(TblTareas[Horas],45)/INDEX(TblTareas[Duracion],45),""))</f>
      </c>
      <c r="P52" s="64" t="str">
        <f>IF($A52="","",IF(AND(INDEX(TblTareas[Activa],45)=1,P$7&gt;=INDEX(TblTareas[Semana],45),P$7&lt;INDEX(TblTareas[Semana],45)+INDEX(TblTareas[Duracion],45)),INDEX(TblTareas[Horas],45)/INDEX(TblTareas[Duracion],45),""))</f>
      </c>
      <c r="Q52" s="64" t="str">
        <f>IF($A52="","",IF(AND(INDEX(TblTareas[Activa],45)=1,Q$7&gt;=INDEX(TblTareas[Semana],45),Q$7&lt;INDEX(TblTareas[Semana],45)+INDEX(TblTareas[Duracion],45)),INDEX(TblTareas[Horas],45)/INDEX(TblTareas[Duracion],45),""))</f>
      </c>
      <c r="R52" s="64" t="str">
        <f>IF($A52="","",IF(AND(INDEX(TblTareas[Activa],45)=1,R$7&gt;=INDEX(TblTareas[Semana],45),R$7&lt;INDEX(TblTareas[Semana],45)+INDEX(TblTareas[Duracion],45)),INDEX(TblTareas[Horas],45)/INDEX(TblTareas[Duracion],45),""))</f>
      </c>
      <c r="S52" s="64" t="str">
        <f>IF($A52="","",IF(AND(INDEX(TblTareas[Activa],45)=1,S$7&gt;=INDEX(TblTareas[Semana],45),S$7&lt;INDEX(TblTareas[Semana],45)+INDEX(TblTareas[Duracion],45)),INDEX(TblTareas[Horas],45)/INDEX(TblTareas[Duracion],45),""))</f>
      </c>
      <c r="T52" s="64" t="str">
        <f>IF($A52="","",IF(AND(INDEX(TblTareas[Activa],45)=1,T$7&gt;=INDEX(TblTareas[Semana],45),T$7&lt;INDEX(TblTareas[Semana],45)+INDEX(TblTareas[Duracion],45)),INDEX(TblTareas[Horas],45)/INDEX(TblTareas[Duracion],45),""))</f>
      </c>
    </row>
    <row r="53" ht="34" customHeight="1">
      <c r="A53" s="62" t="str">
        <f>IFERROR(IF(INDEX(TblTareas[ID],46)="","",INDEX(TblTareas[ID],46)),"")</f>
      </c>
      <c r="B53" s="62" t="str">
        <f>IF($A53="","",IFERROR(INDEX(TblTareas[Responsable],46),""))</f>
      </c>
      <c r="C53" s="62" t="str">
        <f>IF($A53="","",IFERROR(INDEX(TblTareas[Trabajo],46),""))</f>
      </c>
      <c r="D53" s="62" t="str">
        <f>IF($A53="","",IFERROR(INDEX(TblTareas[Estado],46),""))</f>
      </c>
      <c r="E53" s="64" t="str">
        <f>IF($A53="","",IF(AND(INDEX(TblTareas[Activa],46)=1,E$7&gt;=INDEX(TblTareas[Semana],46),E$7&lt;INDEX(TblTareas[Semana],46)+INDEX(TblTareas[Duracion],46)),INDEX(TblTareas[Horas],46)/INDEX(TblTareas[Duracion],46),""))</f>
      </c>
      <c r="F53" s="64" t="str">
        <f>IF($A53="","",IF(AND(INDEX(TblTareas[Activa],46)=1,F$7&gt;=INDEX(TblTareas[Semana],46),F$7&lt;INDEX(TblTareas[Semana],46)+INDEX(TblTareas[Duracion],46)),INDEX(TblTareas[Horas],46)/INDEX(TblTareas[Duracion],46),""))</f>
      </c>
      <c r="G53" s="64" t="str">
        <f>IF($A53="","",IF(AND(INDEX(TblTareas[Activa],46)=1,G$7&gt;=INDEX(TblTareas[Semana],46),G$7&lt;INDEX(TblTareas[Semana],46)+INDEX(TblTareas[Duracion],46)),INDEX(TblTareas[Horas],46)/INDEX(TblTareas[Duracion],46),""))</f>
      </c>
      <c r="H53" s="64" t="str">
        <f>IF($A53="","",IF(AND(INDEX(TblTareas[Activa],46)=1,H$7&gt;=INDEX(TblTareas[Semana],46),H$7&lt;INDEX(TblTareas[Semana],46)+INDEX(TblTareas[Duracion],46)),INDEX(TblTareas[Horas],46)/INDEX(TblTareas[Duracion],46),""))</f>
      </c>
      <c r="I53" s="64" t="str">
        <f>IF($A53="","",IF(AND(INDEX(TblTareas[Activa],46)=1,I$7&gt;=INDEX(TblTareas[Semana],46),I$7&lt;INDEX(TblTareas[Semana],46)+INDEX(TblTareas[Duracion],46)),INDEX(TblTareas[Horas],46)/INDEX(TblTareas[Duracion],46),""))</f>
      </c>
      <c r="J53" s="64" t="str">
        <f>IF($A53="","",IF(AND(INDEX(TblTareas[Activa],46)=1,J$7&gt;=INDEX(TblTareas[Semana],46),J$7&lt;INDEX(TblTareas[Semana],46)+INDEX(TblTareas[Duracion],46)),INDEX(TblTareas[Horas],46)/INDEX(TblTareas[Duracion],46),""))</f>
      </c>
      <c r="K53" s="64" t="str">
        <f>IF($A53="","",IF(AND(INDEX(TblTareas[Activa],46)=1,K$7&gt;=INDEX(TblTareas[Semana],46),K$7&lt;INDEX(TblTareas[Semana],46)+INDEX(TblTareas[Duracion],46)),INDEX(TblTareas[Horas],46)/INDEX(TblTareas[Duracion],46),""))</f>
      </c>
      <c r="L53" s="64" t="str">
        <f>IF($A53="","",IF(AND(INDEX(TblTareas[Activa],46)=1,L$7&gt;=INDEX(TblTareas[Semana],46),L$7&lt;INDEX(TblTareas[Semana],46)+INDEX(TblTareas[Duracion],46)),INDEX(TblTareas[Horas],46)/INDEX(TblTareas[Duracion],46),""))</f>
      </c>
      <c r="M53" s="64" t="str">
        <f>IF($A53="","",IF(AND(INDEX(TblTareas[Activa],46)=1,M$7&gt;=INDEX(TblTareas[Semana],46),M$7&lt;INDEX(TblTareas[Semana],46)+INDEX(TblTareas[Duracion],46)),INDEX(TblTareas[Horas],46)/INDEX(TblTareas[Duracion],46),""))</f>
      </c>
      <c r="N53" s="64" t="str">
        <f>IF($A53="","",IF(AND(INDEX(TblTareas[Activa],46)=1,N$7&gt;=INDEX(TblTareas[Semana],46),N$7&lt;INDEX(TblTareas[Semana],46)+INDEX(TblTareas[Duracion],46)),INDEX(TblTareas[Horas],46)/INDEX(TblTareas[Duracion],46),""))</f>
      </c>
      <c r="O53" s="64" t="str">
        <f>IF($A53="","",IF(AND(INDEX(TblTareas[Activa],46)=1,O$7&gt;=INDEX(TblTareas[Semana],46),O$7&lt;INDEX(TblTareas[Semana],46)+INDEX(TblTareas[Duracion],46)),INDEX(TblTareas[Horas],46)/INDEX(TblTareas[Duracion],46),""))</f>
      </c>
      <c r="P53" s="64" t="str">
        <f>IF($A53="","",IF(AND(INDEX(TblTareas[Activa],46)=1,P$7&gt;=INDEX(TblTareas[Semana],46),P$7&lt;INDEX(TblTareas[Semana],46)+INDEX(TblTareas[Duracion],46)),INDEX(TblTareas[Horas],46)/INDEX(TblTareas[Duracion],46),""))</f>
      </c>
      <c r="Q53" s="64" t="str">
        <f>IF($A53="","",IF(AND(INDEX(TblTareas[Activa],46)=1,Q$7&gt;=INDEX(TblTareas[Semana],46),Q$7&lt;INDEX(TblTareas[Semana],46)+INDEX(TblTareas[Duracion],46)),INDEX(TblTareas[Horas],46)/INDEX(TblTareas[Duracion],46),""))</f>
      </c>
      <c r="R53" s="64" t="str">
        <f>IF($A53="","",IF(AND(INDEX(TblTareas[Activa],46)=1,R$7&gt;=INDEX(TblTareas[Semana],46),R$7&lt;INDEX(TblTareas[Semana],46)+INDEX(TblTareas[Duracion],46)),INDEX(TblTareas[Horas],46)/INDEX(TblTareas[Duracion],46),""))</f>
      </c>
      <c r="S53" s="64" t="str">
        <f>IF($A53="","",IF(AND(INDEX(TblTareas[Activa],46)=1,S$7&gt;=INDEX(TblTareas[Semana],46),S$7&lt;INDEX(TblTareas[Semana],46)+INDEX(TblTareas[Duracion],46)),INDEX(TblTareas[Horas],46)/INDEX(TblTareas[Duracion],46),""))</f>
      </c>
      <c r="T53" s="64" t="str">
        <f>IF($A53="","",IF(AND(INDEX(TblTareas[Activa],46)=1,T$7&gt;=INDEX(TblTareas[Semana],46),T$7&lt;INDEX(TblTareas[Semana],46)+INDEX(TblTareas[Duracion],46)),INDEX(TblTareas[Horas],46)/INDEX(TblTareas[Duracion],46),""))</f>
      </c>
    </row>
    <row r="54" ht="34" customHeight="1">
      <c r="A54" s="62" t="str">
        <f>IFERROR(IF(INDEX(TblTareas[ID],47)="","",INDEX(TblTareas[ID],47)),"")</f>
      </c>
      <c r="B54" s="62" t="str">
        <f>IF($A54="","",IFERROR(INDEX(TblTareas[Responsable],47),""))</f>
      </c>
      <c r="C54" s="62" t="str">
        <f>IF($A54="","",IFERROR(INDEX(TblTareas[Trabajo],47),""))</f>
      </c>
      <c r="D54" s="62" t="str">
        <f>IF($A54="","",IFERROR(INDEX(TblTareas[Estado],47),""))</f>
      </c>
      <c r="E54" s="64" t="str">
        <f>IF($A54="","",IF(AND(INDEX(TblTareas[Activa],47)=1,E$7&gt;=INDEX(TblTareas[Semana],47),E$7&lt;INDEX(TblTareas[Semana],47)+INDEX(TblTareas[Duracion],47)),INDEX(TblTareas[Horas],47)/INDEX(TblTareas[Duracion],47),""))</f>
      </c>
      <c r="F54" s="64" t="str">
        <f>IF($A54="","",IF(AND(INDEX(TblTareas[Activa],47)=1,F$7&gt;=INDEX(TblTareas[Semana],47),F$7&lt;INDEX(TblTareas[Semana],47)+INDEX(TblTareas[Duracion],47)),INDEX(TblTareas[Horas],47)/INDEX(TblTareas[Duracion],47),""))</f>
      </c>
      <c r="G54" s="64" t="str">
        <f>IF($A54="","",IF(AND(INDEX(TblTareas[Activa],47)=1,G$7&gt;=INDEX(TblTareas[Semana],47),G$7&lt;INDEX(TblTareas[Semana],47)+INDEX(TblTareas[Duracion],47)),INDEX(TblTareas[Horas],47)/INDEX(TblTareas[Duracion],47),""))</f>
      </c>
      <c r="H54" s="64" t="str">
        <f>IF($A54="","",IF(AND(INDEX(TblTareas[Activa],47)=1,H$7&gt;=INDEX(TblTareas[Semana],47),H$7&lt;INDEX(TblTareas[Semana],47)+INDEX(TblTareas[Duracion],47)),INDEX(TblTareas[Horas],47)/INDEX(TblTareas[Duracion],47),""))</f>
      </c>
      <c r="I54" s="64" t="str">
        <f>IF($A54="","",IF(AND(INDEX(TblTareas[Activa],47)=1,I$7&gt;=INDEX(TblTareas[Semana],47),I$7&lt;INDEX(TblTareas[Semana],47)+INDEX(TblTareas[Duracion],47)),INDEX(TblTareas[Horas],47)/INDEX(TblTareas[Duracion],47),""))</f>
      </c>
      <c r="J54" s="64" t="str">
        <f>IF($A54="","",IF(AND(INDEX(TblTareas[Activa],47)=1,J$7&gt;=INDEX(TblTareas[Semana],47),J$7&lt;INDEX(TblTareas[Semana],47)+INDEX(TblTareas[Duracion],47)),INDEX(TblTareas[Horas],47)/INDEX(TblTareas[Duracion],47),""))</f>
      </c>
      <c r="K54" s="64" t="str">
        <f>IF($A54="","",IF(AND(INDEX(TblTareas[Activa],47)=1,K$7&gt;=INDEX(TblTareas[Semana],47),K$7&lt;INDEX(TblTareas[Semana],47)+INDEX(TblTareas[Duracion],47)),INDEX(TblTareas[Horas],47)/INDEX(TblTareas[Duracion],47),""))</f>
      </c>
      <c r="L54" s="64" t="str">
        <f>IF($A54="","",IF(AND(INDEX(TblTareas[Activa],47)=1,L$7&gt;=INDEX(TblTareas[Semana],47),L$7&lt;INDEX(TblTareas[Semana],47)+INDEX(TblTareas[Duracion],47)),INDEX(TblTareas[Horas],47)/INDEX(TblTareas[Duracion],47),""))</f>
      </c>
      <c r="M54" s="64" t="str">
        <f>IF($A54="","",IF(AND(INDEX(TblTareas[Activa],47)=1,M$7&gt;=INDEX(TblTareas[Semana],47),M$7&lt;INDEX(TblTareas[Semana],47)+INDEX(TblTareas[Duracion],47)),INDEX(TblTareas[Horas],47)/INDEX(TblTareas[Duracion],47),""))</f>
      </c>
      <c r="N54" s="64" t="str">
        <f>IF($A54="","",IF(AND(INDEX(TblTareas[Activa],47)=1,N$7&gt;=INDEX(TblTareas[Semana],47),N$7&lt;INDEX(TblTareas[Semana],47)+INDEX(TblTareas[Duracion],47)),INDEX(TblTareas[Horas],47)/INDEX(TblTareas[Duracion],47),""))</f>
      </c>
      <c r="O54" s="64" t="str">
        <f>IF($A54="","",IF(AND(INDEX(TblTareas[Activa],47)=1,O$7&gt;=INDEX(TblTareas[Semana],47),O$7&lt;INDEX(TblTareas[Semana],47)+INDEX(TblTareas[Duracion],47)),INDEX(TblTareas[Horas],47)/INDEX(TblTareas[Duracion],47),""))</f>
      </c>
      <c r="P54" s="64" t="str">
        <f>IF($A54="","",IF(AND(INDEX(TblTareas[Activa],47)=1,P$7&gt;=INDEX(TblTareas[Semana],47),P$7&lt;INDEX(TblTareas[Semana],47)+INDEX(TblTareas[Duracion],47)),INDEX(TblTareas[Horas],47)/INDEX(TblTareas[Duracion],47),""))</f>
      </c>
      <c r="Q54" s="64" t="str">
        <f>IF($A54="","",IF(AND(INDEX(TblTareas[Activa],47)=1,Q$7&gt;=INDEX(TblTareas[Semana],47),Q$7&lt;INDEX(TblTareas[Semana],47)+INDEX(TblTareas[Duracion],47)),INDEX(TblTareas[Horas],47)/INDEX(TblTareas[Duracion],47),""))</f>
      </c>
      <c r="R54" s="64" t="str">
        <f>IF($A54="","",IF(AND(INDEX(TblTareas[Activa],47)=1,R$7&gt;=INDEX(TblTareas[Semana],47),R$7&lt;INDEX(TblTareas[Semana],47)+INDEX(TblTareas[Duracion],47)),INDEX(TblTareas[Horas],47)/INDEX(TblTareas[Duracion],47),""))</f>
      </c>
      <c r="S54" s="64" t="str">
        <f>IF($A54="","",IF(AND(INDEX(TblTareas[Activa],47)=1,S$7&gt;=INDEX(TblTareas[Semana],47),S$7&lt;INDEX(TblTareas[Semana],47)+INDEX(TblTareas[Duracion],47)),INDEX(TblTareas[Horas],47)/INDEX(TblTareas[Duracion],47),""))</f>
      </c>
      <c r="T54" s="64" t="str">
        <f>IF($A54="","",IF(AND(INDEX(TblTareas[Activa],47)=1,T$7&gt;=INDEX(TblTareas[Semana],47),T$7&lt;INDEX(TblTareas[Semana],47)+INDEX(TblTareas[Duracion],47)),INDEX(TblTareas[Horas],47)/INDEX(TblTareas[Duracion],47),""))</f>
      </c>
    </row>
    <row r="55" ht="34" customHeight="1">
      <c r="A55" s="62" t="str">
        <f>IFERROR(IF(INDEX(TblTareas[ID],48)="","",INDEX(TblTareas[ID],48)),"")</f>
      </c>
      <c r="B55" s="62" t="str">
        <f>IF($A55="","",IFERROR(INDEX(TblTareas[Responsable],48),""))</f>
      </c>
      <c r="C55" s="62" t="str">
        <f>IF($A55="","",IFERROR(INDEX(TblTareas[Trabajo],48),""))</f>
      </c>
      <c r="D55" s="62" t="str">
        <f>IF($A55="","",IFERROR(INDEX(TblTareas[Estado],48),""))</f>
      </c>
      <c r="E55" s="64" t="str">
        <f>IF($A55="","",IF(AND(INDEX(TblTareas[Activa],48)=1,E$7&gt;=INDEX(TblTareas[Semana],48),E$7&lt;INDEX(TblTareas[Semana],48)+INDEX(TblTareas[Duracion],48)),INDEX(TblTareas[Horas],48)/INDEX(TblTareas[Duracion],48),""))</f>
      </c>
      <c r="F55" s="64" t="str">
        <f>IF($A55="","",IF(AND(INDEX(TblTareas[Activa],48)=1,F$7&gt;=INDEX(TblTareas[Semana],48),F$7&lt;INDEX(TblTareas[Semana],48)+INDEX(TblTareas[Duracion],48)),INDEX(TblTareas[Horas],48)/INDEX(TblTareas[Duracion],48),""))</f>
      </c>
      <c r="G55" s="64" t="str">
        <f>IF($A55="","",IF(AND(INDEX(TblTareas[Activa],48)=1,G$7&gt;=INDEX(TblTareas[Semana],48),G$7&lt;INDEX(TblTareas[Semana],48)+INDEX(TblTareas[Duracion],48)),INDEX(TblTareas[Horas],48)/INDEX(TblTareas[Duracion],48),""))</f>
      </c>
      <c r="H55" s="64" t="str">
        <f>IF($A55="","",IF(AND(INDEX(TblTareas[Activa],48)=1,H$7&gt;=INDEX(TblTareas[Semana],48),H$7&lt;INDEX(TblTareas[Semana],48)+INDEX(TblTareas[Duracion],48)),INDEX(TblTareas[Horas],48)/INDEX(TblTareas[Duracion],48),""))</f>
      </c>
      <c r="I55" s="64" t="str">
        <f>IF($A55="","",IF(AND(INDEX(TblTareas[Activa],48)=1,I$7&gt;=INDEX(TblTareas[Semana],48),I$7&lt;INDEX(TblTareas[Semana],48)+INDEX(TblTareas[Duracion],48)),INDEX(TblTareas[Horas],48)/INDEX(TblTareas[Duracion],48),""))</f>
      </c>
      <c r="J55" s="64" t="str">
        <f>IF($A55="","",IF(AND(INDEX(TblTareas[Activa],48)=1,J$7&gt;=INDEX(TblTareas[Semana],48),J$7&lt;INDEX(TblTareas[Semana],48)+INDEX(TblTareas[Duracion],48)),INDEX(TblTareas[Horas],48)/INDEX(TblTareas[Duracion],48),""))</f>
      </c>
      <c r="K55" s="64" t="str">
        <f>IF($A55="","",IF(AND(INDEX(TblTareas[Activa],48)=1,K$7&gt;=INDEX(TblTareas[Semana],48),K$7&lt;INDEX(TblTareas[Semana],48)+INDEX(TblTareas[Duracion],48)),INDEX(TblTareas[Horas],48)/INDEX(TblTareas[Duracion],48),""))</f>
      </c>
      <c r="L55" s="64" t="str">
        <f>IF($A55="","",IF(AND(INDEX(TblTareas[Activa],48)=1,L$7&gt;=INDEX(TblTareas[Semana],48),L$7&lt;INDEX(TblTareas[Semana],48)+INDEX(TblTareas[Duracion],48)),INDEX(TblTareas[Horas],48)/INDEX(TblTareas[Duracion],48),""))</f>
      </c>
      <c r="M55" s="64" t="str">
        <f>IF($A55="","",IF(AND(INDEX(TblTareas[Activa],48)=1,M$7&gt;=INDEX(TblTareas[Semana],48),M$7&lt;INDEX(TblTareas[Semana],48)+INDEX(TblTareas[Duracion],48)),INDEX(TblTareas[Horas],48)/INDEX(TblTareas[Duracion],48),""))</f>
      </c>
      <c r="N55" s="64" t="str">
        <f>IF($A55="","",IF(AND(INDEX(TblTareas[Activa],48)=1,N$7&gt;=INDEX(TblTareas[Semana],48),N$7&lt;INDEX(TblTareas[Semana],48)+INDEX(TblTareas[Duracion],48)),INDEX(TblTareas[Horas],48)/INDEX(TblTareas[Duracion],48),""))</f>
      </c>
      <c r="O55" s="64" t="str">
        <f>IF($A55="","",IF(AND(INDEX(TblTareas[Activa],48)=1,O$7&gt;=INDEX(TblTareas[Semana],48),O$7&lt;INDEX(TblTareas[Semana],48)+INDEX(TblTareas[Duracion],48)),INDEX(TblTareas[Horas],48)/INDEX(TblTareas[Duracion],48),""))</f>
      </c>
      <c r="P55" s="64" t="str">
        <f>IF($A55="","",IF(AND(INDEX(TblTareas[Activa],48)=1,P$7&gt;=INDEX(TblTareas[Semana],48),P$7&lt;INDEX(TblTareas[Semana],48)+INDEX(TblTareas[Duracion],48)),INDEX(TblTareas[Horas],48)/INDEX(TblTareas[Duracion],48),""))</f>
      </c>
      <c r="Q55" s="64" t="str">
        <f>IF($A55="","",IF(AND(INDEX(TblTareas[Activa],48)=1,Q$7&gt;=INDEX(TblTareas[Semana],48),Q$7&lt;INDEX(TblTareas[Semana],48)+INDEX(TblTareas[Duracion],48)),INDEX(TblTareas[Horas],48)/INDEX(TblTareas[Duracion],48),""))</f>
      </c>
      <c r="R55" s="64" t="str">
        <f>IF($A55="","",IF(AND(INDEX(TblTareas[Activa],48)=1,R$7&gt;=INDEX(TblTareas[Semana],48),R$7&lt;INDEX(TblTareas[Semana],48)+INDEX(TblTareas[Duracion],48)),INDEX(TblTareas[Horas],48)/INDEX(TblTareas[Duracion],48),""))</f>
      </c>
      <c r="S55" s="64" t="str">
        <f>IF($A55="","",IF(AND(INDEX(TblTareas[Activa],48)=1,S$7&gt;=INDEX(TblTareas[Semana],48),S$7&lt;INDEX(TblTareas[Semana],48)+INDEX(TblTareas[Duracion],48)),INDEX(TblTareas[Horas],48)/INDEX(TblTareas[Duracion],48),""))</f>
      </c>
      <c r="T55" s="64" t="str">
        <f>IF($A55="","",IF(AND(INDEX(TblTareas[Activa],48)=1,T$7&gt;=INDEX(TblTareas[Semana],48),T$7&lt;INDEX(TblTareas[Semana],48)+INDEX(TblTareas[Duracion],48)),INDEX(TblTareas[Horas],48)/INDEX(TblTareas[Duracion],48),""))</f>
      </c>
    </row>
    <row r="56" ht="34" customHeight="1">
      <c r="A56" s="62" t="str">
        <f>IFERROR(IF(INDEX(TblTareas[ID],49)="","",INDEX(TblTareas[ID],49)),"")</f>
      </c>
      <c r="B56" s="62" t="str">
        <f>IF($A56="","",IFERROR(INDEX(TblTareas[Responsable],49),""))</f>
      </c>
      <c r="C56" s="62" t="str">
        <f>IF($A56="","",IFERROR(INDEX(TblTareas[Trabajo],49),""))</f>
      </c>
      <c r="D56" s="62" t="str">
        <f>IF($A56="","",IFERROR(INDEX(TblTareas[Estado],49),""))</f>
      </c>
      <c r="E56" s="64" t="str">
        <f>IF($A56="","",IF(AND(INDEX(TblTareas[Activa],49)=1,E$7&gt;=INDEX(TblTareas[Semana],49),E$7&lt;INDEX(TblTareas[Semana],49)+INDEX(TblTareas[Duracion],49)),INDEX(TblTareas[Horas],49)/INDEX(TblTareas[Duracion],49),""))</f>
      </c>
      <c r="F56" s="64" t="str">
        <f>IF($A56="","",IF(AND(INDEX(TblTareas[Activa],49)=1,F$7&gt;=INDEX(TblTareas[Semana],49),F$7&lt;INDEX(TblTareas[Semana],49)+INDEX(TblTareas[Duracion],49)),INDEX(TblTareas[Horas],49)/INDEX(TblTareas[Duracion],49),""))</f>
      </c>
      <c r="G56" s="64" t="str">
        <f>IF($A56="","",IF(AND(INDEX(TblTareas[Activa],49)=1,G$7&gt;=INDEX(TblTareas[Semana],49),G$7&lt;INDEX(TblTareas[Semana],49)+INDEX(TblTareas[Duracion],49)),INDEX(TblTareas[Horas],49)/INDEX(TblTareas[Duracion],49),""))</f>
      </c>
      <c r="H56" s="64" t="str">
        <f>IF($A56="","",IF(AND(INDEX(TblTareas[Activa],49)=1,H$7&gt;=INDEX(TblTareas[Semana],49),H$7&lt;INDEX(TblTareas[Semana],49)+INDEX(TblTareas[Duracion],49)),INDEX(TblTareas[Horas],49)/INDEX(TblTareas[Duracion],49),""))</f>
      </c>
      <c r="I56" s="64" t="str">
        <f>IF($A56="","",IF(AND(INDEX(TblTareas[Activa],49)=1,I$7&gt;=INDEX(TblTareas[Semana],49),I$7&lt;INDEX(TblTareas[Semana],49)+INDEX(TblTareas[Duracion],49)),INDEX(TblTareas[Horas],49)/INDEX(TblTareas[Duracion],49),""))</f>
      </c>
      <c r="J56" s="64" t="str">
        <f>IF($A56="","",IF(AND(INDEX(TblTareas[Activa],49)=1,J$7&gt;=INDEX(TblTareas[Semana],49),J$7&lt;INDEX(TblTareas[Semana],49)+INDEX(TblTareas[Duracion],49)),INDEX(TblTareas[Horas],49)/INDEX(TblTareas[Duracion],49),""))</f>
      </c>
      <c r="K56" s="64" t="str">
        <f>IF($A56="","",IF(AND(INDEX(TblTareas[Activa],49)=1,K$7&gt;=INDEX(TblTareas[Semana],49),K$7&lt;INDEX(TblTareas[Semana],49)+INDEX(TblTareas[Duracion],49)),INDEX(TblTareas[Horas],49)/INDEX(TblTareas[Duracion],49),""))</f>
      </c>
      <c r="L56" s="64" t="str">
        <f>IF($A56="","",IF(AND(INDEX(TblTareas[Activa],49)=1,L$7&gt;=INDEX(TblTareas[Semana],49),L$7&lt;INDEX(TblTareas[Semana],49)+INDEX(TblTareas[Duracion],49)),INDEX(TblTareas[Horas],49)/INDEX(TblTareas[Duracion],49),""))</f>
      </c>
      <c r="M56" s="64" t="str">
        <f>IF($A56="","",IF(AND(INDEX(TblTareas[Activa],49)=1,M$7&gt;=INDEX(TblTareas[Semana],49),M$7&lt;INDEX(TblTareas[Semana],49)+INDEX(TblTareas[Duracion],49)),INDEX(TblTareas[Horas],49)/INDEX(TblTareas[Duracion],49),""))</f>
      </c>
      <c r="N56" s="64" t="str">
        <f>IF($A56="","",IF(AND(INDEX(TblTareas[Activa],49)=1,N$7&gt;=INDEX(TblTareas[Semana],49),N$7&lt;INDEX(TblTareas[Semana],49)+INDEX(TblTareas[Duracion],49)),INDEX(TblTareas[Horas],49)/INDEX(TblTareas[Duracion],49),""))</f>
      </c>
      <c r="O56" s="64" t="str">
        <f>IF($A56="","",IF(AND(INDEX(TblTareas[Activa],49)=1,O$7&gt;=INDEX(TblTareas[Semana],49),O$7&lt;INDEX(TblTareas[Semana],49)+INDEX(TblTareas[Duracion],49)),INDEX(TblTareas[Horas],49)/INDEX(TblTareas[Duracion],49),""))</f>
      </c>
      <c r="P56" s="64" t="str">
        <f>IF($A56="","",IF(AND(INDEX(TblTareas[Activa],49)=1,P$7&gt;=INDEX(TblTareas[Semana],49),P$7&lt;INDEX(TblTareas[Semana],49)+INDEX(TblTareas[Duracion],49)),INDEX(TblTareas[Horas],49)/INDEX(TblTareas[Duracion],49),""))</f>
      </c>
      <c r="Q56" s="64" t="str">
        <f>IF($A56="","",IF(AND(INDEX(TblTareas[Activa],49)=1,Q$7&gt;=INDEX(TblTareas[Semana],49),Q$7&lt;INDEX(TblTareas[Semana],49)+INDEX(TblTareas[Duracion],49)),INDEX(TblTareas[Horas],49)/INDEX(TblTareas[Duracion],49),""))</f>
      </c>
      <c r="R56" s="64" t="str">
        <f>IF($A56="","",IF(AND(INDEX(TblTareas[Activa],49)=1,R$7&gt;=INDEX(TblTareas[Semana],49),R$7&lt;INDEX(TblTareas[Semana],49)+INDEX(TblTareas[Duracion],49)),INDEX(TblTareas[Horas],49)/INDEX(TblTareas[Duracion],49),""))</f>
      </c>
      <c r="S56" s="64" t="str">
        <f>IF($A56="","",IF(AND(INDEX(TblTareas[Activa],49)=1,S$7&gt;=INDEX(TblTareas[Semana],49),S$7&lt;INDEX(TblTareas[Semana],49)+INDEX(TblTareas[Duracion],49)),INDEX(TblTareas[Horas],49)/INDEX(TblTareas[Duracion],49),""))</f>
      </c>
      <c r="T56" s="64" t="str">
        <f>IF($A56="","",IF(AND(INDEX(TblTareas[Activa],49)=1,T$7&gt;=INDEX(TblTareas[Semana],49),T$7&lt;INDEX(TblTareas[Semana],49)+INDEX(TblTareas[Duracion],49)),INDEX(TblTareas[Horas],49)/INDEX(TblTareas[Duracion],49),""))</f>
      </c>
    </row>
    <row r="57" ht="34" customHeight="1">
      <c r="A57" s="62" t="str">
        <f>IFERROR(IF(INDEX(TblTareas[ID],50)="","",INDEX(TblTareas[ID],50)),"")</f>
      </c>
      <c r="B57" s="62" t="str">
        <f>IF($A57="","",IFERROR(INDEX(TblTareas[Responsable],50),""))</f>
      </c>
      <c r="C57" s="62" t="str">
        <f>IF($A57="","",IFERROR(INDEX(TblTareas[Trabajo],50),""))</f>
      </c>
      <c r="D57" s="62" t="str">
        <f>IF($A57="","",IFERROR(INDEX(TblTareas[Estado],50),""))</f>
      </c>
      <c r="E57" s="64" t="str">
        <f>IF($A57="","",IF(AND(INDEX(TblTareas[Activa],50)=1,E$7&gt;=INDEX(TblTareas[Semana],50),E$7&lt;INDEX(TblTareas[Semana],50)+INDEX(TblTareas[Duracion],50)),INDEX(TblTareas[Horas],50)/INDEX(TblTareas[Duracion],50),""))</f>
      </c>
      <c r="F57" s="64" t="str">
        <f>IF($A57="","",IF(AND(INDEX(TblTareas[Activa],50)=1,F$7&gt;=INDEX(TblTareas[Semana],50),F$7&lt;INDEX(TblTareas[Semana],50)+INDEX(TblTareas[Duracion],50)),INDEX(TblTareas[Horas],50)/INDEX(TblTareas[Duracion],50),""))</f>
      </c>
      <c r="G57" s="64" t="str">
        <f>IF($A57="","",IF(AND(INDEX(TblTareas[Activa],50)=1,G$7&gt;=INDEX(TblTareas[Semana],50),G$7&lt;INDEX(TblTareas[Semana],50)+INDEX(TblTareas[Duracion],50)),INDEX(TblTareas[Horas],50)/INDEX(TblTareas[Duracion],50),""))</f>
      </c>
      <c r="H57" s="64" t="str">
        <f>IF($A57="","",IF(AND(INDEX(TblTareas[Activa],50)=1,H$7&gt;=INDEX(TblTareas[Semana],50),H$7&lt;INDEX(TblTareas[Semana],50)+INDEX(TblTareas[Duracion],50)),INDEX(TblTareas[Horas],50)/INDEX(TblTareas[Duracion],50),""))</f>
      </c>
      <c r="I57" s="64" t="str">
        <f>IF($A57="","",IF(AND(INDEX(TblTareas[Activa],50)=1,I$7&gt;=INDEX(TblTareas[Semana],50),I$7&lt;INDEX(TblTareas[Semana],50)+INDEX(TblTareas[Duracion],50)),INDEX(TblTareas[Horas],50)/INDEX(TblTareas[Duracion],50),""))</f>
      </c>
      <c r="J57" s="64" t="str">
        <f>IF($A57="","",IF(AND(INDEX(TblTareas[Activa],50)=1,J$7&gt;=INDEX(TblTareas[Semana],50),J$7&lt;INDEX(TblTareas[Semana],50)+INDEX(TblTareas[Duracion],50)),INDEX(TblTareas[Horas],50)/INDEX(TblTareas[Duracion],50),""))</f>
      </c>
      <c r="K57" s="64" t="str">
        <f>IF($A57="","",IF(AND(INDEX(TblTareas[Activa],50)=1,K$7&gt;=INDEX(TblTareas[Semana],50),K$7&lt;INDEX(TblTareas[Semana],50)+INDEX(TblTareas[Duracion],50)),INDEX(TblTareas[Horas],50)/INDEX(TblTareas[Duracion],50),""))</f>
      </c>
      <c r="L57" s="64" t="str">
        <f>IF($A57="","",IF(AND(INDEX(TblTareas[Activa],50)=1,L$7&gt;=INDEX(TblTareas[Semana],50),L$7&lt;INDEX(TblTareas[Semana],50)+INDEX(TblTareas[Duracion],50)),INDEX(TblTareas[Horas],50)/INDEX(TblTareas[Duracion],50),""))</f>
      </c>
      <c r="M57" s="64" t="str">
        <f>IF($A57="","",IF(AND(INDEX(TblTareas[Activa],50)=1,M$7&gt;=INDEX(TblTareas[Semana],50),M$7&lt;INDEX(TblTareas[Semana],50)+INDEX(TblTareas[Duracion],50)),INDEX(TblTareas[Horas],50)/INDEX(TblTareas[Duracion],50),""))</f>
      </c>
      <c r="N57" s="64" t="str">
        <f>IF($A57="","",IF(AND(INDEX(TblTareas[Activa],50)=1,N$7&gt;=INDEX(TblTareas[Semana],50),N$7&lt;INDEX(TblTareas[Semana],50)+INDEX(TblTareas[Duracion],50)),INDEX(TblTareas[Horas],50)/INDEX(TblTareas[Duracion],50),""))</f>
      </c>
      <c r="O57" s="64" t="str">
        <f>IF($A57="","",IF(AND(INDEX(TblTareas[Activa],50)=1,O$7&gt;=INDEX(TblTareas[Semana],50),O$7&lt;INDEX(TblTareas[Semana],50)+INDEX(TblTareas[Duracion],50)),INDEX(TblTareas[Horas],50)/INDEX(TblTareas[Duracion],50),""))</f>
      </c>
      <c r="P57" s="64" t="str">
        <f>IF($A57="","",IF(AND(INDEX(TblTareas[Activa],50)=1,P$7&gt;=INDEX(TblTareas[Semana],50),P$7&lt;INDEX(TblTareas[Semana],50)+INDEX(TblTareas[Duracion],50)),INDEX(TblTareas[Horas],50)/INDEX(TblTareas[Duracion],50),""))</f>
      </c>
      <c r="Q57" s="64" t="str">
        <f>IF($A57="","",IF(AND(INDEX(TblTareas[Activa],50)=1,Q$7&gt;=INDEX(TblTareas[Semana],50),Q$7&lt;INDEX(TblTareas[Semana],50)+INDEX(TblTareas[Duracion],50)),INDEX(TblTareas[Horas],50)/INDEX(TblTareas[Duracion],50),""))</f>
      </c>
      <c r="R57" s="64" t="str">
        <f>IF($A57="","",IF(AND(INDEX(TblTareas[Activa],50)=1,R$7&gt;=INDEX(TblTareas[Semana],50),R$7&lt;INDEX(TblTareas[Semana],50)+INDEX(TblTareas[Duracion],50)),INDEX(TblTareas[Horas],50)/INDEX(TblTareas[Duracion],50),""))</f>
      </c>
      <c r="S57" s="64" t="str">
        <f>IF($A57="","",IF(AND(INDEX(TblTareas[Activa],50)=1,S$7&gt;=INDEX(TblTareas[Semana],50),S$7&lt;INDEX(TblTareas[Semana],50)+INDEX(TblTareas[Duracion],50)),INDEX(TblTareas[Horas],50)/INDEX(TblTareas[Duracion],50),""))</f>
      </c>
      <c r="T57" s="64" t="str">
        <f>IF($A57="","",IF(AND(INDEX(TblTareas[Activa],50)=1,T$7&gt;=INDEX(TblTareas[Semana],50),T$7&lt;INDEX(TblTareas[Semana],50)+INDEX(TblTareas[Duracion],50)),INDEX(TblTareas[Horas],50)/INDEX(TblTareas[Duracion],50),""))</f>
      </c>
    </row>
    <row r="58" ht="34" customHeight="1">
      <c r="A58" s="62" t="str">
        <f>IFERROR(IF(INDEX(TblTareas[ID],51)="","",INDEX(TblTareas[ID],51)),"")</f>
      </c>
      <c r="B58" s="62" t="str">
        <f>IF($A58="","",IFERROR(INDEX(TblTareas[Responsable],51),""))</f>
      </c>
      <c r="C58" s="62" t="str">
        <f>IF($A58="","",IFERROR(INDEX(TblTareas[Trabajo],51),""))</f>
      </c>
      <c r="D58" s="62" t="str">
        <f>IF($A58="","",IFERROR(INDEX(TblTareas[Estado],51),""))</f>
      </c>
      <c r="E58" s="64" t="str">
        <f>IF($A58="","",IF(AND(INDEX(TblTareas[Activa],51)=1,E$7&gt;=INDEX(TblTareas[Semana],51),E$7&lt;INDEX(TblTareas[Semana],51)+INDEX(TblTareas[Duracion],51)),INDEX(TblTareas[Horas],51)/INDEX(TblTareas[Duracion],51),""))</f>
      </c>
      <c r="F58" s="64" t="str">
        <f>IF($A58="","",IF(AND(INDEX(TblTareas[Activa],51)=1,F$7&gt;=INDEX(TblTareas[Semana],51),F$7&lt;INDEX(TblTareas[Semana],51)+INDEX(TblTareas[Duracion],51)),INDEX(TblTareas[Horas],51)/INDEX(TblTareas[Duracion],51),""))</f>
      </c>
      <c r="G58" s="64" t="str">
        <f>IF($A58="","",IF(AND(INDEX(TblTareas[Activa],51)=1,G$7&gt;=INDEX(TblTareas[Semana],51),G$7&lt;INDEX(TblTareas[Semana],51)+INDEX(TblTareas[Duracion],51)),INDEX(TblTareas[Horas],51)/INDEX(TblTareas[Duracion],51),""))</f>
      </c>
      <c r="H58" s="64" t="str">
        <f>IF($A58="","",IF(AND(INDEX(TblTareas[Activa],51)=1,H$7&gt;=INDEX(TblTareas[Semana],51),H$7&lt;INDEX(TblTareas[Semana],51)+INDEX(TblTareas[Duracion],51)),INDEX(TblTareas[Horas],51)/INDEX(TblTareas[Duracion],51),""))</f>
      </c>
      <c r="I58" s="64" t="str">
        <f>IF($A58="","",IF(AND(INDEX(TblTareas[Activa],51)=1,I$7&gt;=INDEX(TblTareas[Semana],51),I$7&lt;INDEX(TblTareas[Semana],51)+INDEX(TblTareas[Duracion],51)),INDEX(TblTareas[Horas],51)/INDEX(TblTareas[Duracion],51),""))</f>
      </c>
      <c r="J58" s="64" t="str">
        <f>IF($A58="","",IF(AND(INDEX(TblTareas[Activa],51)=1,J$7&gt;=INDEX(TblTareas[Semana],51),J$7&lt;INDEX(TblTareas[Semana],51)+INDEX(TblTareas[Duracion],51)),INDEX(TblTareas[Horas],51)/INDEX(TblTareas[Duracion],51),""))</f>
      </c>
      <c r="K58" s="64" t="str">
        <f>IF($A58="","",IF(AND(INDEX(TblTareas[Activa],51)=1,K$7&gt;=INDEX(TblTareas[Semana],51),K$7&lt;INDEX(TblTareas[Semana],51)+INDEX(TblTareas[Duracion],51)),INDEX(TblTareas[Horas],51)/INDEX(TblTareas[Duracion],51),""))</f>
      </c>
      <c r="L58" s="64" t="str">
        <f>IF($A58="","",IF(AND(INDEX(TblTareas[Activa],51)=1,L$7&gt;=INDEX(TblTareas[Semana],51),L$7&lt;INDEX(TblTareas[Semana],51)+INDEX(TblTareas[Duracion],51)),INDEX(TblTareas[Horas],51)/INDEX(TblTareas[Duracion],51),""))</f>
      </c>
      <c r="M58" s="64" t="str">
        <f>IF($A58="","",IF(AND(INDEX(TblTareas[Activa],51)=1,M$7&gt;=INDEX(TblTareas[Semana],51),M$7&lt;INDEX(TblTareas[Semana],51)+INDEX(TblTareas[Duracion],51)),INDEX(TblTareas[Horas],51)/INDEX(TblTareas[Duracion],51),""))</f>
      </c>
      <c r="N58" s="64" t="str">
        <f>IF($A58="","",IF(AND(INDEX(TblTareas[Activa],51)=1,N$7&gt;=INDEX(TblTareas[Semana],51),N$7&lt;INDEX(TblTareas[Semana],51)+INDEX(TblTareas[Duracion],51)),INDEX(TblTareas[Horas],51)/INDEX(TblTareas[Duracion],51),""))</f>
      </c>
      <c r="O58" s="64" t="str">
        <f>IF($A58="","",IF(AND(INDEX(TblTareas[Activa],51)=1,O$7&gt;=INDEX(TblTareas[Semana],51),O$7&lt;INDEX(TblTareas[Semana],51)+INDEX(TblTareas[Duracion],51)),INDEX(TblTareas[Horas],51)/INDEX(TblTareas[Duracion],51),""))</f>
      </c>
      <c r="P58" s="64" t="str">
        <f>IF($A58="","",IF(AND(INDEX(TblTareas[Activa],51)=1,P$7&gt;=INDEX(TblTareas[Semana],51),P$7&lt;INDEX(TblTareas[Semana],51)+INDEX(TblTareas[Duracion],51)),INDEX(TblTareas[Horas],51)/INDEX(TblTareas[Duracion],51),""))</f>
      </c>
      <c r="Q58" s="64" t="str">
        <f>IF($A58="","",IF(AND(INDEX(TblTareas[Activa],51)=1,Q$7&gt;=INDEX(TblTareas[Semana],51),Q$7&lt;INDEX(TblTareas[Semana],51)+INDEX(TblTareas[Duracion],51)),INDEX(TblTareas[Horas],51)/INDEX(TblTareas[Duracion],51),""))</f>
      </c>
      <c r="R58" s="64" t="str">
        <f>IF($A58="","",IF(AND(INDEX(TblTareas[Activa],51)=1,R$7&gt;=INDEX(TblTareas[Semana],51),R$7&lt;INDEX(TblTareas[Semana],51)+INDEX(TblTareas[Duracion],51)),INDEX(TblTareas[Horas],51)/INDEX(TblTareas[Duracion],51),""))</f>
      </c>
      <c r="S58" s="64" t="str">
        <f>IF($A58="","",IF(AND(INDEX(TblTareas[Activa],51)=1,S$7&gt;=INDEX(TblTareas[Semana],51),S$7&lt;INDEX(TblTareas[Semana],51)+INDEX(TblTareas[Duracion],51)),INDEX(TblTareas[Horas],51)/INDEX(TblTareas[Duracion],51),""))</f>
      </c>
      <c r="T58" s="64" t="str">
        <f>IF($A58="","",IF(AND(INDEX(TblTareas[Activa],51)=1,T$7&gt;=INDEX(TblTareas[Semana],51),T$7&lt;INDEX(TblTareas[Semana],51)+INDEX(TblTareas[Duracion],51)),INDEX(TblTareas[Horas],51)/INDEX(TblTareas[Duracion],51),""))</f>
      </c>
    </row>
    <row r="59" ht="34" customHeight="1">
      <c r="A59" s="62" t="str">
        <f>IFERROR(IF(INDEX(TblTareas[ID],52)="","",INDEX(TblTareas[ID],52)),"")</f>
      </c>
      <c r="B59" s="62" t="str">
        <f>IF($A59="","",IFERROR(INDEX(TblTareas[Responsable],52),""))</f>
      </c>
      <c r="C59" s="62" t="str">
        <f>IF($A59="","",IFERROR(INDEX(TblTareas[Trabajo],52),""))</f>
      </c>
      <c r="D59" s="62" t="str">
        <f>IF($A59="","",IFERROR(INDEX(TblTareas[Estado],52),""))</f>
      </c>
      <c r="E59" s="64" t="str">
        <f>IF($A59="","",IF(AND(INDEX(TblTareas[Activa],52)=1,E$7&gt;=INDEX(TblTareas[Semana],52),E$7&lt;INDEX(TblTareas[Semana],52)+INDEX(TblTareas[Duracion],52)),INDEX(TblTareas[Horas],52)/INDEX(TblTareas[Duracion],52),""))</f>
      </c>
      <c r="F59" s="64" t="str">
        <f>IF($A59="","",IF(AND(INDEX(TblTareas[Activa],52)=1,F$7&gt;=INDEX(TblTareas[Semana],52),F$7&lt;INDEX(TblTareas[Semana],52)+INDEX(TblTareas[Duracion],52)),INDEX(TblTareas[Horas],52)/INDEX(TblTareas[Duracion],52),""))</f>
      </c>
      <c r="G59" s="64" t="str">
        <f>IF($A59="","",IF(AND(INDEX(TblTareas[Activa],52)=1,G$7&gt;=INDEX(TblTareas[Semana],52),G$7&lt;INDEX(TblTareas[Semana],52)+INDEX(TblTareas[Duracion],52)),INDEX(TblTareas[Horas],52)/INDEX(TblTareas[Duracion],52),""))</f>
      </c>
      <c r="H59" s="64" t="str">
        <f>IF($A59="","",IF(AND(INDEX(TblTareas[Activa],52)=1,H$7&gt;=INDEX(TblTareas[Semana],52),H$7&lt;INDEX(TblTareas[Semana],52)+INDEX(TblTareas[Duracion],52)),INDEX(TblTareas[Horas],52)/INDEX(TblTareas[Duracion],52),""))</f>
      </c>
      <c r="I59" s="64" t="str">
        <f>IF($A59="","",IF(AND(INDEX(TblTareas[Activa],52)=1,I$7&gt;=INDEX(TblTareas[Semana],52),I$7&lt;INDEX(TblTareas[Semana],52)+INDEX(TblTareas[Duracion],52)),INDEX(TblTareas[Horas],52)/INDEX(TblTareas[Duracion],52),""))</f>
      </c>
      <c r="J59" s="64" t="str">
        <f>IF($A59="","",IF(AND(INDEX(TblTareas[Activa],52)=1,J$7&gt;=INDEX(TblTareas[Semana],52),J$7&lt;INDEX(TblTareas[Semana],52)+INDEX(TblTareas[Duracion],52)),INDEX(TblTareas[Horas],52)/INDEX(TblTareas[Duracion],52),""))</f>
      </c>
      <c r="K59" s="64" t="str">
        <f>IF($A59="","",IF(AND(INDEX(TblTareas[Activa],52)=1,K$7&gt;=INDEX(TblTareas[Semana],52),K$7&lt;INDEX(TblTareas[Semana],52)+INDEX(TblTareas[Duracion],52)),INDEX(TblTareas[Horas],52)/INDEX(TblTareas[Duracion],52),""))</f>
      </c>
      <c r="L59" s="64" t="str">
        <f>IF($A59="","",IF(AND(INDEX(TblTareas[Activa],52)=1,L$7&gt;=INDEX(TblTareas[Semana],52),L$7&lt;INDEX(TblTareas[Semana],52)+INDEX(TblTareas[Duracion],52)),INDEX(TblTareas[Horas],52)/INDEX(TblTareas[Duracion],52),""))</f>
      </c>
      <c r="M59" s="64" t="str">
        <f>IF($A59="","",IF(AND(INDEX(TblTareas[Activa],52)=1,M$7&gt;=INDEX(TblTareas[Semana],52),M$7&lt;INDEX(TblTareas[Semana],52)+INDEX(TblTareas[Duracion],52)),INDEX(TblTareas[Horas],52)/INDEX(TblTareas[Duracion],52),""))</f>
      </c>
      <c r="N59" s="64" t="str">
        <f>IF($A59="","",IF(AND(INDEX(TblTareas[Activa],52)=1,N$7&gt;=INDEX(TblTareas[Semana],52),N$7&lt;INDEX(TblTareas[Semana],52)+INDEX(TblTareas[Duracion],52)),INDEX(TblTareas[Horas],52)/INDEX(TblTareas[Duracion],52),""))</f>
      </c>
      <c r="O59" s="64" t="str">
        <f>IF($A59="","",IF(AND(INDEX(TblTareas[Activa],52)=1,O$7&gt;=INDEX(TblTareas[Semana],52),O$7&lt;INDEX(TblTareas[Semana],52)+INDEX(TblTareas[Duracion],52)),INDEX(TblTareas[Horas],52)/INDEX(TblTareas[Duracion],52),""))</f>
      </c>
      <c r="P59" s="64" t="str">
        <f>IF($A59="","",IF(AND(INDEX(TblTareas[Activa],52)=1,P$7&gt;=INDEX(TblTareas[Semana],52),P$7&lt;INDEX(TblTareas[Semana],52)+INDEX(TblTareas[Duracion],52)),INDEX(TblTareas[Horas],52)/INDEX(TblTareas[Duracion],52),""))</f>
      </c>
      <c r="Q59" s="64" t="str">
        <f>IF($A59="","",IF(AND(INDEX(TblTareas[Activa],52)=1,Q$7&gt;=INDEX(TblTareas[Semana],52),Q$7&lt;INDEX(TblTareas[Semana],52)+INDEX(TblTareas[Duracion],52)),INDEX(TblTareas[Horas],52)/INDEX(TblTareas[Duracion],52),""))</f>
      </c>
      <c r="R59" s="64" t="str">
        <f>IF($A59="","",IF(AND(INDEX(TblTareas[Activa],52)=1,R$7&gt;=INDEX(TblTareas[Semana],52),R$7&lt;INDEX(TblTareas[Semana],52)+INDEX(TblTareas[Duracion],52)),INDEX(TblTareas[Horas],52)/INDEX(TblTareas[Duracion],52),""))</f>
      </c>
      <c r="S59" s="64" t="str">
        <f>IF($A59="","",IF(AND(INDEX(TblTareas[Activa],52)=1,S$7&gt;=INDEX(TblTareas[Semana],52),S$7&lt;INDEX(TblTareas[Semana],52)+INDEX(TblTareas[Duracion],52)),INDEX(TblTareas[Horas],52)/INDEX(TblTareas[Duracion],52),""))</f>
      </c>
      <c r="T59" s="64" t="str">
        <f>IF($A59="","",IF(AND(INDEX(TblTareas[Activa],52)=1,T$7&gt;=INDEX(TblTareas[Semana],52),T$7&lt;INDEX(TblTareas[Semana],52)+INDEX(TblTareas[Duracion],52)),INDEX(TblTareas[Horas],52)/INDEX(TblTareas[Duracion],52),""))</f>
      </c>
    </row>
    <row r="60" ht="34" customHeight="1">
      <c r="A60" s="62" t="str">
        <f>IFERROR(IF(INDEX(TblTareas[ID],53)="","",INDEX(TblTareas[ID],53)),"")</f>
      </c>
      <c r="B60" s="62" t="str">
        <f>IF($A60="","",IFERROR(INDEX(TblTareas[Responsable],53),""))</f>
      </c>
      <c r="C60" s="62" t="str">
        <f>IF($A60="","",IFERROR(INDEX(TblTareas[Trabajo],53),""))</f>
      </c>
      <c r="D60" s="62" t="str">
        <f>IF($A60="","",IFERROR(INDEX(TblTareas[Estado],53),""))</f>
      </c>
      <c r="E60" s="64" t="str">
        <f>IF($A60="","",IF(AND(INDEX(TblTareas[Activa],53)=1,E$7&gt;=INDEX(TblTareas[Semana],53),E$7&lt;INDEX(TblTareas[Semana],53)+INDEX(TblTareas[Duracion],53)),INDEX(TblTareas[Horas],53)/INDEX(TblTareas[Duracion],53),""))</f>
      </c>
      <c r="F60" s="64" t="str">
        <f>IF($A60="","",IF(AND(INDEX(TblTareas[Activa],53)=1,F$7&gt;=INDEX(TblTareas[Semana],53),F$7&lt;INDEX(TblTareas[Semana],53)+INDEX(TblTareas[Duracion],53)),INDEX(TblTareas[Horas],53)/INDEX(TblTareas[Duracion],53),""))</f>
      </c>
      <c r="G60" s="64" t="str">
        <f>IF($A60="","",IF(AND(INDEX(TblTareas[Activa],53)=1,G$7&gt;=INDEX(TblTareas[Semana],53),G$7&lt;INDEX(TblTareas[Semana],53)+INDEX(TblTareas[Duracion],53)),INDEX(TblTareas[Horas],53)/INDEX(TblTareas[Duracion],53),""))</f>
      </c>
      <c r="H60" s="64" t="str">
        <f>IF($A60="","",IF(AND(INDEX(TblTareas[Activa],53)=1,H$7&gt;=INDEX(TblTareas[Semana],53),H$7&lt;INDEX(TblTareas[Semana],53)+INDEX(TblTareas[Duracion],53)),INDEX(TblTareas[Horas],53)/INDEX(TblTareas[Duracion],53),""))</f>
      </c>
      <c r="I60" s="64" t="str">
        <f>IF($A60="","",IF(AND(INDEX(TblTareas[Activa],53)=1,I$7&gt;=INDEX(TblTareas[Semana],53),I$7&lt;INDEX(TblTareas[Semana],53)+INDEX(TblTareas[Duracion],53)),INDEX(TblTareas[Horas],53)/INDEX(TblTareas[Duracion],53),""))</f>
      </c>
      <c r="J60" s="64" t="str">
        <f>IF($A60="","",IF(AND(INDEX(TblTareas[Activa],53)=1,J$7&gt;=INDEX(TblTareas[Semana],53),J$7&lt;INDEX(TblTareas[Semana],53)+INDEX(TblTareas[Duracion],53)),INDEX(TblTareas[Horas],53)/INDEX(TblTareas[Duracion],53),""))</f>
      </c>
      <c r="K60" s="64" t="str">
        <f>IF($A60="","",IF(AND(INDEX(TblTareas[Activa],53)=1,K$7&gt;=INDEX(TblTareas[Semana],53),K$7&lt;INDEX(TblTareas[Semana],53)+INDEX(TblTareas[Duracion],53)),INDEX(TblTareas[Horas],53)/INDEX(TblTareas[Duracion],53),""))</f>
      </c>
      <c r="L60" s="64" t="str">
        <f>IF($A60="","",IF(AND(INDEX(TblTareas[Activa],53)=1,L$7&gt;=INDEX(TblTareas[Semana],53),L$7&lt;INDEX(TblTareas[Semana],53)+INDEX(TblTareas[Duracion],53)),INDEX(TblTareas[Horas],53)/INDEX(TblTareas[Duracion],53),""))</f>
      </c>
      <c r="M60" s="64" t="str">
        <f>IF($A60="","",IF(AND(INDEX(TblTareas[Activa],53)=1,M$7&gt;=INDEX(TblTareas[Semana],53),M$7&lt;INDEX(TblTareas[Semana],53)+INDEX(TblTareas[Duracion],53)),INDEX(TblTareas[Horas],53)/INDEX(TblTareas[Duracion],53),""))</f>
      </c>
      <c r="N60" s="64" t="str">
        <f>IF($A60="","",IF(AND(INDEX(TblTareas[Activa],53)=1,N$7&gt;=INDEX(TblTareas[Semana],53),N$7&lt;INDEX(TblTareas[Semana],53)+INDEX(TblTareas[Duracion],53)),INDEX(TblTareas[Horas],53)/INDEX(TblTareas[Duracion],53),""))</f>
      </c>
      <c r="O60" s="64" t="str">
        <f>IF($A60="","",IF(AND(INDEX(TblTareas[Activa],53)=1,O$7&gt;=INDEX(TblTareas[Semana],53),O$7&lt;INDEX(TblTareas[Semana],53)+INDEX(TblTareas[Duracion],53)),INDEX(TblTareas[Horas],53)/INDEX(TblTareas[Duracion],53),""))</f>
      </c>
      <c r="P60" s="64" t="str">
        <f>IF($A60="","",IF(AND(INDEX(TblTareas[Activa],53)=1,P$7&gt;=INDEX(TblTareas[Semana],53),P$7&lt;INDEX(TblTareas[Semana],53)+INDEX(TblTareas[Duracion],53)),INDEX(TblTareas[Horas],53)/INDEX(TblTareas[Duracion],53),""))</f>
      </c>
      <c r="Q60" s="64" t="str">
        <f>IF($A60="","",IF(AND(INDEX(TblTareas[Activa],53)=1,Q$7&gt;=INDEX(TblTareas[Semana],53),Q$7&lt;INDEX(TblTareas[Semana],53)+INDEX(TblTareas[Duracion],53)),INDEX(TblTareas[Horas],53)/INDEX(TblTareas[Duracion],53),""))</f>
      </c>
      <c r="R60" s="64" t="str">
        <f>IF($A60="","",IF(AND(INDEX(TblTareas[Activa],53)=1,R$7&gt;=INDEX(TblTareas[Semana],53),R$7&lt;INDEX(TblTareas[Semana],53)+INDEX(TblTareas[Duracion],53)),INDEX(TblTareas[Horas],53)/INDEX(TblTareas[Duracion],53),""))</f>
      </c>
      <c r="S60" s="64" t="str">
        <f>IF($A60="","",IF(AND(INDEX(TblTareas[Activa],53)=1,S$7&gt;=INDEX(TblTareas[Semana],53),S$7&lt;INDEX(TblTareas[Semana],53)+INDEX(TblTareas[Duracion],53)),INDEX(TblTareas[Horas],53)/INDEX(TblTareas[Duracion],53),""))</f>
      </c>
      <c r="T60" s="64" t="str">
        <f>IF($A60="","",IF(AND(INDEX(TblTareas[Activa],53)=1,T$7&gt;=INDEX(TblTareas[Semana],53),T$7&lt;INDEX(TblTareas[Semana],53)+INDEX(TblTareas[Duracion],53)),INDEX(TblTareas[Horas],53)/INDEX(TblTareas[Duracion],53),""))</f>
      </c>
    </row>
    <row r="61" ht="34" customHeight="1">
      <c r="A61" s="62" t="str">
        <f>IFERROR(IF(INDEX(TblTareas[ID],54)="","",INDEX(TblTareas[ID],54)),"")</f>
      </c>
      <c r="B61" s="62" t="str">
        <f>IF($A61="","",IFERROR(INDEX(TblTareas[Responsable],54),""))</f>
      </c>
      <c r="C61" s="62" t="str">
        <f>IF($A61="","",IFERROR(INDEX(TblTareas[Trabajo],54),""))</f>
      </c>
      <c r="D61" s="62" t="str">
        <f>IF($A61="","",IFERROR(INDEX(TblTareas[Estado],54),""))</f>
      </c>
      <c r="E61" s="64" t="str">
        <f>IF($A61="","",IF(AND(INDEX(TblTareas[Activa],54)=1,E$7&gt;=INDEX(TblTareas[Semana],54),E$7&lt;INDEX(TblTareas[Semana],54)+INDEX(TblTareas[Duracion],54)),INDEX(TblTareas[Horas],54)/INDEX(TblTareas[Duracion],54),""))</f>
      </c>
      <c r="F61" s="64" t="str">
        <f>IF($A61="","",IF(AND(INDEX(TblTareas[Activa],54)=1,F$7&gt;=INDEX(TblTareas[Semana],54),F$7&lt;INDEX(TblTareas[Semana],54)+INDEX(TblTareas[Duracion],54)),INDEX(TblTareas[Horas],54)/INDEX(TblTareas[Duracion],54),""))</f>
      </c>
      <c r="G61" s="64" t="str">
        <f>IF($A61="","",IF(AND(INDEX(TblTareas[Activa],54)=1,G$7&gt;=INDEX(TblTareas[Semana],54),G$7&lt;INDEX(TblTareas[Semana],54)+INDEX(TblTareas[Duracion],54)),INDEX(TblTareas[Horas],54)/INDEX(TblTareas[Duracion],54),""))</f>
      </c>
      <c r="H61" s="64" t="str">
        <f>IF($A61="","",IF(AND(INDEX(TblTareas[Activa],54)=1,H$7&gt;=INDEX(TblTareas[Semana],54),H$7&lt;INDEX(TblTareas[Semana],54)+INDEX(TblTareas[Duracion],54)),INDEX(TblTareas[Horas],54)/INDEX(TblTareas[Duracion],54),""))</f>
      </c>
      <c r="I61" s="64" t="str">
        <f>IF($A61="","",IF(AND(INDEX(TblTareas[Activa],54)=1,I$7&gt;=INDEX(TblTareas[Semana],54),I$7&lt;INDEX(TblTareas[Semana],54)+INDEX(TblTareas[Duracion],54)),INDEX(TblTareas[Horas],54)/INDEX(TblTareas[Duracion],54),""))</f>
      </c>
      <c r="J61" s="64" t="str">
        <f>IF($A61="","",IF(AND(INDEX(TblTareas[Activa],54)=1,J$7&gt;=INDEX(TblTareas[Semana],54),J$7&lt;INDEX(TblTareas[Semana],54)+INDEX(TblTareas[Duracion],54)),INDEX(TblTareas[Horas],54)/INDEX(TblTareas[Duracion],54),""))</f>
      </c>
      <c r="K61" s="64" t="str">
        <f>IF($A61="","",IF(AND(INDEX(TblTareas[Activa],54)=1,K$7&gt;=INDEX(TblTareas[Semana],54),K$7&lt;INDEX(TblTareas[Semana],54)+INDEX(TblTareas[Duracion],54)),INDEX(TblTareas[Horas],54)/INDEX(TblTareas[Duracion],54),""))</f>
      </c>
      <c r="L61" s="64" t="str">
        <f>IF($A61="","",IF(AND(INDEX(TblTareas[Activa],54)=1,L$7&gt;=INDEX(TblTareas[Semana],54),L$7&lt;INDEX(TblTareas[Semana],54)+INDEX(TblTareas[Duracion],54)),INDEX(TblTareas[Horas],54)/INDEX(TblTareas[Duracion],54),""))</f>
      </c>
      <c r="M61" s="64" t="str">
        <f>IF($A61="","",IF(AND(INDEX(TblTareas[Activa],54)=1,M$7&gt;=INDEX(TblTareas[Semana],54),M$7&lt;INDEX(TblTareas[Semana],54)+INDEX(TblTareas[Duracion],54)),INDEX(TblTareas[Horas],54)/INDEX(TblTareas[Duracion],54),""))</f>
      </c>
      <c r="N61" s="64" t="str">
        <f>IF($A61="","",IF(AND(INDEX(TblTareas[Activa],54)=1,N$7&gt;=INDEX(TblTareas[Semana],54),N$7&lt;INDEX(TblTareas[Semana],54)+INDEX(TblTareas[Duracion],54)),INDEX(TblTareas[Horas],54)/INDEX(TblTareas[Duracion],54),""))</f>
      </c>
      <c r="O61" s="64" t="str">
        <f>IF($A61="","",IF(AND(INDEX(TblTareas[Activa],54)=1,O$7&gt;=INDEX(TblTareas[Semana],54),O$7&lt;INDEX(TblTareas[Semana],54)+INDEX(TblTareas[Duracion],54)),INDEX(TblTareas[Horas],54)/INDEX(TblTareas[Duracion],54),""))</f>
      </c>
      <c r="P61" s="64" t="str">
        <f>IF($A61="","",IF(AND(INDEX(TblTareas[Activa],54)=1,P$7&gt;=INDEX(TblTareas[Semana],54),P$7&lt;INDEX(TblTareas[Semana],54)+INDEX(TblTareas[Duracion],54)),INDEX(TblTareas[Horas],54)/INDEX(TblTareas[Duracion],54),""))</f>
      </c>
      <c r="Q61" s="64" t="str">
        <f>IF($A61="","",IF(AND(INDEX(TblTareas[Activa],54)=1,Q$7&gt;=INDEX(TblTareas[Semana],54),Q$7&lt;INDEX(TblTareas[Semana],54)+INDEX(TblTareas[Duracion],54)),INDEX(TblTareas[Horas],54)/INDEX(TblTareas[Duracion],54),""))</f>
      </c>
      <c r="R61" s="64" t="str">
        <f>IF($A61="","",IF(AND(INDEX(TblTareas[Activa],54)=1,R$7&gt;=INDEX(TblTareas[Semana],54),R$7&lt;INDEX(TblTareas[Semana],54)+INDEX(TblTareas[Duracion],54)),INDEX(TblTareas[Horas],54)/INDEX(TblTareas[Duracion],54),""))</f>
      </c>
      <c r="S61" s="64" t="str">
        <f>IF($A61="","",IF(AND(INDEX(TblTareas[Activa],54)=1,S$7&gt;=INDEX(TblTareas[Semana],54),S$7&lt;INDEX(TblTareas[Semana],54)+INDEX(TblTareas[Duracion],54)),INDEX(TblTareas[Horas],54)/INDEX(TblTareas[Duracion],54),""))</f>
      </c>
      <c r="T61" s="64" t="str">
        <f>IF($A61="","",IF(AND(INDEX(TblTareas[Activa],54)=1,T$7&gt;=INDEX(TblTareas[Semana],54),T$7&lt;INDEX(TblTareas[Semana],54)+INDEX(TblTareas[Duracion],54)),INDEX(TblTareas[Horas],54)/INDEX(TblTareas[Duracion],54),""))</f>
      </c>
    </row>
    <row r="62" ht="34" customHeight="1">
      <c r="A62" s="62" t="str">
        <f>IFERROR(IF(INDEX(TblTareas[ID],55)="","",INDEX(TblTareas[ID],55)),"")</f>
      </c>
      <c r="B62" s="62" t="str">
        <f>IF($A62="","",IFERROR(INDEX(TblTareas[Responsable],55),""))</f>
      </c>
      <c r="C62" s="62" t="str">
        <f>IF($A62="","",IFERROR(INDEX(TblTareas[Trabajo],55),""))</f>
      </c>
      <c r="D62" s="62" t="str">
        <f>IF($A62="","",IFERROR(INDEX(TblTareas[Estado],55),""))</f>
      </c>
      <c r="E62" s="64" t="str">
        <f>IF($A62="","",IF(AND(INDEX(TblTareas[Activa],55)=1,E$7&gt;=INDEX(TblTareas[Semana],55),E$7&lt;INDEX(TblTareas[Semana],55)+INDEX(TblTareas[Duracion],55)),INDEX(TblTareas[Horas],55)/INDEX(TblTareas[Duracion],55),""))</f>
      </c>
      <c r="F62" s="64" t="str">
        <f>IF($A62="","",IF(AND(INDEX(TblTareas[Activa],55)=1,F$7&gt;=INDEX(TblTareas[Semana],55),F$7&lt;INDEX(TblTareas[Semana],55)+INDEX(TblTareas[Duracion],55)),INDEX(TblTareas[Horas],55)/INDEX(TblTareas[Duracion],55),""))</f>
      </c>
      <c r="G62" s="64" t="str">
        <f>IF($A62="","",IF(AND(INDEX(TblTareas[Activa],55)=1,G$7&gt;=INDEX(TblTareas[Semana],55),G$7&lt;INDEX(TblTareas[Semana],55)+INDEX(TblTareas[Duracion],55)),INDEX(TblTareas[Horas],55)/INDEX(TblTareas[Duracion],55),""))</f>
      </c>
      <c r="H62" s="64" t="str">
        <f>IF($A62="","",IF(AND(INDEX(TblTareas[Activa],55)=1,H$7&gt;=INDEX(TblTareas[Semana],55),H$7&lt;INDEX(TblTareas[Semana],55)+INDEX(TblTareas[Duracion],55)),INDEX(TblTareas[Horas],55)/INDEX(TblTareas[Duracion],55),""))</f>
      </c>
      <c r="I62" s="64" t="str">
        <f>IF($A62="","",IF(AND(INDEX(TblTareas[Activa],55)=1,I$7&gt;=INDEX(TblTareas[Semana],55),I$7&lt;INDEX(TblTareas[Semana],55)+INDEX(TblTareas[Duracion],55)),INDEX(TblTareas[Horas],55)/INDEX(TblTareas[Duracion],55),""))</f>
      </c>
      <c r="J62" s="64" t="str">
        <f>IF($A62="","",IF(AND(INDEX(TblTareas[Activa],55)=1,J$7&gt;=INDEX(TblTareas[Semana],55),J$7&lt;INDEX(TblTareas[Semana],55)+INDEX(TblTareas[Duracion],55)),INDEX(TblTareas[Horas],55)/INDEX(TblTareas[Duracion],55),""))</f>
      </c>
      <c r="K62" s="64" t="str">
        <f>IF($A62="","",IF(AND(INDEX(TblTareas[Activa],55)=1,K$7&gt;=INDEX(TblTareas[Semana],55),K$7&lt;INDEX(TblTareas[Semana],55)+INDEX(TblTareas[Duracion],55)),INDEX(TblTareas[Horas],55)/INDEX(TblTareas[Duracion],55),""))</f>
      </c>
      <c r="L62" s="64" t="str">
        <f>IF($A62="","",IF(AND(INDEX(TblTareas[Activa],55)=1,L$7&gt;=INDEX(TblTareas[Semana],55),L$7&lt;INDEX(TblTareas[Semana],55)+INDEX(TblTareas[Duracion],55)),INDEX(TblTareas[Horas],55)/INDEX(TblTareas[Duracion],55),""))</f>
      </c>
      <c r="M62" s="64" t="str">
        <f>IF($A62="","",IF(AND(INDEX(TblTareas[Activa],55)=1,M$7&gt;=INDEX(TblTareas[Semana],55),M$7&lt;INDEX(TblTareas[Semana],55)+INDEX(TblTareas[Duracion],55)),INDEX(TblTareas[Horas],55)/INDEX(TblTareas[Duracion],55),""))</f>
      </c>
      <c r="N62" s="64" t="str">
        <f>IF($A62="","",IF(AND(INDEX(TblTareas[Activa],55)=1,N$7&gt;=INDEX(TblTareas[Semana],55),N$7&lt;INDEX(TblTareas[Semana],55)+INDEX(TblTareas[Duracion],55)),INDEX(TblTareas[Horas],55)/INDEX(TblTareas[Duracion],55),""))</f>
      </c>
      <c r="O62" s="64" t="str">
        <f>IF($A62="","",IF(AND(INDEX(TblTareas[Activa],55)=1,O$7&gt;=INDEX(TblTareas[Semana],55),O$7&lt;INDEX(TblTareas[Semana],55)+INDEX(TblTareas[Duracion],55)),INDEX(TblTareas[Horas],55)/INDEX(TblTareas[Duracion],55),""))</f>
      </c>
      <c r="P62" s="64" t="str">
        <f>IF($A62="","",IF(AND(INDEX(TblTareas[Activa],55)=1,P$7&gt;=INDEX(TblTareas[Semana],55),P$7&lt;INDEX(TblTareas[Semana],55)+INDEX(TblTareas[Duracion],55)),INDEX(TblTareas[Horas],55)/INDEX(TblTareas[Duracion],55),""))</f>
      </c>
      <c r="Q62" s="64" t="str">
        <f>IF($A62="","",IF(AND(INDEX(TblTareas[Activa],55)=1,Q$7&gt;=INDEX(TblTareas[Semana],55),Q$7&lt;INDEX(TblTareas[Semana],55)+INDEX(TblTareas[Duracion],55)),INDEX(TblTareas[Horas],55)/INDEX(TblTareas[Duracion],55),""))</f>
      </c>
      <c r="R62" s="64" t="str">
        <f>IF($A62="","",IF(AND(INDEX(TblTareas[Activa],55)=1,R$7&gt;=INDEX(TblTareas[Semana],55),R$7&lt;INDEX(TblTareas[Semana],55)+INDEX(TblTareas[Duracion],55)),INDEX(TblTareas[Horas],55)/INDEX(TblTareas[Duracion],55),""))</f>
      </c>
      <c r="S62" s="64" t="str">
        <f>IF($A62="","",IF(AND(INDEX(TblTareas[Activa],55)=1,S$7&gt;=INDEX(TblTareas[Semana],55),S$7&lt;INDEX(TblTareas[Semana],55)+INDEX(TblTareas[Duracion],55)),INDEX(TblTareas[Horas],55)/INDEX(TblTareas[Duracion],55),""))</f>
      </c>
      <c r="T62" s="64" t="str">
        <f>IF($A62="","",IF(AND(INDEX(TblTareas[Activa],55)=1,T$7&gt;=INDEX(TblTareas[Semana],55),T$7&lt;INDEX(TblTareas[Semana],55)+INDEX(TblTareas[Duracion],55)),INDEX(TblTareas[Horas],55)/INDEX(TblTareas[Duracion],55),""))</f>
      </c>
    </row>
    <row r="63" ht="34" customHeight="1">
      <c r="A63" s="62" t="str">
        <f>IFERROR(IF(INDEX(TblTareas[ID],56)="","",INDEX(TblTareas[ID],56)),"")</f>
      </c>
      <c r="B63" s="62" t="str">
        <f>IF($A63="","",IFERROR(INDEX(TblTareas[Responsable],56),""))</f>
      </c>
      <c r="C63" s="62" t="str">
        <f>IF($A63="","",IFERROR(INDEX(TblTareas[Trabajo],56),""))</f>
      </c>
      <c r="D63" s="62" t="str">
        <f>IF($A63="","",IFERROR(INDEX(TblTareas[Estado],56),""))</f>
      </c>
      <c r="E63" s="64" t="str">
        <f>IF($A63="","",IF(AND(INDEX(TblTareas[Activa],56)=1,E$7&gt;=INDEX(TblTareas[Semana],56),E$7&lt;INDEX(TblTareas[Semana],56)+INDEX(TblTareas[Duracion],56)),INDEX(TblTareas[Horas],56)/INDEX(TblTareas[Duracion],56),""))</f>
      </c>
      <c r="F63" s="64" t="str">
        <f>IF($A63="","",IF(AND(INDEX(TblTareas[Activa],56)=1,F$7&gt;=INDEX(TblTareas[Semana],56),F$7&lt;INDEX(TblTareas[Semana],56)+INDEX(TblTareas[Duracion],56)),INDEX(TblTareas[Horas],56)/INDEX(TblTareas[Duracion],56),""))</f>
      </c>
      <c r="G63" s="64" t="str">
        <f>IF($A63="","",IF(AND(INDEX(TblTareas[Activa],56)=1,G$7&gt;=INDEX(TblTareas[Semana],56),G$7&lt;INDEX(TblTareas[Semana],56)+INDEX(TblTareas[Duracion],56)),INDEX(TblTareas[Horas],56)/INDEX(TblTareas[Duracion],56),""))</f>
      </c>
      <c r="H63" s="64" t="str">
        <f>IF($A63="","",IF(AND(INDEX(TblTareas[Activa],56)=1,H$7&gt;=INDEX(TblTareas[Semana],56),H$7&lt;INDEX(TblTareas[Semana],56)+INDEX(TblTareas[Duracion],56)),INDEX(TblTareas[Horas],56)/INDEX(TblTareas[Duracion],56),""))</f>
      </c>
      <c r="I63" s="64" t="str">
        <f>IF($A63="","",IF(AND(INDEX(TblTareas[Activa],56)=1,I$7&gt;=INDEX(TblTareas[Semana],56),I$7&lt;INDEX(TblTareas[Semana],56)+INDEX(TblTareas[Duracion],56)),INDEX(TblTareas[Horas],56)/INDEX(TblTareas[Duracion],56),""))</f>
      </c>
      <c r="J63" s="64" t="str">
        <f>IF($A63="","",IF(AND(INDEX(TblTareas[Activa],56)=1,J$7&gt;=INDEX(TblTareas[Semana],56),J$7&lt;INDEX(TblTareas[Semana],56)+INDEX(TblTareas[Duracion],56)),INDEX(TblTareas[Horas],56)/INDEX(TblTareas[Duracion],56),""))</f>
      </c>
      <c r="K63" s="64" t="str">
        <f>IF($A63="","",IF(AND(INDEX(TblTareas[Activa],56)=1,K$7&gt;=INDEX(TblTareas[Semana],56),K$7&lt;INDEX(TblTareas[Semana],56)+INDEX(TblTareas[Duracion],56)),INDEX(TblTareas[Horas],56)/INDEX(TblTareas[Duracion],56),""))</f>
      </c>
      <c r="L63" s="64" t="str">
        <f>IF($A63="","",IF(AND(INDEX(TblTareas[Activa],56)=1,L$7&gt;=INDEX(TblTareas[Semana],56),L$7&lt;INDEX(TblTareas[Semana],56)+INDEX(TblTareas[Duracion],56)),INDEX(TblTareas[Horas],56)/INDEX(TblTareas[Duracion],56),""))</f>
      </c>
      <c r="M63" s="64" t="str">
        <f>IF($A63="","",IF(AND(INDEX(TblTareas[Activa],56)=1,M$7&gt;=INDEX(TblTareas[Semana],56),M$7&lt;INDEX(TblTareas[Semana],56)+INDEX(TblTareas[Duracion],56)),INDEX(TblTareas[Horas],56)/INDEX(TblTareas[Duracion],56),""))</f>
      </c>
      <c r="N63" s="64" t="str">
        <f>IF($A63="","",IF(AND(INDEX(TblTareas[Activa],56)=1,N$7&gt;=INDEX(TblTareas[Semana],56),N$7&lt;INDEX(TblTareas[Semana],56)+INDEX(TblTareas[Duracion],56)),INDEX(TblTareas[Horas],56)/INDEX(TblTareas[Duracion],56),""))</f>
      </c>
      <c r="O63" s="64" t="str">
        <f>IF($A63="","",IF(AND(INDEX(TblTareas[Activa],56)=1,O$7&gt;=INDEX(TblTareas[Semana],56),O$7&lt;INDEX(TblTareas[Semana],56)+INDEX(TblTareas[Duracion],56)),INDEX(TblTareas[Horas],56)/INDEX(TblTareas[Duracion],56),""))</f>
      </c>
      <c r="P63" s="64" t="str">
        <f>IF($A63="","",IF(AND(INDEX(TblTareas[Activa],56)=1,P$7&gt;=INDEX(TblTareas[Semana],56),P$7&lt;INDEX(TblTareas[Semana],56)+INDEX(TblTareas[Duracion],56)),INDEX(TblTareas[Horas],56)/INDEX(TblTareas[Duracion],56),""))</f>
      </c>
      <c r="Q63" s="64" t="str">
        <f>IF($A63="","",IF(AND(INDEX(TblTareas[Activa],56)=1,Q$7&gt;=INDEX(TblTareas[Semana],56),Q$7&lt;INDEX(TblTareas[Semana],56)+INDEX(TblTareas[Duracion],56)),INDEX(TblTareas[Horas],56)/INDEX(TblTareas[Duracion],56),""))</f>
      </c>
      <c r="R63" s="64" t="str">
        <f>IF($A63="","",IF(AND(INDEX(TblTareas[Activa],56)=1,R$7&gt;=INDEX(TblTareas[Semana],56),R$7&lt;INDEX(TblTareas[Semana],56)+INDEX(TblTareas[Duracion],56)),INDEX(TblTareas[Horas],56)/INDEX(TblTareas[Duracion],56),""))</f>
      </c>
      <c r="S63" s="64" t="str">
        <f>IF($A63="","",IF(AND(INDEX(TblTareas[Activa],56)=1,S$7&gt;=INDEX(TblTareas[Semana],56),S$7&lt;INDEX(TblTareas[Semana],56)+INDEX(TblTareas[Duracion],56)),INDEX(TblTareas[Horas],56)/INDEX(TblTareas[Duracion],56),""))</f>
      </c>
      <c r="T63" s="64" t="str">
        <f>IF($A63="","",IF(AND(INDEX(TblTareas[Activa],56)=1,T$7&gt;=INDEX(TblTareas[Semana],56),T$7&lt;INDEX(TblTareas[Semana],56)+INDEX(TblTareas[Duracion],56)),INDEX(TblTareas[Horas],56)/INDEX(TblTareas[Duracion],56),""))</f>
      </c>
    </row>
    <row r="64" ht="34" customHeight="1">
      <c r="A64" s="62" t="str">
        <f>IFERROR(IF(INDEX(TblTareas[ID],57)="","",INDEX(TblTareas[ID],57)),"")</f>
      </c>
      <c r="B64" s="62" t="str">
        <f>IF($A64="","",IFERROR(INDEX(TblTareas[Responsable],57),""))</f>
      </c>
      <c r="C64" s="62" t="str">
        <f>IF($A64="","",IFERROR(INDEX(TblTareas[Trabajo],57),""))</f>
      </c>
      <c r="D64" s="62" t="str">
        <f>IF($A64="","",IFERROR(INDEX(TblTareas[Estado],57),""))</f>
      </c>
      <c r="E64" s="64" t="str">
        <f>IF($A64="","",IF(AND(INDEX(TblTareas[Activa],57)=1,E$7&gt;=INDEX(TblTareas[Semana],57),E$7&lt;INDEX(TblTareas[Semana],57)+INDEX(TblTareas[Duracion],57)),INDEX(TblTareas[Horas],57)/INDEX(TblTareas[Duracion],57),""))</f>
      </c>
      <c r="F64" s="64" t="str">
        <f>IF($A64="","",IF(AND(INDEX(TblTareas[Activa],57)=1,F$7&gt;=INDEX(TblTareas[Semana],57),F$7&lt;INDEX(TblTareas[Semana],57)+INDEX(TblTareas[Duracion],57)),INDEX(TblTareas[Horas],57)/INDEX(TblTareas[Duracion],57),""))</f>
      </c>
      <c r="G64" s="64" t="str">
        <f>IF($A64="","",IF(AND(INDEX(TblTareas[Activa],57)=1,G$7&gt;=INDEX(TblTareas[Semana],57),G$7&lt;INDEX(TblTareas[Semana],57)+INDEX(TblTareas[Duracion],57)),INDEX(TblTareas[Horas],57)/INDEX(TblTareas[Duracion],57),""))</f>
      </c>
      <c r="H64" s="64" t="str">
        <f>IF($A64="","",IF(AND(INDEX(TblTareas[Activa],57)=1,H$7&gt;=INDEX(TblTareas[Semana],57),H$7&lt;INDEX(TblTareas[Semana],57)+INDEX(TblTareas[Duracion],57)),INDEX(TblTareas[Horas],57)/INDEX(TblTareas[Duracion],57),""))</f>
      </c>
      <c r="I64" s="64" t="str">
        <f>IF($A64="","",IF(AND(INDEX(TblTareas[Activa],57)=1,I$7&gt;=INDEX(TblTareas[Semana],57),I$7&lt;INDEX(TblTareas[Semana],57)+INDEX(TblTareas[Duracion],57)),INDEX(TblTareas[Horas],57)/INDEX(TblTareas[Duracion],57),""))</f>
      </c>
      <c r="J64" s="64" t="str">
        <f>IF($A64="","",IF(AND(INDEX(TblTareas[Activa],57)=1,J$7&gt;=INDEX(TblTareas[Semana],57),J$7&lt;INDEX(TblTareas[Semana],57)+INDEX(TblTareas[Duracion],57)),INDEX(TblTareas[Horas],57)/INDEX(TblTareas[Duracion],57),""))</f>
      </c>
      <c r="K64" s="64" t="str">
        <f>IF($A64="","",IF(AND(INDEX(TblTareas[Activa],57)=1,K$7&gt;=INDEX(TblTareas[Semana],57),K$7&lt;INDEX(TblTareas[Semana],57)+INDEX(TblTareas[Duracion],57)),INDEX(TblTareas[Horas],57)/INDEX(TblTareas[Duracion],57),""))</f>
      </c>
      <c r="L64" s="64" t="str">
        <f>IF($A64="","",IF(AND(INDEX(TblTareas[Activa],57)=1,L$7&gt;=INDEX(TblTareas[Semana],57),L$7&lt;INDEX(TblTareas[Semana],57)+INDEX(TblTareas[Duracion],57)),INDEX(TblTareas[Horas],57)/INDEX(TblTareas[Duracion],57),""))</f>
      </c>
      <c r="M64" s="64" t="str">
        <f>IF($A64="","",IF(AND(INDEX(TblTareas[Activa],57)=1,M$7&gt;=INDEX(TblTareas[Semana],57),M$7&lt;INDEX(TblTareas[Semana],57)+INDEX(TblTareas[Duracion],57)),INDEX(TblTareas[Horas],57)/INDEX(TblTareas[Duracion],57),""))</f>
      </c>
      <c r="N64" s="64" t="str">
        <f>IF($A64="","",IF(AND(INDEX(TblTareas[Activa],57)=1,N$7&gt;=INDEX(TblTareas[Semana],57),N$7&lt;INDEX(TblTareas[Semana],57)+INDEX(TblTareas[Duracion],57)),INDEX(TblTareas[Horas],57)/INDEX(TblTareas[Duracion],57),""))</f>
      </c>
      <c r="O64" s="64" t="str">
        <f>IF($A64="","",IF(AND(INDEX(TblTareas[Activa],57)=1,O$7&gt;=INDEX(TblTareas[Semana],57),O$7&lt;INDEX(TblTareas[Semana],57)+INDEX(TblTareas[Duracion],57)),INDEX(TblTareas[Horas],57)/INDEX(TblTareas[Duracion],57),""))</f>
      </c>
      <c r="P64" s="64" t="str">
        <f>IF($A64="","",IF(AND(INDEX(TblTareas[Activa],57)=1,P$7&gt;=INDEX(TblTareas[Semana],57),P$7&lt;INDEX(TblTareas[Semana],57)+INDEX(TblTareas[Duracion],57)),INDEX(TblTareas[Horas],57)/INDEX(TblTareas[Duracion],57),""))</f>
      </c>
      <c r="Q64" s="64" t="str">
        <f>IF($A64="","",IF(AND(INDEX(TblTareas[Activa],57)=1,Q$7&gt;=INDEX(TblTareas[Semana],57),Q$7&lt;INDEX(TblTareas[Semana],57)+INDEX(TblTareas[Duracion],57)),INDEX(TblTareas[Horas],57)/INDEX(TblTareas[Duracion],57),""))</f>
      </c>
      <c r="R64" s="64" t="str">
        <f>IF($A64="","",IF(AND(INDEX(TblTareas[Activa],57)=1,R$7&gt;=INDEX(TblTareas[Semana],57),R$7&lt;INDEX(TblTareas[Semana],57)+INDEX(TblTareas[Duracion],57)),INDEX(TblTareas[Horas],57)/INDEX(TblTareas[Duracion],57),""))</f>
      </c>
      <c r="S64" s="64" t="str">
        <f>IF($A64="","",IF(AND(INDEX(TblTareas[Activa],57)=1,S$7&gt;=INDEX(TblTareas[Semana],57),S$7&lt;INDEX(TblTareas[Semana],57)+INDEX(TblTareas[Duracion],57)),INDEX(TblTareas[Horas],57)/INDEX(TblTareas[Duracion],57),""))</f>
      </c>
      <c r="T64" s="64" t="str">
        <f>IF($A64="","",IF(AND(INDEX(TblTareas[Activa],57)=1,T$7&gt;=INDEX(TblTareas[Semana],57),T$7&lt;INDEX(TblTareas[Semana],57)+INDEX(TblTareas[Duracion],57)),INDEX(TblTareas[Horas],57)/INDEX(TblTareas[Duracion],57),""))</f>
      </c>
    </row>
    <row r="65" ht="34" customHeight="1">
      <c r="A65" s="62" t="str">
        <f>IFERROR(IF(INDEX(TblTareas[ID],58)="","",INDEX(TblTareas[ID],58)),"")</f>
      </c>
      <c r="B65" s="62" t="str">
        <f>IF($A65="","",IFERROR(INDEX(TblTareas[Responsable],58),""))</f>
      </c>
      <c r="C65" s="62" t="str">
        <f>IF($A65="","",IFERROR(INDEX(TblTareas[Trabajo],58),""))</f>
      </c>
      <c r="D65" s="62" t="str">
        <f>IF($A65="","",IFERROR(INDEX(TblTareas[Estado],58),""))</f>
      </c>
      <c r="E65" s="64" t="str">
        <f>IF($A65="","",IF(AND(INDEX(TblTareas[Activa],58)=1,E$7&gt;=INDEX(TblTareas[Semana],58),E$7&lt;INDEX(TblTareas[Semana],58)+INDEX(TblTareas[Duracion],58)),INDEX(TblTareas[Horas],58)/INDEX(TblTareas[Duracion],58),""))</f>
      </c>
      <c r="F65" s="64" t="str">
        <f>IF($A65="","",IF(AND(INDEX(TblTareas[Activa],58)=1,F$7&gt;=INDEX(TblTareas[Semana],58),F$7&lt;INDEX(TblTareas[Semana],58)+INDEX(TblTareas[Duracion],58)),INDEX(TblTareas[Horas],58)/INDEX(TblTareas[Duracion],58),""))</f>
      </c>
      <c r="G65" s="64" t="str">
        <f>IF($A65="","",IF(AND(INDEX(TblTareas[Activa],58)=1,G$7&gt;=INDEX(TblTareas[Semana],58),G$7&lt;INDEX(TblTareas[Semana],58)+INDEX(TblTareas[Duracion],58)),INDEX(TblTareas[Horas],58)/INDEX(TblTareas[Duracion],58),""))</f>
      </c>
      <c r="H65" s="64" t="str">
        <f>IF($A65="","",IF(AND(INDEX(TblTareas[Activa],58)=1,H$7&gt;=INDEX(TblTareas[Semana],58),H$7&lt;INDEX(TblTareas[Semana],58)+INDEX(TblTareas[Duracion],58)),INDEX(TblTareas[Horas],58)/INDEX(TblTareas[Duracion],58),""))</f>
      </c>
      <c r="I65" s="64" t="str">
        <f>IF($A65="","",IF(AND(INDEX(TblTareas[Activa],58)=1,I$7&gt;=INDEX(TblTareas[Semana],58),I$7&lt;INDEX(TblTareas[Semana],58)+INDEX(TblTareas[Duracion],58)),INDEX(TblTareas[Horas],58)/INDEX(TblTareas[Duracion],58),""))</f>
      </c>
      <c r="J65" s="64" t="str">
        <f>IF($A65="","",IF(AND(INDEX(TblTareas[Activa],58)=1,J$7&gt;=INDEX(TblTareas[Semana],58),J$7&lt;INDEX(TblTareas[Semana],58)+INDEX(TblTareas[Duracion],58)),INDEX(TblTareas[Horas],58)/INDEX(TblTareas[Duracion],58),""))</f>
      </c>
      <c r="K65" s="64" t="str">
        <f>IF($A65="","",IF(AND(INDEX(TblTareas[Activa],58)=1,K$7&gt;=INDEX(TblTareas[Semana],58),K$7&lt;INDEX(TblTareas[Semana],58)+INDEX(TblTareas[Duracion],58)),INDEX(TblTareas[Horas],58)/INDEX(TblTareas[Duracion],58),""))</f>
      </c>
      <c r="L65" s="64" t="str">
        <f>IF($A65="","",IF(AND(INDEX(TblTareas[Activa],58)=1,L$7&gt;=INDEX(TblTareas[Semana],58),L$7&lt;INDEX(TblTareas[Semana],58)+INDEX(TblTareas[Duracion],58)),INDEX(TblTareas[Horas],58)/INDEX(TblTareas[Duracion],58),""))</f>
      </c>
      <c r="M65" s="64" t="str">
        <f>IF($A65="","",IF(AND(INDEX(TblTareas[Activa],58)=1,M$7&gt;=INDEX(TblTareas[Semana],58),M$7&lt;INDEX(TblTareas[Semana],58)+INDEX(TblTareas[Duracion],58)),INDEX(TblTareas[Horas],58)/INDEX(TblTareas[Duracion],58),""))</f>
      </c>
      <c r="N65" s="64" t="str">
        <f>IF($A65="","",IF(AND(INDEX(TblTareas[Activa],58)=1,N$7&gt;=INDEX(TblTareas[Semana],58),N$7&lt;INDEX(TblTareas[Semana],58)+INDEX(TblTareas[Duracion],58)),INDEX(TblTareas[Horas],58)/INDEX(TblTareas[Duracion],58),""))</f>
      </c>
      <c r="O65" s="64" t="str">
        <f>IF($A65="","",IF(AND(INDEX(TblTareas[Activa],58)=1,O$7&gt;=INDEX(TblTareas[Semana],58),O$7&lt;INDEX(TblTareas[Semana],58)+INDEX(TblTareas[Duracion],58)),INDEX(TblTareas[Horas],58)/INDEX(TblTareas[Duracion],58),""))</f>
      </c>
      <c r="P65" s="64" t="str">
        <f>IF($A65="","",IF(AND(INDEX(TblTareas[Activa],58)=1,P$7&gt;=INDEX(TblTareas[Semana],58),P$7&lt;INDEX(TblTareas[Semana],58)+INDEX(TblTareas[Duracion],58)),INDEX(TblTareas[Horas],58)/INDEX(TblTareas[Duracion],58),""))</f>
      </c>
      <c r="Q65" s="64" t="str">
        <f>IF($A65="","",IF(AND(INDEX(TblTareas[Activa],58)=1,Q$7&gt;=INDEX(TblTareas[Semana],58),Q$7&lt;INDEX(TblTareas[Semana],58)+INDEX(TblTareas[Duracion],58)),INDEX(TblTareas[Horas],58)/INDEX(TblTareas[Duracion],58),""))</f>
      </c>
      <c r="R65" s="64" t="str">
        <f>IF($A65="","",IF(AND(INDEX(TblTareas[Activa],58)=1,R$7&gt;=INDEX(TblTareas[Semana],58),R$7&lt;INDEX(TblTareas[Semana],58)+INDEX(TblTareas[Duracion],58)),INDEX(TblTareas[Horas],58)/INDEX(TblTareas[Duracion],58),""))</f>
      </c>
      <c r="S65" s="64" t="str">
        <f>IF($A65="","",IF(AND(INDEX(TblTareas[Activa],58)=1,S$7&gt;=INDEX(TblTareas[Semana],58),S$7&lt;INDEX(TblTareas[Semana],58)+INDEX(TblTareas[Duracion],58)),INDEX(TblTareas[Horas],58)/INDEX(TblTareas[Duracion],58),""))</f>
      </c>
      <c r="T65" s="64" t="str">
        <f>IF($A65="","",IF(AND(INDEX(TblTareas[Activa],58)=1,T$7&gt;=INDEX(TblTareas[Semana],58),T$7&lt;INDEX(TblTareas[Semana],58)+INDEX(TblTareas[Duracion],58)),INDEX(TblTareas[Horas],58)/INDEX(TblTareas[Duracion],58),""))</f>
      </c>
    </row>
    <row r="66" ht="34" customHeight="1">
      <c r="A66" s="62" t="str">
        <f>IFERROR(IF(INDEX(TblTareas[ID],59)="","",INDEX(TblTareas[ID],59)),"")</f>
      </c>
      <c r="B66" s="62" t="str">
        <f>IF($A66="","",IFERROR(INDEX(TblTareas[Responsable],59),""))</f>
      </c>
      <c r="C66" s="62" t="str">
        <f>IF($A66="","",IFERROR(INDEX(TblTareas[Trabajo],59),""))</f>
      </c>
      <c r="D66" s="62" t="str">
        <f>IF($A66="","",IFERROR(INDEX(TblTareas[Estado],59),""))</f>
      </c>
      <c r="E66" s="64" t="str">
        <f>IF($A66="","",IF(AND(INDEX(TblTareas[Activa],59)=1,E$7&gt;=INDEX(TblTareas[Semana],59),E$7&lt;INDEX(TblTareas[Semana],59)+INDEX(TblTareas[Duracion],59)),INDEX(TblTareas[Horas],59)/INDEX(TblTareas[Duracion],59),""))</f>
      </c>
      <c r="F66" s="64" t="str">
        <f>IF($A66="","",IF(AND(INDEX(TblTareas[Activa],59)=1,F$7&gt;=INDEX(TblTareas[Semana],59),F$7&lt;INDEX(TblTareas[Semana],59)+INDEX(TblTareas[Duracion],59)),INDEX(TblTareas[Horas],59)/INDEX(TblTareas[Duracion],59),""))</f>
      </c>
      <c r="G66" s="64" t="str">
        <f>IF($A66="","",IF(AND(INDEX(TblTareas[Activa],59)=1,G$7&gt;=INDEX(TblTareas[Semana],59),G$7&lt;INDEX(TblTareas[Semana],59)+INDEX(TblTareas[Duracion],59)),INDEX(TblTareas[Horas],59)/INDEX(TblTareas[Duracion],59),""))</f>
      </c>
      <c r="H66" s="64" t="str">
        <f>IF($A66="","",IF(AND(INDEX(TblTareas[Activa],59)=1,H$7&gt;=INDEX(TblTareas[Semana],59),H$7&lt;INDEX(TblTareas[Semana],59)+INDEX(TblTareas[Duracion],59)),INDEX(TblTareas[Horas],59)/INDEX(TblTareas[Duracion],59),""))</f>
      </c>
      <c r="I66" s="64" t="str">
        <f>IF($A66="","",IF(AND(INDEX(TblTareas[Activa],59)=1,I$7&gt;=INDEX(TblTareas[Semana],59),I$7&lt;INDEX(TblTareas[Semana],59)+INDEX(TblTareas[Duracion],59)),INDEX(TblTareas[Horas],59)/INDEX(TblTareas[Duracion],59),""))</f>
      </c>
      <c r="J66" s="64" t="str">
        <f>IF($A66="","",IF(AND(INDEX(TblTareas[Activa],59)=1,J$7&gt;=INDEX(TblTareas[Semana],59),J$7&lt;INDEX(TblTareas[Semana],59)+INDEX(TblTareas[Duracion],59)),INDEX(TblTareas[Horas],59)/INDEX(TblTareas[Duracion],59),""))</f>
      </c>
      <c r="K66" s="64" t="str">
        <f>IF($A66="","",IF(AND(INDEX(TblTareas[Activa],59)=1,K$7&gt;=INDEX(TblTareas[Semana],59),K$7&lt;INDEX(TblTareas[Semana],59)+INDEX(TblTareas[Duracion],59)),INDEX(TblTareas[Horas],59)/INDEX(TblTareas[Duracion],59),""))</f>
      </c>
      <c r="L66" s="64" t="str">
        <f>IF($A66="","",IF(AND(INDEX(TblTareas[Activa],59)=1,L$7&gt;=INDEX(TblTareas[Semana],59),L$7&lt;INDEX(TblTareas[Semana],59)+INDEX(TblTareas[Duracion],59)),INDEX(TblTareas[Horas],59)/INDEX(TblTareas[Duracion],59),""))</f>
      </c>
      <c r="M66" s="64" t="str">
        <f>IF($A66="","",IF(AND(INDEX(TblTareas[Activa],59)=1,M$7&gt;=INDEX(TblTareas[Semana],59),M$7&lt;INDEX(TblTareas[Semana],59)+INDEX(TblTareas[Duracion],59)),INDEX(TblTareas[Horas],59)/INDEX(TblTareas[Duracion],59),""))</f>
      </c>
      <c r="N66" s="64" t="str">
        <f>IF($A66="","",IF(AND(INDEX(TblTareas[Activa],59)=1,N$7&gt;=INDEX(TblTareas[Semana],59),N$7&lt;INDEX(TblTareas[Semana],59)+INDEX(TblTareas[Duracion],59)),INDEX(TblTareas[Horas],59)/INDEX(TblTareas[Duracion],59),""))</f>
      </c>
      <c r="O66" s="64" t="str">
        <f>IF($A66="","",IF(AND(INDEX(TblTareas[Activa],59)=1,O$7&gt;=INDEX(TblTareas[Semana],59),O$7&lt;INDEX(TblTareas[Semana],59)+INDEX(TblTareas[Duracion],59)),INDEX(TblTareas[Horas],59)/INDEX(TblTareas[Duracion],59),""))</f>
      </c>
      <c r="P66" s="64" t="str">
        <f>IF($A66="","",IF(AND(INDEX(TblTareas[Activa],59)=1,P$7&gt;=INDEX(TblTareas[Semana],59),P$7&lt;INDEX(TblTareas[Semana],59)+INDEX(TblTareas[Duracion],59)),INDEX(TblTareas[Horas],59)/INDEX(TblTareas[Duracion],59),""))</f>
      </c>
      <c r="Q66" s="64" t="str">
        <f>IF($A66="","",IF(AND(INDEX(TblTareas[Activa],59)=1,Q$7&gt;=INDEX(TblTareas[Semana],59),Q$7&lt;INDEX(TblTareas[Semana],59)+INDEX(TblTareas[Duracion],59)),INDEX(TblTareas[Horas],59)/INDEX(TblTareas[Duracion],59),""))</f>
      </c>
      <c r="R66" s="64" t="str">
        <f>IF($A66="","",IF(AND(INDEX(TblTareas[Activa],59)=1,R$7&gt;=INDEX(TblTareas[Semana],59),R$7&lt;INDEX(TblTareas[Semana],59)+INDEX(TblTareas[Duracion],59)),INDEX(TblTareas[Horas],59)/INDEX(TblTareas[Duracion],59),""))</f>
      </c>
      <c r="S66" s="64" t="str">
        <f>IF($A66="","",IF(AND(INDEX(TblTareas[Activa],59)=1,S$7&gt;=INDEX(TblTareas[Semana],59),S$7&lt;INDEX(TblTareas[Semana],59)+INDEX(TblTareas[Duracion],59)),INDEX(TblTareas[Horas],59)/INDEX(TblTareas[Duracion],59),""))</f>
      </c>
      <c r="T66" s="64" t="str">
        <f>IF($A66="","",IF(AND(INDEX(TblTareas[Activa],59)=1,T$7&gt;=INDEX(TblTareas[Semana],59),T$7&lt;INDEX(TblTareas[Semana],59)+INDEX(TblTareas[Duracion],59)),INDEX(TblTareas[Horas],59)/INDEX(TblTareas[Duracion],59),""))</f>
      </c>
    </row>
    <row r="67" ht="34" customHeight="1">
      <c r="A67" s="62" t="str">
        <f>IFERROR(IF(INDEX(TblTareas[ID],60)="","",INDEX(TblTareas[ID],60)),"")</f>
      </c>
      <c r="B67" s="62" t="str">
        <f>IF($A67="","",IFERROR(INDEX(TblTareas[Responsable],60),""))</f>
      </c>
      <c r="C67" s="62" t="str">
        <f>IF($A67="","",IFERROR(INDEX(TblTareas[Trabajo],60),""))</f>
      </c>
      <c r="D67" s="62" t="str">
        <f>IF($A67="","",IFERROR(INDEX(TblTareas[Estado],60),""))</f>
      </c>
      <c r="E67" s="64" t="str">
        <f>IF($A67="","",IF(AND(INDEX(TblTareas[Activa],60)=1,E$7&gt;=INDEX(TblTareas[Semana],60),E$7&lt;INDEX(TblTareas[Semana],60)+INDEX(TblTareas[Duracion],60)),INDEX(TblTareas[Horas],60)/INDEX(TblTareas[Duracion],60),""))</f>
      </c>
      <c r="F67" s="64" t="str">
        <f>IF($A67="","",IF(AND(INDEX(TblTareas[Activa],60)=1,F$7&gt;=INDEX(TblTareas[Semana],60),F$7&lt;INDEX(TblTareas[Semana],60)+INDEX(TblTareas[Duracion],60)),INDEX(TblTareas[Horas],60)/INDEX(TblTareas[Duracion],60),""))</f>
      </c>
      <c r="G67" s="64" t="str">
        <f>IF($A67="","",IF(AND(INDEX(TblTareas[Activa],60)=1,G$7&gt;=INDEX(TblTareas[Semana],60),G$7&lt;INDEX(TblTareas[Semana],60)+INDEX(TblTareas[Duracion],60)),INDEX(TblTareas[Horas],60)/INDEX(TblTareas[Duracion],60),""))</f>
      </c>
      <c r="H67" s="64" t="str">
        <f>IF($A67="","",IF(AND(INDEX(TblTareas[Activa],60)=1,H$7&gt;=INDEX(TblTareas[Semana],60),H$7&lt;INDEX(TblTareas[Semana],60)+INDEX(TblTareas[Duracion],60)),INDEX(TblTareas[Horas],60)/INDEX(TblTareas[Duracion],60),""))</f>
      </c>
      <c r="I67" s="64" t="str">
        <f>IF($A67="","",IF(AND(INDEX(TblTareas[Activa],60)=1,I$7&gt;=INDEX(TblTareas[Semana],60),I$7&lt;INDEX(TblTareas[Semana],60)+INDEX(TblTareas[Duracion],60)),INDEX(TblTareas[Horas],60)/INDEX(TblTareas[Duracion],60),""))</f>
      </c>
      <c r="J67" s="64" t="str">
        <f>IF($A67="","",IF(AND(INDEX(TblTareas[Activa],60)=1,J$7&gt;=INDEX(TblTareas[Semana],60),J$7&lt;INDEX(TblTareas[Semana],60)+INDEX(TblTareas[Duracion],60)),INDEX(TblTareas[Horas],60)/INDEX(TblTareas[Duracion],60),""))</f>
      </c>
      <c r="K67" s="64" t="str">
        <f>IF($A67="","",IF(AND(INDEX(TblTareas[Activa],60)=1,K$7&gt;=INDEX(TblTareas[Semana],60),K$7&lt;INDEX(TblTareas[Semana],60)+INDEX(TblTareas[Duracion],60)),INDEX(TblTareas[Horas],60)/INDEX(TblTareas[Duracion],60),""))</f>
      </c>
      <c r="L67" s="64" t="str">
        <f>IF($A67="","",IF(AND(INDEX(TblTareas[Activa],60)=1,L$7&gt;=INDEX(TblTareas[Semana],60),L$7&lt;INDEX(TblTareas[Semana],60)+INDEX(TblTareas[Duracion],60)),INDEX(TblTareas[Horas],60)/INDEX(TblTareas[Duracion],60),""))</f>
      </c>
      <c r="M67" s="64" t="str">
        <f>IF($A67="","",IF(AND(INDEX(TblTareas[Activa],60)=1,M$7&gt;=INDEX(TblTareas[Semana],60),M$7&lt;INDEX(TblTareas[Semana],60)+INDEX(TblTareas[Duracion],60)),INDEX(TblTareas[Horas],60)/INDEX(TblTareas[Duracion],60),""))</f>
      </c>
      <c r="N67" s="64" t="str">
        <f>IF($A67="","",IF(AND(INDEX(TblTareas[Activa],60)=1,N$7&gt;=INDEX(TblTareas[Semana],60),N$7&lt;INDEX(TblTareas[Semana],60)+INDEX(TblTareas[Duracion],60)),INDEX(TblTareas[Horas],60)/INDEX(TblTareas[Duracion],60),""))</f>
      </c>
      <c r="O67" s="64" t="str">
        <f>IF($A67="","",IF(AND(INDEX(TblTareas[Activa],60)=1,O$7&gt;=INDEX(TblTareas[Semana],60),O$7&lt;INDEX(TblTareas[Semana],60)+INDEX(TblTareas[Duracion],60)),INDEX(TblTareas[Horas],60)/INDEX(TblTareas[Duracion],60),""))</f>
      </c>
      <c r="P67" s="64" t="str">
        <f>IF($A67="","",IF(AND(INDEX(TblTareas[Activa],60)=1,P$7&gt;=INDEX(TblTareas[Semana],60),P$7&lt;INDEX(TblTareas[Semana],60)+INDEX(TblTareas[Duracion],60)),INDEX(TblTareas[Horas],60)/INDEX(TblTareas[Duracion],60),""))</f>
      </c>
      <c r="Q67" s="64" t="str">
        <f>IF($A67="","",IF(AND(INDEX(TblTareas[Activa],60)=1,Q$7&gt;=INDEX(TblTareas[Semana],60),Q$7&lt;INDEX(TblTareas[Semana],60)+INDEX(TblTareas[Duracion],60)),INDEX(TblTareas[Horas],60)/INDEX(TblTareas[Duracion],60),""))</f>
      </c>
      <c r="R67" s="64" t="str">
        <f>IF($A67="","",IF(AND(INDEX(TblTareas[Activa],60)=1,R$7&gt;=INDEX(TblTareas[Semana],60),R$7&lt;INDEX(TblTareas[Semana],60)+INDEX(TblTareas[Duracion],60)),INDEX(TblTareas[Horas],60)/INDEX(TblTareas[Duracion],60),""))</f>
      </c>
      <c r="S67" s="64" t="str">
        <f>IF($A67="","",IF(AND(INDEX(TblTareas[Activa],60)=1,S$7&gt;=INDEX(TblTareas[Semana],60),S$7&lt;INDEX(TblTareas[Semana],60)+INDEX(TblTareas[Duracion],60)),INDEX(TblTareas[Horas],60)/INDEX(TblTareas[Duracion],60),""))</f>
      </c>
      <c r="T67" s="64" t="str">
        <f>IF($A67="","",IF(AND(INDEX(TblTareas[Activa],60)=1,T$7&gt;=INDEX(TblTareas[Semana],60),T$7&lt;INDEX(TblTareas[Semana],60)+INDEX(TblTareas[Duracion],60)),INDEX(TblTareas[Horas],60)/INDEX(TblTareas[Duracion],60),""))</f>
      </c>
    </row>
    <row r="68" ht="34" customHeight="1">
      <c r="A68" s="62" t="str">
        <f>IFERROR(IF(INDEX(TblTareas[ID],61)="","",INDEX(TblTareas[ID],61)),"")</f>
      </c>
      <c r="B68" s="62" t="str">
        <f>IF($A68="","",IFERROR(INDEX(TblTareas[Responsable],61),""))</f>
      </c>
      <c r="C68" s="62" t="str">
        <f>IF($A68="","",IFERROR(INDEX(TblTareas[Trabajo],61),""))</f>
      </c>
      <c r="D68" s="62" t="str">
        <f>IF($A68="","",IFERROR(INDEX(TblTareas[Estado],61),""))</f>
      </c>
      <c r="E68" s="64" t="str">
        <f>IF($A68="","",IF(AND(INDEX(TblTareas[Activa],61)=1,E$7&gt;=INDEX(TblTareas[Semana],61),E$7&lt;INDEX(TblTareas[Semana],61)+INDEX(TblTareas[Duracion],61)),INDEX(TblTareas[Horas],61)/INDEX(TblTareas[Duracion],61),""))</f>
      </c>
      <c r="F68" s="64" t="str">
        <f>IF($A68="","",IF(AND(INDEX(TblTareas[Activa],61)=1,F$7&gt;=INDEX(TblTareas[Semana],61),F$7&lt;INDEX(TblTareas[Semana],61)+INDEX(TblTareas[Duracion],61)),INDEX(TblTareas[Horas],61)/INDEX(TblTareas[Duracion],61),""))</f>
      </c>
      <c r="G68" s="64" t="str">
        <f>IF($A68="","",IF(AND(INDEX(TblTareas[Activa],61)=1,G$7&gt;=INDEX(TblTareas[Semana],61),G$7&lt;INDEX(TblTareas[Semana],61)+INDEX(TblTareas[Duracion],61)),INDEX(TblTareas[Horas],61)/INDEX(TblTareas[Duracion],61),""))</f>
      </c>
      <c r="H68" s="64" t="str">
        <f>IF($A68="","",IF(AND(INDEX(TblTareas[Activa],61)=1,H$7&gt;=INDEX(TblTareas[Semana],61),H$7&lt;INDEX(TblTareas[Semana],61)+INDEX(TblTareas[Duracion],61)),INDEX(TblTareas[Horas],61)/INDEX(TblTareas[Duracion],61),""))</f>
      </c>
      <c r="I68" s="64" t="str">
        <f>IF($A68="","",IF(AND(INDEX(TblTareas[Activa],61)=1,I$7&gt;=INDEX(TblTareas[Semana],61),I$7&lt;INDEX(TblTareas[Semana],61)+INDEX(TblTareas[Duracion],61)),INDEX(TblTareas[Horas],61)/INDEX(TblTareas[Duracion],61),""))</f>
      </c>
      <c r="J68" s="64" t="str">
        <f>IF($A68="","",IF(AND(INDEX(TblTareas[Activa],61)=1,J$7&gt;=INDEX(TblTareas[Semana],61),J$7&lt;INDEX(TblTareas[Semana],61)+INDEX(TblTareas[Duracion],61)),INDEX(TblTareas[Horas],61)/INDEX(TblTareas[Duracion],61),""))</f>
      </c>
      <c r="K68" s="64" t="str">
        <f>IF($A68="","",IF(AND(INDEX(TblTareas[Activa],61)=1,K$7&gt;=INDEX(TblTareas[Semana],61),K$7&lt;INDEX(TblTareas[Semana],61)+INDEX(TblTareas[Duracion],61)),INDEX(TblTareas[Horas],61)/INDEX(TblTareas[Duracion],61),""))</f>
      </c>
      <c r="L68" s="64" t="str">
        <f>IF($A68="","",IF(AND(INDEX(TblTareas[Activa],61)=1,L$7&gt;=INDEX(TblTareas[Semana],61),L$7&lt;INDEX(TblTareas[Semana],61)+INDEX(TblTareas[Duracion],61)),INDEX(TblTareas[Horas],61)/INDEX(TblTareas[Duracion],61),""))</f>
      </c>
      <c r="M68" s="64" t="str">
        <f>IF($A68="","",IF(AND(INDEX(TblTareas[Activa],61)=1,M$7&gt;=INDEX(TblTareas[Semana],61),M$7&lt;INDEX(TblTareas[Semana],61)+INDEX(TblTareas[Duracion],61)),INDEX(TblTareas[Horas],61)/INDEX(TblTareas[Duracion],61),""))</f>
      </c>
      <c r="N68" s="64" t="str">
        <f>IF($A68="","",IF(AND(INDEX(TblTareas[Activa],61)=1,N$7&gt;=INDEX(TblTareas[Semana],61),N$7&lt;INDEX(TblTareas[Semana],61)+INDEX(TblTareas[Duracion],61)),INDEX(TblTareas[Horas],61)/INDEX(TblTareas[Duracion],61),""))</f>
      </c>
      <c r="O68" s="64" t="str">
        <f>IF($A68="","",IF(AND(INDEX(TblTareas[Activa],61)=1,O$7&gt;=INDEX(TblTareas[Semana],61),O$7&lt;INDEX(TblTareas[Semana],61)+INDEX(TblTareas[Duracion],61)),INDEX(TblTareas[Horas],61)/INDEX(TblTareas[Duracion],61),""))</f>
      </c>
      <c r="P68" s="64" t="str">
        <f>IF($A68="","",IF(AND(INDEX(TblTareas[Activa],61)=1,P$7&gt;=INDEX(TblTareas[Semana],61),P$7&lt;INDEX(TblTareas[Semana],61)+INDEX(TblTareas[Duracion],61)),INDEX(TblTareas[Horas],61)/INDEX(TblTareas[Duracion],61),""))</f>
      </c>
      <c r="Q68" s="64" t="str">
        <f>IF($A68="","",IF(AND(INDEX(TblTareas[Activa],61)=1,Q$7&gt;=INDEX(TblTareas[Semana],61),Q$7&lt;INDEX(TblTareas[Semana],61)+INDEX(TblTareas[Duracion],61)),INDEX(TblTareas[Horas],61)/INDEX(TblTareas[Duracion],61),""))</f>
      </c>
      <c r="R68" s="64" t="str">
        <f>IF($A68="","",IF(AND(INDEX(TblTareas[Activa],61)=1,R$7&gt;=INDEX(TblTareas[Semana],61),R$7&lt;INDEX(TblTareas[Semana],61)+INDEX(TblTareas[Duracion],61)),INDEX(TblTareas[Horas],61)/INDEX(TblTareas[Duracion],61),""))</f>
      </c>
      <c r="S68" s="64" t="str">
        <f>IF($A68="","",IF(AND(INDEX(TblTareas[Activa],61)=1,S$7&gt;=INDEX(TblTareas[Semana],61),S$7&lt;INDEX(TblTareas[Semana],61)+INDEX(TblTareas[Duracion],61)),INDEX(TblTareas[Horas],61)/INDEX(TblTareas[Duracion],61),""))</f>
      </c>
      <c r="T68" s="64" t="str">
        <f>IF($A68="","",IF(AND(INDEX(TblTareas[Activa],61)=1,T$7&gt;=INDEX(TblTareas[Semana],61),T$7&lt;INDEX(TblTareas[Semana],61)+INDEX(TblTareas[Duracion],61)),INDEX(TblTareas[Horas],61)/INDEX(TblTareas[Duracion],61),""))</f>
      </c>
    </row>
    <row r="69" ht="34" customHeight="1">
      <c r="A69" s="62" t="str">
        <f>IFERROR(IF(INDEX(TblTareas[ID],62)="","",INDEX(TblTareas[ID],62)),"")</f>
      </c>
      <c r="B69" s="62" t="str">
        <f>IF($A69="","",IFERROR(INDEX(TblTareas[Responsable],62),""))</f>
      </c>
      <c r="C69" s="62" t="str">
        <f>IF($A69="","",IFERROR(INDEX(TblTareas[Trabajo],62),""))</f>
      </c>
      <c r="D69" s="62" t="str">
        <f>IF($A69="","",IFERROR(INDEX(TblTareas[Estado],62),""))</f>
      </c>
      <c r="E69" s="64" t="str">
        <f>IF($A69="","",IF(AND(INDEX(TblTareas[Activa],62)=1,E$7&gt;=INDEX(TblTareas[Semana],62),E$7&lt;INDEX(TblTareas[Semana],62)+INDEX(TblTareas[Duracion],62)),INDEX(TblTareas[Horas],62)/INDEX(TblTareas[Duracion],62),""))</f>
      </c>
      <c r="F69" s="64" t="str">
        <f>IF($A69="","",IF(AND(INDEX(TblTareas[Activa],62)=1,F$7&gt;=INDEX(TblTareas[Semana],62),F$7&lt;INDEX(TblTareas[Semana],62)+INDEX(TblTareas[Duracion],62)),INDEX(TblTareas[Horas],62)/INDEX(TblTareas[Duracion],62),""))</f>
      </c>
      <c r="G69" s="64" t="str">
        <f>IF($A69="","",IF(AND(INDEX(TblTareas[Activa],62)=1,G$7&gt;=INDEX(TblTareas[Semana],62),G$7&lt;INDEX(TblTareas[Semana],62)+INDEX(TblTareas[Duracion],62)),INDEX(TblTareas[Horas],62)/INDEX(TblTareas[Duracion],62),""))</f>
      </c>
      <c r="H69" s="64" t="str">
        <f>IF($A69="","",IF(AND(INDEX(TblTareas[Activa],62)=1,H$7&gt;=INDEX(TblTareas[Semana],62),H$7&lt;INDEX(TblTareas[Semana],62)+INDEX(TblTareas[Duracion],62)),INDEX(TblTareas[Horas],62)/INDEX(TblTareas[Duracion],62),""))</f>
      </c>
      <c r="I69" s="64" t="str">
        <f>IF($A69="","",IF(AND(INDEX(TblTareas[Activa],62)=1,I$7&gt;=INDEX(TblTareas[Semana],62),I$7&lt;INDEX(TblTareas[Semana],62)+INDEX(TblTareas[Duracion],62)),INDEX(TblTareas[Horas],62)/INDEX(TblTareas[Duracion],62),""))</f>
      </c>
      <c r="J69" s="64" t="str">
        <f>IF($A69="","",IF(AND(INDEX(TblTareas[Activa],62)=1,J$7&gt;=INDEX(TblTareas[Semana],62),J$7&lt;INDEX(TblTareas[Semana],62)+INDEX(TblTareas[Duracion],62)),INDEX(TblTareas[Horas],62)/INDEX(TblTareas[Duracion],62),""))</f>
      </c>
      <c r="K69" s="64" t="str">
        <f>IF($A69="","",IF(AND(INDEX(TblTareas[Activa],62)=1,K$7&gt;=INDEX(TblTareas[Semana],62),K$7&lt;INDEX(TblTareas[Semana],62)+INDEX(TblTareas[Duracion],62)),INDEX(TblTareas[Horas],62)/INDEX(TblTareas[Duracion],62),""))</f>
      </c>
      <c r="L69" s="64" t="str">
        <f>IF($A69="","",IF(AND(INDEX(TblTareas[Activa],62)=1,L$7&gt;=INDEX(TblTareas[Semana],62),L$7&lt;INDEX(TblTareas[Semana],62)+INDEX(TblTareas[Duracion],62)),INDEX(TblTareas[Horas],62)/INDEX(TblTareas[Duracion],62),""))</f>
      </c>
      <c r="M69" s="64" t="str">
        <f>IF($A69="","",IF(AND(INDEX(TblTareas[Activa],62)=1,M$7&gt;=INDEX(TblTareas[Semana],62),M$7&lt;INDEX(TblTareas[Semana],62)+INDEX(TblTareas[Duracion],62)),INDEX(TblTareas[Horas],62)/INDEX(TblTareas[Duracion],62),""))</f>
      </c>
      <c r="N69" s="64" t="str">
        <f>IF($A69="","",IF(AND(INDEX(TblTareas[Activa],62)=1,N$7&gt;=INDEX(TblTareas[Semana],62),N$7&lt;INDEX(TblTareas[Semana],62)+INDEX(TblTareas[Duracion],62)),INDEX(TblTareas[Horas],62)/INDEX(TblTareas[Duracion],62),""))</f>
      </c>
      <c r="O69" s="64" t="str">
        <f>IF($A69="","",IF(AND(INDEX(TblTareas[Activa],62)=1,O$7&gt;=INDEX(TblTareas[Semana],62),O$7&lt;INDEX(TblTareas[Semana],62)+INDEX(TblTareas[Duracion],62)),INDEX(TblTareas[Horas],62)/INDEX(TblTareas[Duracion],62),""))</f>
      </c>
      <c r="P69" s="64" t="str">
        <f>IF($A69="","",IF(AND(INDEX(TblTareas[Activa],62)=1,P$7&gt;=INDEX(TblTareas[Semana],62),P$7&lt;INDEX(TblTareas[Semana],62)+INDEX(TblTareas[Duracion],62)),INDEX(TblTareas[Horas],62)/INDEX(TblTareas[Duracion],62),""))</f>
      </c>
      <c r="Q69" s="64" t="str">
        <f>IF($A69="","",IF(AND(INDEX(TblTareas[Activa],62)=1,Q$7&gt;=INDEX(TblTareas[Semana],62),Q$7&lt;INDEX(TblTareas[Semana],62)+INDEX(TblTareas[Duracion],62)),INDEX(TblTareas[Horas],62)/INDEX(TblTareas[Duracion],62),""))</f>
      </c>
      <c r="R69" s="64" t="str">
        <f>IF($A69="","",IF(AND(INDEX(TblTareas[Activa],62)=1,R$7&gt;=INDEX(TblTareas[Semana],62),R$7&lt;INDEX(TblTareas[Semana],62)+INDEX(TblTareas[Duracion],62)),INDEX(TblTareas[Horas],62)/INDEX(TblTareas[Duracion],62),""))</f>
      </c>
      <c r="S69" s="64" t="str">
        <f>IF($A69="","",IF(AND(INDEX(TblTareas[Activa],62)=1,S$7&gt;=INDEX(TblTareas[Semana],62),S$7&lt;INDEX(TblTareas[Semana],62)+INDEX(TblTareas[Duracion],62)),INDEX(TblTareas[Horas],62)/INDEX(TblTareas[Duracion],62),""))</f>
      </c>
      <c r="T69" s="64" t="str">
        <f>IF($A69="","",IF(AND(INDEX(TblTareas[Activa],62)=1,T$7&gt;=INDEX(TblTareas[Semana],62),T$7&lt;INDEX(TblTareas[Semana],62)+INDEX(TblTareas[Duracion],62)),INDEX(TblTareas[Horas],62)/INDEX(TblTareas[Duracion],62),""))</f>
      </c>
    </row>
    <row r="70" ht="34" customHeight="1">
      <c r="A70" s="62" t="str">
        <f>IFERROR(IF(INDEX(TblTareas[ID],63)="","",INDEX(TblTareas[ID],63)),"")</f>
      </c>
      <c r="B70" s="62" t="str">
        <f>IF($A70="","",IFERROR(INDEX(TblTareas[Responsable],63),""))</f>
      </c>
      <c r="C70" s="62" t="str">
        <f>IF($A70="","",IFERROR(INDEX(TblTareas[Trabajo],63),""))</f>
      </c>
      <c r="D70" s="62" t="str">
        <f>IF($A70="","",IFERROR(INDEX(TblTareas[Estado],63),""))</f>
      </c>
      <c r="E70" s="64" t="str">
        <f>IF($A70="","",IF(AND(INDEX(TblTareas[Activa],63)=1,E$7&gt;=INDEX(TblTareas[Semana],63),E$7&lt;INDEX(TblTareas[Semana],63)+INDEX(TblTareas[Duracion],63)),INDEX(TblTareas[Horas],63)/INDEX(TblTareas[Duracion],63),""))</f>
      </c>
      <c r="F70" s="64" t="str">
        <f>IF($A70="","",IF(AND(INDEX(TblTareas[Activa],63)=1,F$7&gt;=INDEX(TblTareas[Semana],63),F$7&lt;INDEX(TblTareas[Semana],63)+INDEX(TblTareas[Duracion],63)),INDEX(TblTareas[Horas],63)/INDEX(TblTareas[Duracion],63),""))</f>
      </c>
      <c r="G70" s="64" t="str">
        <f>IF($A70="","",IF(AND(INDEX(TblTareas[Activa],63)=1,G$7&gt;=INDEX(TblTareas[Semana],63),G$7&lt;INDEX(TblTareas[Semana],63)+INDEX(TblTareas[Duracion],63)),INDEX(TblTareas[Horas],63)/INDEX(TblTareas[Duracion],63),""))</f>
      </c>
      <c r="H70" s="64" t="str">
        <f>IF($A70="","",IF(AND(INDEX(TblTareas[Activa],63)=1,H$7&gt;=INDEX(TblTareas[Semana],63),H$7&lt;INDEX(TblTareas[Semana],63)+INDEX(TblTareas[Duracion],63)),INDEX(TblTareas[Horas],63)/INDEX(TblTareas[Duracion],63),""))</f>
      </c>
      <c r="I70" s="64" t="str">
        <f>IF($A70="","",IF(AND(INDEX(TblTareas[Activa],63)=1,I$7&gt;=INDEX(TblTareas[Semana],63),I$7&lt;INDEX(TblTareas[Semana],63)+INDEX(TblTareas[Duracion],63)),INDEX(TblTareas[Horas],63)/INDEX(TblTareas[Duracion],63),""))</f>
      </c>
      <c r="J70" s="64" t="str">
        <f>IF($A70="","",IF(AND(INDEX(TblTareas[Activa],63)=1,J$7&gt;=INDEX(TblTareas[Semana],63),J$7&lt;INDEX(TblTareas[Semana],63)+INDEX(TblTareas[Duracion],63)),INDEX(TblTareas[Horas],63)/INDEX(TblTareas[Duracion],63),""))</f>
      </c>
      <c r="K70" s="64" t="str">
        <f>IF($A70="","",IF(AND(INDEX(TblTareas[Activa],63)=1,K$7&gt;=INDEX(TblTareas[Semana],63),K$7&lt;INDEX(TblTareas[Semana],63)+INDEX(TblTareas[Duracion],63)),INDEX(TblTareas[Horas],63)/INDEX(TblTareas[Duracion],63),""))</f>
      </c>
      <c r="L70" s="64" t="str">
        <f>IF($A70="","",IF(AND(INDEX(TblTareas[Activa],63)=1,L$7&gt;=INDEX(TblTareas[Semana],63),L$7&lt;INDEX(TblTareas[Semana],63)+INDEX(TblTareas[Duracion],63)),INDEX(TblTareas[Horas],63)/INDEX(TblTareas[Duracion],63),""))</f>
      </c>
      <c r="M70" s="64" t="str">
        <f>IF($A70="","",IF(AND(INDEX(TblTareas[Activa],63)=1,M$7&gt;=INDEX(TblTareas[Semana],63),M$7&lt;INDEX(TblTareas[Semana],63)+INDEX(TblTareas[Duracion],63)),INDEX(TblTareas[Horas],63)/INDEX(TblTareas[Duracion],63),""))</f>
      </c>
      <c r="N70" s="64" t="str">
        <f>IF($A70="","",IF(AND(INDEX(TblTareas[Activa],63)=1,N$7&gt;=INDEX(TblTareas[Semana],63),N$7&lt;INDEX(TblTareas[Semana],63)+INDEX(TblTareas[Duracion],63)),INDEX(TblTareas[Horas],63)/INDEX(TblTareas[Duracion],63),""))</f>
      </c>
      <c r="O70" s="64" t="str">
        <f>IF($A70="","",IF(AND(INDEX(TblTareas[Activa],63)=1,O$7&gt;=INDEX(TblTareas[Semana],63),O$7&lt;INDEX(TblTareas[Semana],63)+INDEX(TblTareas[Duracion],63)),INDEX(TblTareas[Horas],63)/INDEX(TblTareas[Duracion],63),""))</f>
      </c>
      <c r="P70" s="64" t="str">
        <f>IF($A70="","",IF(AND(INDEX(TblTareas[Activa],63)=1,P$7&gt;=INDEX(TblTareas[Semana],63),P$7&lt;INDEX(TblTareas[Semana],63)+INDEX(TblTareas[Duracion],63)),INDEX(TblTareas[Horas],63)/INDEX(TblTareas[Duracion],63),""))</f>
      </c>
      <c r="Q70" s="64" t="str">
        <f>IF($A70="","",IF(AND(INDEX(TblTareas[Activa],63)=1,Q$7&gt;=INDEX(TblTareas[Semana],63),Q$7&lt;INDEX(TblTareas[Semana],63)+INDEX(TblTareas[Duracion],63)),INDEX(TblTareas[Horas],63)/INDEX(TblTareas[Duracion],63),""))</f>
      </c>
      <c r="R70" s="64" t="str">
        <f>IF($A70="","",IF(AND(INDEX(TblTareas[Activa],63)=1,R$7&gt;=INDEX(TblTareas[Semana],63),R$7&lt;INDEX(TblTareas[Semana],63)+INDEX(TblTareas[Duracion],63)),INDEX(TblTareas[Horas],63)/INDEX(TblTareas[Duracion],63),""))</f>
      </c>
      <c r="S70" s="64" t="str">
        <f>IF($A70="","",IF(AND(INDEX(TblTareas[Activa],63)=1,S$7&gt;=INDEX(TblTareas[Semana],63),S$7&lt;INDEX(TblTareas[Semana],63)+INDEX(TblTareas[Duracion],63)),INDEX(TblTareas[Horas],63)/INDEX(TblTareas[Duracion],63),""))</f>
      </c>
      <c r="T70" s="64" t="str">
        <f>IF($A70="","",IF(AND(INDEX(TblTareas[Activa],63)=1,T$7&gt;=INDEX(TblTareas[Semana],63),T$7&lt;INDEX(TblTareas[Semana],63)+INDEX(TblTareas[Duracion],63)),INDEX(TblTareas[Horas],63)/INDEX(TblTareas[Duracion],63),""))</f>
      </c>
    </row>
    <row r="71" ht="34" customHeight="1">
      <c r="A71" s="62" t="str">
        <f>IFERROR(IF(INDEX(TblTareas[ID],64)="","",INDEX(TblTareas[ID],64)),"")</f>
      </c>
      <c r="B71" s="62" t="str">
        <f>IF($A71="","",IFERROR(INDEX(TblTareas[Responsable],64),""))</f>
      </c>
      <c r="C71" s="62" t="str">
        <f>IF($A71="","",IFERROR(INDEX(TblTareas[Trabajo],64),""))</f>
      </c>
      <c r="D71" s="62" t="str">
        <f>IF($A71="","",IFERROR(INDEX(TblTareas[Estado],64),""))</f>
      </c>
      <c r="E71" s="64" t="str">
        <f>IF($A71="","",IF(AND(INDEX(TblTareas[Activa],64)=1,E$7&gt;=INDEX(TblTareas[Semana],64),E$7&lt;INDEX(TblTareas[Semana],64)+INDEX(TblTareas[Duracion],64)),INDEX(TblTareas[Horas],64)/INDEX(TblTareas[Duracion],64),""))</f>
      </c>
      <c r="F71" s="64" t="str">
        <f>IF($A71="","",IF(AND(INDEX(TblTareas[Activa],64)=1,F$7&gt;=INDEX(TblTareas[Semana],64),F$7&lt;INDEX(TblTareas[Semana],64)+INDEX(TblTareas[Duracion],64)),INDEX(TblTareas[Horas],64)/INDEX(TblTareas[Duracion],64),""))</f>
      </c>
      <c r="G71" s="64" t="str">
        <f>IF($A71="","",IF(AND(INDEX(TblTareas[Activa],64)=1,G$7&gt;=INDEX(TblTareas[Semana],64),G$7&lt;INDEX(TblTareas[Semana],64)+INDEX(TblTareas[Duracion],64)),INDEX(TblTareas[Horas],64)/INDEX(TblTareas[Duracion],64),""))</f>
      </c>
      <c r="H71" s="64" t="str">
        <f>IF($A71="","",IF(AND(INDEX(TblTareas[Activa],64)=1,H$7&gt;=INDEX(TblTareas[Semana],64),H$7&lt;INDEX(TblTareas[Semana],64)+INDEX(TblTareas[Duracion],64)),INDEX(TblTareas[Horas],64)/INDEX(TblTareas[Duracion],64),""))</f>
      </c>
      <c r="I71" s="64" t="str">
        <f>IF($A71="","",IF(AND(INDEX(TblTareas[Activa],64)=1,I$7&gt;=INDEX(TblTareas[Semana],64),I$7&lt;INDEX(TblTareas[Semana],64)+INDEX(TblTareas[Duracion],64)),INDEX(TblTareas[Horas],64)/INDEX(TblTareas[Duracion],64),""))</f>
      </c>
      <c r="J71" s="64" t="str">
        <f>IF($A71="","",IF(AND(INDEX(TblTareas[Activa],64)=1,J$7&gt;=INDEX(TblTareas[Semana],64),J$7&lt;INDEX(TblTareas[Semana],64)+INDEX(TblTareas[Duracion],64)),INDEX(TblTareas[Horas],64)/INDEX(TblTareas[Duracion],64),""))</f>
      </c>
      <c r="K71" s="64" t="str">
        <f>IF($A71="","",IF(AND(INDEX(TblTareas[Activa],64)=1,K$7&gt;=INDEX(TblTareas[Semana],64),K$7&lt;INDEX(TblTareas[Semana],64)+INDEX(TblTareas[Duracion],64)),INDEX(TblTareas[Horas],64)/INDEX(TblTareas[Duracion],64),""))</f>
      </c>
      <c r="L71" s="64" t="str">
        <f>IF($A71="","",IF(AND(INDEX(TblTareas[Activa],64)=1,L$7&gt;=INDEX(TblTareas[Semana],64),L$7&lt;INDEX(TblTareas[Semana],64)+INDEX(TblTareas[Duracion],64)),INDEX(TblTareas[Horas],64)/INDEX(TblTareas[Duracion],64),""))</f>
      </c>
      <c r="M71" s="64" t="str">
        <f>IF($A71="","",IF(AND(INDEX(TblTareas[Activa],64)=1,M$7&gt;=INDEX(TblTareas[Semana],64),M$7&lt;INDEX(TblTareas[Semana],64)+INDEX(TblTareas[Duracion],64)),INDEX(TblTareas[Horas],64)/INDEX(TblTareas[Duracion],64),""))</f>
      </c>
      <c r="N71" s="64" t="str">
        <f>IF($A71="","",IF(AND(INDEX(TblTareas[Activa],64)=1,N$7&gt;=INDEX(TblTareas[Semana],64),N$7&lt;INDEX(TblTareas[Semana],64)+INDEX(TblTareas[Duracion],64)),INDEX(TblTareas[Horas],64)/INDEX(TblTareas[Duracion],64),""))</f>
      </c>
      <c r="O71" s="64" t="str">
        <f>IF($A71="","",IF(AND(INDEX(TblTareas[Activa],64)=1,O$7&gt;=INDEX(TblTareas[Semana],64),O$7&lt;INDEX(TblTareas[Semana],64)+INDEX(TblTareas[Duracion],64)),INDEX(TblTareas[Horas],64)/INDEX(TblTareas[Duracion],64),""))</f>
      </c>
      <c r="P71" s="64" t="str">
        <f>IF($A71="","",IF(AND(INDEX(TblTareas[Activa],64)=1,P$7&gt;=INDEX(TblTareas[Semana],64),P$7&lt;INDEX(TblTareas[Semana],64)+INDEX(TblTareas[Duracion],64)),INDEX(TblTareas[Horas],64)/INDEX(TblTareas[Duracion],64),""))</f>
      </c>
      <c r="Q71" s="64" t="str">
        <f>IF($A71="","",IF(AND(INDEX(TblTareas[Activa],64)=1,Q$7&gt;=INDEX(TblTareas[Semana],64),Q$7&lt;INDEX(TblTareas[Semana],64)+INDEX(TblTareas[Duracion],64)),INDEX(TblTareas[Horas],64)/INDEX(TblTareas[Duracion],64),""))</f>
      </c>
      <c r="R71" s="64" t="str">
        <f>IF($A71="","",IF(AND(INDEX(TblTareas[Activa],64)=1,R$7&gt;=INDEX(TblTareas[Semana],64),R$7&lt;INDEX(TblTareas[Semana],64)+INDEX(TblTareas[Duracion],64)),INDEX(TblTareas[Horas],64)/INDEX(TblTareas[Duracion],64),""))</f>
      </c>
      <c r="S71" s="64" t="str">
        <f>IF($A71="","",IF(AND(INDEX(TblTareas[Activa],64)=1,S$7&gt;=INDEX(TblTareas[Semana],64),S$7&lt;INDEX(TblTareas[Semana],64)+INDEX(TblTareas[Duracion],64)),INDEX(TblTareas[Horas],64)/INDEX(TblTareas[Duracion],64),""))</f>
      </c>
      <c r="T71" s="64" t="str">
        <f>IF($A71="","",IF(AND(INDEX(TblTareas[Activa],64)=1,T$7&gt;=INDEX(TblTareas[Semana],64),T$7&lt;INDEX(TblTareas[Semana],64)+INDEX(TblTareas[Duracion],64)),INDEX(TblTareas[Horas],64)/INDEX(TblTareas[Duracion],64),""))</f>
      </c>
    </row>
    <row r="72" ht="34" customHeight="1">
      <c r="A72" s="62" t="str">
        <f>IFERROR(IF(INDEX(TblTareas[ID],65)="","",INDEX(TblTareas[ID],65)),"")</f>
      </c>
      <c r="B72" s="62" t="str">
        <f>IF($A72="","",IFERROR(INDEX(TblTareas[Responsable],65),""))</f>
      </c>
      <c r="C72" s="62" t="str">
        <f>IF($A72="","",IFERROR(INDEX(TblTareas[Trabajo],65),""))</f>
      </c>
      <c r="D72" s="62" t="str">
        <f>IF($A72="","",IFERROR(INDEX(TblTareas[Estado],65),""))</f>
      </c>
      <c r="E72" s="64" t="str">
        <f>IF($A72="","",IF(AND(INDEX(TblTareas[Activa],65)=1,E$7&gt;=INDEX(TblTareas[Semana],65),E$7&lt;INDEX(TblTareas[Semana],65)+INDEX(TblTareas[Duracion],65)),INDEX(TblTareas[Horas],65)/INDEX(TblTareas[Duracion],65),""))</f>
      </c>
      <c r="F72" s="64" t="str">
        <f>IF($A72="","",IF(AND(INDEX(TblTareas[Activa],65)=1,F$7&gt;=INDEX(TblTareas[Semana],65),F$7&lt;INDEX(TblTareas[Semana],65)+INDEX(TblTareas[Duracion],65)),INDEX(TblTareas[Horas],65)/INDEX(TblTareas[Duracion],65),""))</f>
      </c>
      <c r="G72" s="64" t="str">
        <f>IF($A72="","",IF(AND(INDEX(TblTareas[Activa],65)=1,G$7&gt;=INDEX(TblTareas[Semana],65),G$7&lt;INDEX(TblTareas[Semana],65)+INDEX(TblTareas[Duracion],65)),INDEX(TblTareas[Horas],65)/INDEX(TblTareas[Duracion],65),""))</f>
      </c>
      <c r="H72" s="64" t="str">
        <f>IF($A72="","",IF(AND(INDEX(TblTareas[Activa],65)=1,H$7&gt;=INDEX(TblTareas[Semana],65),H$7&lt;INDEX(TblTareas[Semana],65)+INDEX(TblTareas[Duracion],65)),INDEX(TblTareas[Horas],65)/INDEX(TblTareas[Duracion],65),""))</f>
      </c>
      <c r="I72" s="64" t="str">
        <f>IF($A72="","",IF(AND(INDEX(TblTareas[Activa],65)=1,I$7&gt;=INDEX(TblTareas[Semana],65),I$7&lt;INDEX(TblTareas[Semana],65)+INDEX(TblTareas[Duracion],65)),INDEX(TblTareas[Horas],65)/INDEX(TblTareas[Duracion],65),""))</f>
      </c>
      <c r="J72" s="64" t="str">
        <f>IF($A72="","",IF(AND(INDEX(TblTareas[Activa],65)=1,J$7&gt;=INDEX(TblTareas[Semana],65),J$7&lt;INDEX(TblTareas[Semana],65)+INDEX(TblTareas[Duracion],65)),INDEX(TblTareas[Horas],65)/INDEX(TblTareas[Duracion],65),""))</f>
      </c>
      <c r="K72" s="64" t="str">
        <f>IF($A72="","",IF(AND(INDEX(TblTareas[Activa],65)=1,K$7&gt;=INDEX(TblTareas[Semana],65),K$7&lt;INDEX(TblTareas[Semana],65)+INDEX(TblTareas[Duracion],65)),INDEX(TblTareas[Horas],65)/INDEX(TblTareas[Duracion],65),""))</f>
      </c>
      <c r="L72" s="64" t="str">
        <f>IF($A72="","",IF(AND(INDEX(TblTareas[Activa],65)=1,L$7&gt;=INDEX(TblTareas[Semana],65),L$7&lt;INDEX(TblTareas[Semana],65)+INDEX(TblTareas[Duracion],65)),INDEX(TblTareas[Horas],65)/INDEX(TblTareas[Duracion],65),""))</f>
      </c>
      <c r="M72" s="64" t="str">
        <f>IF($A72="","",IF(AND(INDEX(TblTareas[Activa],65)=1,M$7&gt;=INDEX(TblTareas[Semana],65),M$7&lt;INDEX(TblTareas[Semana],65)+INDEX(TblTareas[Duracion],65)),INDEX(TblTareas[Horas],65)/INDEX(TblTareas[Duracion],65),""))</f>
      </c>
      <c r="N72" s="64" t="str">
        <f>IF($A72="","",IF(AND(INDEX(TblTareas[Activa],65)=1,N$7&gt;=INDEX(TblTareas[Semana],65),N$7&lt;INDEX(TblTareas[Semana],65)+INDEX(TblTareas[Duracion],65)),INDEX(TblTareas[Horas],65)/INDEX(TblTareas[Duracion],65),""))</f>
      </c>
      <c r="O72" s="64" t="str">
        <f>IF($A72="","",IF(AND(INDEX(TblTareas[Activa],65)=1,O$7&gt;=INDEX(TblTareas[Semana],65),O$7&lt;INDEX(TblTareas[Semana],65)+INDEX(TblTareas[Duracion],65)),INDEX(TblTareas[Horas],65)/INDEX(TblTareas[Duracion],65),""))</f>
      </c>
      <c r="P72" s="64" t="str">
        <f>IF($A72="","",IF(AND(INDEX(TblTareas[Activa],65)=1,P$7&gt;=INDEX(TblTareas[Semana],65),P$7&lt;INDEX(TblTareas[Semana],65)+INDEX(TblTareas[Duracion],65)),INDEX(TblTareas[Horas],65)/INDEX(TblTareas[Duracion],65),""))</f>
      </c>
      <c r="Q72" s="64" t="str">
        <f>IF($A72="","",IF(AND(INDEX(TblTareas[Activa],65)=1,Q$7&gt;=INDEX(TblTareas[Semana],65),Q$7&lt;INDEX(TblTareas[Semana],65)+INDEX(TblTareas[Duracion],65)),INDEX(TblTareas[Horas],65)/INDEX(TblTareas[Duracion],65),""))</f>
      </c>
      <c r="R72" s="64" t="str">
        <f>IF($A72="","",IF(AND(INDEX(TblTareas[Activa],65)=1,R$7&gt;=INDEX(TblTareas[Semana],65),R$7&lt;INDEX(TblTareas[Semana],65)+INDEX(TblTareas[Duracion],65)),INDEX(TblTareas[Horas],65)/INDEX(TblTareas[Duracion],65),""))</f>
      </c>
      <c r="S72" s="64" t="str">
        <f>IF($A72="","",IF(AND(INDEX(TblTareas[Activa],65)=1,S$7&gt;=INDEX(TblTareas[Semana],65),S$7&lt;INDEX(TblTareas[Semana],65)+INDEX(TblTareas[Duracion],65)),INDEX(TblTareas[Horas],65)/INDEX(TblTareas[Duracion],65),""))</f>
      </c>
      <c r="T72" s="64" t="str">
        <f>IF($A72="","",IF(AND(INDEX(TblTareas[Activa],65)=1,T$7&gt;=INDEX(TblTareas[Semana],65),T$7&lt;INDEX(TblTareas[Semana],65)+INDEX(TblTareas[Duracion],65)),INDEX(TblTareas[Horas],65)/INDEX(TblTareas[Duracion],65),""))</f>
      </c>
    </row>
    <row r="73" ht="34" customHeight="1">
      <c r="A73" s="62" t="str">
        <f>IFERROR(IF(INDEX(TblTareas[ID],66)="","",INDEX(TblTareas[ID],66)),"")</f>
      </c>
      <c r="B73" s="62" t="str">
        <f>IF($A73="","",IFERROR(INDEX(TblTareas[Responsable],66),""))</f>
      </c>
      <c r="C73" s="62" t="str">
        <f>IF($A73="","",IFERROR(INDEX(TblTareas[Trabajo],66),""))</f>
      </c>
      <c r="D73" s="62" t="str">
        <f>IF($A73="","",IFERROR(INDEX(TblTareas[Estado],66),""))</f>
      </c>
      <c r="E73" s="64" t="str">
        <f>IF($A73="","",IF(AND(INDEX(TblTareas[Activa],66)=1,E$7&gt;=INDEX(TblTareas[Semana],66),E$7&lt;INDEX(TblTareas[Semana],66)+INDEX(TblTareas[Duracion],66)),INDEX(TblTareas[Horas],66)/INDEX(TblTareas[Duracion],66),""))</f>
      </c>
      <c r="F73" s="64" t="str">
        <f>IF($A73="","",IF(AND(INDEX(TblTareas[Activa],66)=1,F$7&gt;=INDEX(TblTareas[Semana],66),F$7&lt;INDEX(TblTareas[Semana],66)+INDEX(TblTareas[Duracion],66)),INDEX(TblTareas[Horas],66)/INDEX(TblTareas[Duracion],66),""))</f>
      </c>
      <c r="G73" s="64" t="str">
        <f>IF($A73="","",IF(AND(INDEX(TblTareas[Activa],66)=1,G$7&gt;=INDEX(TblTareas[Semana],66),G$7&lt;INDEX(TblTareas[Semana],66)+INDEX(TblTareas[Duracion],66)),INDEX(TblTareas[Horas],66)/INDEX(TblTareas[Duracion],66),""))</f>
      </c>
      <c r="H73" s="64" t="str">
        <f>IF($A73="","",IF(AND(INDEX(TblTareas[Activa],66)=1,H$7&gt;=INDEX(TblTareas[Semana],66),H$7&lt;INDEX(TblTareas[Semana],66)+INDEX(TblTareas[Duracion],66)),INDEX(TblTareas[Horas],66)/INDEX(TblTareas[Duracion],66),""))</f>
      </c>
      <c r="I73" s="64" t="str">
        <f>IF($A73="","",IF(AND(INDEX(TblTareas[Activa],66)=1,I$7&gt;=INDEX(TblTareas[Semana],66),I$7&lt;INDEX(TblTareas[Semana],66)+INDEX(TblTareas[Duracion],66)),INDEX(TblTareas[Horas],66)/INDEX(TblTareas[Duracion],66),""))</f>
      </c>
      <c r="J73" s="64" t="str">
        <f>IF($A73="","",IF(AND(INDEX(TblTareas[Activa],66)=1,J$7&gt;=INDEX(TblTareas[Semana],66),J$7&lt;INDEX(TblTareas[Semana],66)+INDEX(TblTareas[Duracion],66)),INDEX(TblTareas[Horas],66)/INDEX(TblTareas[Duracion],66),""))</f>
      </c>
      <c r="K73" s="64" t="str">
        <f>IF($A73="","",IF(AND(INDEX(TblTareas[Activa],66)=1,K$7&gt;=INDEX(TblTareas[Semana],66),K$7&lt;INDEX(TblTareas[Semana],66)+INDEX(TblTareas[Duracion],66)),INDEX(TblTareas[Horas],66)/INDEX(TblTareas[Duracion],66),""))</f>
      </c>
      <c r="L73" s="64" t="str">
        <f>IF($A73="","",IF(AND(INDEX(TblTareas[Activa],66)=1,L$7&gt;=INDEX(TblTareas[Semana],66),L$7&lt;INDEX(TblTareas[Semana],66)+INDEX(TblTareas[Duracion],66)),INDEX(TblTareas[Horas],66)/INDEX(TblTareas[Duracion],66),""))</f>
      </c>
      <c r="M73" s="64" t="str">
        <f>IF($A73="","",IF(AND(INDEX(TblTareas[Activa],66)=1,M$7&gt;=INDEX(TblTareas[Semana],66),M$7&lt;INDEX(TblTareas[Semana],66)+INDEX(TblTareas[Duracion],66)),INDEX(TblTareas[Horas],66)/INDEX(TblTareas[Duracion],66),""))</f>
      </c>
      <c r="N73" s="64" t="str">
        <f>IF($A73="","",IF(AND(INDEX(TblTareas[Activa],66)=1,N$7&gt;=INDEX(TblTareas[Semana],66),N$7&lt;INDEX(TblTareas[Semana],66)+INDEX(TblTareas[Duracion],66)),INDEX(TblTareas[Horas],66)/INDEX(TblTareas[Duracion],66),""))</f>
      </c>
      <c r="O73" s="64" t="str">
        <f>IF($A73="","",IF(AND(INDEX(TblTareas[Activa],66)=1,O$7&gt;=INDEX(TblTareas[Semana],66),O$7&lt;INDEX(TblTareas[Semana],66)+INDEX(TblTareas[Duracion],66)),INDEX(TblTareas[Horas],66)/INDEX(TblTareas[Duracion],66),""))</f>
      </c>
      <c r="P73" s="64" t="str">
        <f>IF($A73="","",IF(AND(INDEX(TblTareas[Activa],66)=1,P$7&gt;=INDEX(TblTareas[Semana],66),P$7&lt;INDEX(TblTareas[Semana],66)+INDEX(TblTareas[Duracion],66)),INDEX(TblTareas[Horas],66)/INDEX(TblTareas[Duracion],66),""))</f>
      </c>
      <c r="Q73" s="64" t="str">
        <f>IF($A73="","",IF(AND(INDEX(TblTareas[Activa],66)=1,Q$7&gt;=INDEX(TblTareas[Semana],66),Q$7&lt;INDEX(TblTareas[Semana],66)+INDEX(TblTareas[Duracion],66)),INDEX(TblTareas[Horas],66)/INDEX(TblTareas[Duracion],66),""))</f>
      </c>
      <c r="R73" s="64" t="str">
        <f>IF($A73="","",IF(AND(INDEX(TblTareas[Activa],66)=1,R$7&gt;=INDEX(TblTareas[Semana],66),R$7&lt;INDEX(TblTareas[Semana],66)+INDEX(TblTareas[Duracion],66)),INDEX(TblTareas[Horas],66)/INDEX(TblTareas[Duracion],66),""))</f>
      </c>
      <c r="S73" s="64" t="str">
        <f>IF($A73="","",IF(AND(INDEX(TblTareas[Activa],66)=1,S$7&gt;=INDEX(TblTareas[Semana],66),S$7&lt;INDEX(TblTareas[Semana],66)+INDEX(TblTareas[Duracion],66)),INDEX(TblTareas[Horas],66)/INDEX(TblTareas[Duracion],66),""))</f>
      </c>
      <c r="T73" s="64" t="str">
        <f>IF($A73="","",IF(AND(INDEX(TblTareas[Activa],66)=1,T$7&gt;=INDEX(TblTareas[Semana],66),T$7&lt;INDEX(TblTareas[Semana],66)+INDEX(TblTareas[Duracion],66)),INDEX(TblTareas[Horas],66)/INDEX(TblTareas[Duracion],66),""))</f>
      </c>
    </row>
    <row r="74" ht="34" customHeight="1">
      <c r="A74" s="62" t="str">
        <f>IFERROR(IF(INDEX(TblTareas[ID],67)="","",INDEX(TblTareas[ID],67)),"")</f>
      </c>
      <c r="B74" s="62" t="str">
        <f>IF($A74="","",IFERROR(INDEX(TblTareas[Responsable],67),""))</f>
      </c>
      <c r="C74" s="62" t="str">
        <f>IF($A74="","",IFERROR(INDEX(TblTareas[Trabajo],67),""))</f>
      </c>
      <c r="D74" s="62" t="str">
        <f>IF($A74="","",IFERROR(INDEX(TblTareas[Estado],67),""))</f>
      </c>
      <c r="E74" s="64" t="str">
        <f>IF($A74="","",IF(AND(INDEX(TblTareas[Activa],67)=1,E$7&gt;=INDEX(TblTareas[Semana],67),E$7&lt;INDEX(TblTareas[Semana],67)+INDEX(TblTareas[Duracion],67)),INDEX(TblTareas[Horas],67)/INDEX(TblTareas[Duracion],67),""))</f>
      </c>
      <c r="F74" s="64" t="str">
        <f>IF($A74="","",IF(AND(INDEX(TblTareas[Activa],67)=1,F$7&gt;=INDEX(TblTareas[Semana],67),F$7&lt;INDEX(TblTareas[Semana],67)+INDEX(TblTareas[Duracion],67)),INDEX(TblTareas[Horas],67)/INDEX(TblTareas[Duracion],67),""))</f>
      </c>
      <c r="G74" s="64" t="str">
        <f>IF($A74="","",IF(AND(INDEX(TblTareas[Activa],67)=1,G$7&gt;=INDEX(TblTareas[Semana],67),G$7&lt;INDEX(TblTareas[Semana],67)+INDEX(TblTareas[Duracion],67)),INDEX(TblTareas[Horas],67)/INDEX(TblTareas[Duracion],67),""))</f>
      </c>
      <c r="H74" s="64" t="str">
        <f>IF($A74="","",IF(AND(INDEX(TblTareas[Activa],67)=1,H$7&gt;=INDEX(TblTareas[Semana],67),H$7&lt;INDEX(TblTareas[Semana],67)+INDEX(TblTareas[Duracion],67)),INDEX(TblTareas[Horas],67)/INDEX(TblTareas[Duracion],67),""))</f>
      </c>
      <c r="I74" s="64" t="str">
        <f>IF($A74="","",IF(AND(INDEX(TblTareas[Activa],67)=1,I$7&gt;=INDEX(TblTareas[Semana],67),I$7&lt;INDEX(TblTareas[Semana],67)+INDEX(TblTareas[Duracion],67)),INDEX(TblTareas[Horas],67)/INDEX(TblTareas[Duracion],67),""))</f>
      </c>
      <c r="J74" s="64" t="str">
        <f>IF($A74="","",IF(AND(INDEX(TblTareas[Activa],67)=1,J$7&gt;=INDEX(TblTareas[Semana],67),J$7&lt;INDEX(TblTareas[Semana],67)+INDEX(TblTareas[Duracion],67)),INDEX(TblTareas[Horas],67)/INDEX(TblTareas[Duracion],67),""))</f>
      </c>
      <c r="K74" s="64" t="str">
        <f>IF($A74="","",IF(AND(INDEX(TblTareas[Activa],67)=1,K$7&gt;=INDEX(TblTareas[Semana],67),K$7&lt;INDEX(TblTareas[Semana],67)+INDEX(TblTareas[Duracion],67)),INDEX(TblTareas[Horas],67)/INDEX(TblTareas[Duracion],67),""))</f>
      </c>
      <c r="L74" s="64" t="str">
        <f>IF($A74="","",IF(AND(INDEX(TblTareas[Activa],67)=1,L$7&gt;=INDEX(TblTareas[Semana],67),L$7&lt;INDEX(TblTareas[Semana],67)+INDEX(TblTareas[Duracion],67)),INDEX(TblTareas[Horas],67)/INDEX(TblTareas[Duracion],67),""))</f>
      </c>
      <c r="M74" s="64" t="str">
        <f>IF($A74="","",IF(AND(INDEX(TblTareas[Activa],67)=1,M$7&gt;=INDEX(TblTareas[Semana],67),M$7&lt;INDEX(TblTareas[Semana],67)+INDEX(TblTareas[Duracion],67)),INDEX(TblTareas[Horas],67)/INDEX(TblTareas[Duracion],67),""))</f>
      </c>
      <c r="N74" s="64" t="str">
        <f>IF($A74="","",IF(AND(INDEX(TblTareas[Activa],67)=1,N$7&gt;=INDEX(TblTareas[Semana],67),N$7&lt;INDEX(TblTareas[Semana],67)+INDEX(TblTareas[Duracion],67)),INDEX(TblTareas[Horas],67)/INDEX(TblTareas[Duracion],67),""))</f>
      </c>
      <c r="O74" s="64" t="str">
        <f>IF($A74="","",IF(AND(INDEX(TblTareas[Activa],67)=1,O$7&gt;=INDEX(TblTareas[Semana],67),O$7&lt;INDEX(TblTareas[Semana],67)+INDEX(TblTareas[Duracion],67)),INDEX(TblTareas[Horas],67)/INDEX(TblTareas[Duracion],67),""))</f>
      </c>
      <c r="P74" s="64" t="str">
        <f>IF($A74="","",IF(AND(INDEX(TblTareas[Activa],67)=1,P$7&gt;=INDEX(TblTareas[Semana],67),P$7&lt;INDEX(TblTareas[Semana],67)+INDEX(TblTareas[Duracion],67)),INDEX(TblTareas[Horas],67)/INDEX(TblTareas[Duracion],67),""))</f>
      </c>
      <c r="Q74" s="64" t="str">
        <f>IF($A74="","",IF(AND(INDEX(TblTareas[Activa],67)=1,Q$7&gt;=INDEX(TblTareas[Semana],67),Q$7&lt;INDEX(TblTareas[Semana],67)+INDEX(TblTareas[Duracion],67)),INDEX(TblTareas[Horas],67)/INDEX(TblTareas[Duracion],67),""))</f>
      </c>
      <c r="R74" s="64" t="str">
        <f>IF($A74="","",IF(AND(INDEX(TblTareas[Activa],67)=1,R$7&gt;=INDEX(TblTareas[Semana],67),R$7&lt;INDEX(TblTareas[Semana],67)+INDEX(TblTareas[Duracion],67)),INDEX(TblTareas[Horas],67)/INDEX(TblTareas[Duracion],67),""))</f>
      </c>
      <c r="S74" s="64" t="str">
        <f>IF($A74="","",IF(AND(INDEX(TblTareas[Activa],67)=1,S$7&gt;=INDEX(TblTareas[Semana],67),S$7&lt;INDEX(TblTareas[Semana],67)+INDEX(TblTareas[Duracion],67)),INDEX(TblTareas[Horas],67)/INDEX(TblTareas[Duracion],67),""))</f>
      </c>
      <c r="T74" s="64" t="str">
        <f>IF($A74="","",IF(AND(INDEX(TblTareas[Activa],67)=1,T$7&gt;=INDEX(TblTareas[Semana],67),T$7&lt;INDEX(TblTareas[Semana],67)+INDEX(TblTareas[Duracion],67)),INDEX(TblTareas[Horas],67)/INDEX(TblTareas[Duracion],67),""))</f>
      </c>
    </row>
    <row r="75" ht="34" customHeight="1">
      <c r="A75" s="62" t="str">
        <f>IFERROR(IF(INDEX(TblTareas[ID],68)="","",INDEX(TblTareas[ID],68)),"")</f>
      </c>
      <c r="B75" s="62" t="str">
        <f>IF($A75="","",IFERROR(INDEX(TblTareas[Responsable],68),""))</f>
      </c>
      <c r="C75" s="62" t="str">
        <f>IF($A75="","",IFERROR(INDEX(TblTareas[Trabajo],68),""))</f>
      </c>
      <c r="D75" s="62" t="str">
        <f>IF($A75="","",IFERROR(INDEX(TblTareas[Estado],68),""))</f>
      </c>
      <c r="E75" s="64" t="str">
        <f>IF($A75="","",IF(AND(INDEX(TblTareas[Activa],68)=1,E$7&gt;=INDEX(TblTareas[Semana],68),E$7&lt;INDEX(TblTareas[Semana],68)+INDEX(TblTareas[Duracion],68)),INDEX(TblTareas[Horas],68)/INDEX(TblTareas[Duracion],68),""))</f>
      </c>
      <c r="F75" s="64" t="str">
        <f>IF($A75="","",IF(AND(INDEX(TblTareas[Activa],68)=1,F$7&gt;=INDEX(TblTareas[Semana],68),F$7&lt;INDEX(TblTareas[Semana],68)+INDEX(TblTareas[Duracion],68)),INDEX(TblTareas[Horas],68)/INDEX(TblTareas[Duracion],68),""))</f>
      </c>
      <c r="G75" s="64" t="str">
        <f>IF($A75="","",IF(AND(INDEX(TblTareas[Activa],68)=1,G$7&gt;=INDEX(TblTareas[Semana],68),G$7&lt;INDEX(TblTareas[Semana],68)+INDEX(TblTareas[Duracion],68)),INDEX(TblTareas[Horas],68)/INDEX(TblTareas[Duracion],68),""))</f>
      </c>
      <c r="H75" s="64" t="str">
        <f>IF($A75="","",IF(AND(INDEX(TblTareas[Activa],68)=1,H$7&gt;=INDEX(TblTareas[Semana],68),H$7&lt;INDEX(TblTareas[Semana],68)+INDEX(TblTareas[Duracion],68)),INDEX(TblTareas[Horas],68)/INDEX(TblTareas[Duracion],68),""))</f>
      </c>
      <c r="I75" s="64" t="str">
        <f>IF($A75="","",IF(AND(INDEX(TblTareas[Activa],68)=1,I$7&gt;=INDEX(TblTareas[Semana],68),I$7&lt;INDEX(TblTareas[Semana],68)+INDEX(TblTareas[Duracion],68)),INDEX(TblTareas[Horas],68)/INDEX(TblTareas[Duracion],68),""))</f>
      </c>
      <c r="J75" s="64" t="str">
        <f>IF($A75="","",IF(AND(INDEX(TblTareas[Activa],68)=1,J$7&gt;=INDEX(TblTareas[Semana],68),J$7&lt;INDEX(TblTareas[Semana],68)+INDEX(TblTareas[Duracion],68)),INDEX(TblTareas[Horas],68)/INDEX(TblTareas[Duracion],68),""))</f>
      </c>
      <c r="K75" s="64" t="str">
        <f>IF($A75="","",IF(AND(INDEX(TblTareas[Activa],68)=1,K$7&gt;=INDEX(TblTareas[Semana],68),K$7&lt;INDEX(TblTareas[Semana],68)+INDEX(TblTareas[Duracion],68)),INDEX(TblTareas[Horas],68)/INDEX(TblTareas[Duracion],68),""))</f>
      </c>
      <c r="L75" s="64" t="str">
        <f>IF($A75="","",IF(AND(INDEX(TblTareas[Activa],68)=1,L$7&gt;=INDEX(TblTareas[Semana],68),L$7&lt;INDEX(TblTareas[Semana],68)+INDEX(TblTareas[Duracion],68)),INDEX(TblTareas[Horas],68)/INDEX(TblTareas[Duracion],68),""))</f>
      </c>
      <c r="M75" s="64" t="str">
        <f>IF($A75="","",IF(AND(INDEX(TblTareas[Activa],68)=1,M$7&gt;=INDEX(TblTareas[Semana],68),M$7&lt;INDEX(TblTareas[Semana],68)+INDEX(TblTareas[Duracion],68)),INDEX(TblTareas[Horas],68)/INDEX(TblTareas[Duracion],68),""))</f>
      </c>
      <c r="N75" s="64" t="str">
        <f>IF($A75="","",IF(AND(INDEX(TblTareas[Activa],68)=1,N$7&gt;=INDEX(TblTareas[Semana],68),N$7&lt;INDEX(TblTareas[Semana],68)+INDEX(TblTareas[Duracion],68)),INDEX(TblTareas[Horas],68)/INDEX(TblTareas[Duracion],68),""))</f>
      </c>
      <c r="O75" s="64" t="str">
        <f>IF($A75="","",IF(AND(INDEX(TblTareas[Activa],68)=1,O$7&gt;=INDEX(TblTareas[Semana],68),O$7&lt;INDEX(TblTareas[Semana],68)+INDEX(TblTareas[Duracion],68)),INDEX(TblTareas[Horas],68)/INDEX(TblTareas[Duracion],68),""))</f>
      </c>
      <c r="P75" s="64" t="str">
        <f>IF($A75="","",IF(AND(INDEX(TblTareas[Activa],68)=1,P$7&gt;=INDEX(TblTareas[Semana],68),P$7&lt;INDEX(TblTareas[Semana],68)+INDEX(TblTareas[Duracion],68)),INDEX(TblTareas[Horas],68)/INDEX(TblTareas[Duracion],68),""))</f>
      </c>
      <c r="Q75" s="64" t="str">
        <f>IF($A75="","",IF(AND(INDEX(TblTareas[Activa],68)=1,Q$7&gt;=INDEX(TblTareas[Semana],68),Q$7&lt;INDEX(TblTareas[Semana],68)+INDEX(TblTareas[Duracion],68)),INDEX(TblTareas[Horas],68)/INDEX(TblTareas[Duracion],68),""))</f>
      </c>
      <c r="R75" s="64" t="str">
        <f>IF($A75="","",IF(AND(INDEX(TblTareas[Activa],68)=1,R$7&gt;=INDEX(TblTareas[Semana],68),R$7&lt;INDEX(TblTareas[Semana],68)+INDEX(TblTareas[Duracion],68)),INDEX(TblTareas[Horas],68)/INDEX(TblTareas[Duracion],68),""))</f>
      </c>
      <c r="S75" s="64" t="str">
        <f>IF($A75="","",IF(AND(INDEX(TblTareas[Activa],68)=1,S$7&gt;=INDEX(TblTareas[Semana],68),S$7&lt;INDEX(TblTareas[Semana],68)+INDEX(TblTareas[Duracion],68)),INDEX(TblTareas[Horas],68)/INDEX(TblTareas[Duracion],68),""))</f>
      </c>
      <c r="T75" s="64" t="str">
        <f>IF($A75="","",IF(AND(INDEX(TblTareas[Activa],68)=1,T$7&gt;=INDEX(TblTareas[Semana],68),T$7&lt;INDEX(TblTareas[Semana],68)+INDEX(TblTareas[Duracion],68)),INDEX(TblTareas[Horas],68)/INDEX(TblTareas[Duracion],68),""))</f>
      </c>
    </row>
    <row r="76" ht="34" customHeight="1">
      <c r="A76" s="62" t="str">
        <f>IFERROR(IF(INDEX(TblTareas[ID],69)="","",INDEX(TblTareas[ID],69)),"")</f>
      </c>
      <c r="B76" s="62" t="str">
        <f>IF($A76="","",IFERROR(INDEX(TblTareas[Responsable],69),""))</f>
      </c>
      <c r="C76" s="62" t="str">
        <f>IF($A76="","",IFERROR(INDEX(TblTareas[Trabajo],69),""))</f>
      </c>
      <c r="D76" s="62" t="str">
        <f>IF($A76="","",IFERROR(INDEX(TblTareas[Estado],69),""))</f>
      </c>
      <c r="E76" s="64" t="str">
        <f>IF($A76="","",IF(AND(INDEX(TblTareas[Activa],69)=1,E$7&gt;=INDEX(TblTareas[Semana],69),E$7&lt;INDEX(TblTareas[Semana],69)+INDEX(TblTareas[Duracion],69)),INDEX(TblTareas[Horas],69)/INDEX(TblTareas[Duracion],69),""))</f>
      </c>
      <c r="F76" s="64" t="str">
        <f>IF($A76="","",IF(AND(INDEX(TblTareas[Activa],69)=1,F$7&gt;=INDEX(TblTareas[Semana],69),F$7&lt;INDEX(TblTareas[Semana],69)+INDEX(TblTareas[Duracion],69)),INDEX(TblTareas[Horas],69)/INDEX(TblTareas[Duracion],69),""))</f>
      </c>
      <c r="G76" s="64" t="str">
        <f>IF($A76="","",IF(AND(INDEX(TblTareas[Activa],69)=1,G$7&gt;=INDEX(TblTareas[Semana],69),G$7&lt;INDEX(TblTareas[Semana],69)+INDEX(TblTareas[Duracion],69)),INDEX(TblTareas[Horas],69)/INDEX(TblTareas[Duracion],69),""))</f>
      </c>
      <c r="H76" s="64" t="str">
        <f>IF($A76="","",IF(AND(INDEX(TblTareas[Activa],69)=1,H$7&gt;=INDEX(TblTareas[Semana],69),H$7&lt;INDEX(TblTareas[Semana],69)+INDEX(TblTareas[Duracion],69)),INDEX(TblTareas[Horas],69)/INDEX(TblTareas[Duracion],69),""))</f>
      </c>
      <c r="I76" s="64" t="str">
        <f>IF($A76="","",IF(AND(INDEX(TblTareas[Activa],69)=1,I$7&gt;=INDEX(TblTareas[Semana],69),I$7&lt;INDEX(TblTareas[Semana],69)+INDEX(TblTareas[Duracion],69)),INDEX(TblTareas[Horas],69)/INDEX(TblTareas[Duracion],69),""))</f>
      </c>
      <c r="J76" s="64" t="str">
        <f>IF($A76="","",IF(AND(INDEX(TblTareas[Activa],69)=1,J$7&gt;=INDEX(TblTareas[Semana],69),J$7&lt;INDEX(TblTareas[Semana],69)+INDEX(TblTareas[Duracion],69)),INDEX(TblTareas[Horas],69)/INDEX(TblTareas[Duracion],69),""))</f>
      </c>
      <c r="K76" s="64" t="str">
        <f>IF($A76="","",IF(AND(INDEX(TblTareas[Activa],69)=1,K$7&gt;=INDEX(TblTareas[Semana],69),K$7&lt;INDEX(TblTareas[Semana],69)+INDEX(TblTareas[Duracion],69)),INDEX(TblTareas[Horas],69)/INDEX(TblTareas[Duracion],69),""))</f>
      </c>
      <c r="L76" s="64" t="str">
        <f>IF($A76="","",IF(AND(INDEX(TblTareas[Activa],69)=1,L$7&gt;=INDEX(TblTareas[Semana],69),L$7&lt;INDEX(TblTareas[Semana],69)+INDEX(TblTareas[Duracion],69)),INDEX(TblTareas[Horas],69)/INDEX(TblTareas[Duracion],69),""))</f>
      </c>
      <c r="M76" s="64" t="str">
        <f>IF($A76="","",IF(AND(INDEX(TblTareas[Activa],69)=1,M$7&gt;=INDEX(TblTareas[Semana],69),M$7&lt;INDEX(TblTareas[Semana],69)+INDEX(TblTareas[Duracion],69)),INDEX(TblTareas[Horas],69)/INDEX(TblTareas[Duracion],69),""))</f>
      </c>
      <c r="N76" s="64" t="str">
        <f>IF($A76="","",IF(AND(INDEX(TblTareas[Activa],69)=1,N$7&gt;=INDEX(TblTareas[Semana],69),N$7&lt;INDEX(TblTareas[Semana],69)+INDEX(TblTareas[Duracion],69)),INDEX(TblTareas[Horas],69)/INDEX(TblTareas[Duracion],69),""))</f>
      </c>
      <c r="O76" s="64" t="str">
        <f>IF($A76="","",IF(AND(INDEX(TblTareas[Activa],69)=1,O$7&gt;=INDEX(TblTareas[Semana],69),O$7&lt;INDEX(TblTareas[Semana],69)+INDEX(TblTareas[Duracion],69)),INDEX(TblTareas[Horas],69)/INDEX(TblTareas[Duracion],69),""))</f>
      </c>
      <c r="P76" s="64" t="str">
        <f>IF($A76="","",IF(AND(INDEX(TblTareas[Activa],69)=1,P$7&gt;=INDEX(TblTareas[Semana],69),P$7&lt;INDEX(TblTareas[Semana],69)+INDEX(TblTareas[Duracion],69)),INDEX(TblTareas[Horas],69)/INDEX(TblTareas[Duracion],69),""))</f>
      </c>
      <c r="Q76" s="64" t="str">
        <f>IF($A76="","",IF(AND(INDEX(TblTareas[Activa],69)=1,Q$7&gt;=INDEX(TblTareas[Semana],69),Q$7&lt;INDEX(TblTareas[Semana],69)+INDEX(TblTareas[Duracion],69)),INDEX(TblTareas[Horas],69)/INDEX(TblTareas[Duracion],69),""))</f>
      </c>
      <c r="R76" s="64" t="str">
        <f>IF($A76="","",IF(AND(INDEX(TblTareas[Activa],69)=1,R$7&gt;=INDEX(TblTareas[Semana],69),R$7&lt;INDEX(TblTareas[Semana],69)+INDEX(TblTareas[Duracion],69)),INDEX(TblTareas[Horas],69)/INDEX(TblTareas[Duracion],69),""))</f>
      </c>
      <c r="S76" s="64" t="str">
        <f>IF($A76="","",IF(AND(INDEX(TblTareas[Activa],69)=1,S$7&gt;=INDEX(TblTareas[Semana],69),S$7&lt;INDEX(TblTareas[Semana],69)+INDEX(TblTareas[Duracion],69)),INDEX(TblTareas[Horas],69)/INDEX(TblTareas[Duracion],69),""))</f>
      </c>
      <c r="T76" s="64" t="str">
        <f>IF($A76="","",IF(AND(INDEX(TblTareas[Activa],69)=1,T$7&gt;=INDEX(TblTareas[Semana],69),T$7&lt;INDEX(TblTareas[Semana],69)+INDEX(TblTareas[Duracion],69)),INDEX(TblTareas[Horas],69)/INDEX(TblTareas[Duracion],69),""))</f>
      </c>
    </row>
    <row r="77" ht="34" customHeight="1">
      <c r="A77" s="62" t="str">
        <f>IFERROR(IF(INDEX(TblTareas[ID],70)="","",INDEX(TblTareas[ID],70)),"")</f>
      </c>
      <c r="B77" s="62" t="str">
        <f>IF($A77="","",IFERROR(INDEX(TblTareas[Responsable],70),""))</f>
      </c>
      <c r="C77" s="62" t="str">
        <f>IF($A77="","",IFERROR(INDEX(TblTareas[Trabajo],70),""))</f>
      </c>
      <c r="D77" s="62" t="str">
        <f>IF($A77="","",IFERROR(INDEX(TblTareas[Estado],70),""))</f>
      </c>
      <c r="E77" s="64" t="str">
        <f>IF($A77="","",IF(AND(INDEX(TblTareas[Activa],70)=1,E$7&gt;=INDEX(TblTareas[Semana],70),E$7&lt;INDEX(TblTareas[Semana],70)+INDEX(TblTareas[Duracion],70)),INDEX(TblTareas[Horas],70)/INDEX(TblTareas[Duracion],70),""))</f>
      </c>
      <c r="F77" s="64" t="str">
        <f>IF($A77="","",IF(AND(INDEX(TblTareas[Activa],70)=1,F$7&gt;=INDEX(TblTareas[Semana],70),F$7&lt;INDEX(TblTareas[Semana],70)+INDEX(TblTareas[Duracion],70)),INDEX(TblTareas[Horas],70)/INDEX(TblTareas[Duracion],70),""))</f>
      </c>
      <c r="G77" s="64" t="str">
        <f>IF($A77="","",IF(AND(INDEX(TblTareas[Activa],70)=1,G$7&gt;=INDEX(TblTareas[Semana],70),G$7&lt;INDEX(TblTareas[Semana],70)+INDEX(TblTareas[Duracion],70)),INDEX(TblTareas[Horas],70)/INDEX(TblTareas[Duracion],70),""))</f>
      </c>
      <c r="H77" s="64" t="str">
        <f>IF($A77="","",IF(AND(INDEX(TblTareas[Activa],70)=1,H$7&gt;=INDEX(TblTareas[Semana],70),H$7&lt;INDEX(TblTareas[Semana],70)+INDEX(TblTareas[Duracion],70)),INDEX(TblTareas[Horas],70)/INDEX(TblTareas[Duracion],70),""))</f>
      </c>
      <c r="I77" s="64" t="str">
        <f>IF($A77="","",IF(AND(INDEX(TblTareas[Activa],70)=1,I$7&gt;=INDEX(TblTareas[Semana],70),I$7&lt;INDEX(TblTareas[Semana],70)+INDEX(TblTareas[Duracion],70)),INDEX(TblTareas[Horas],70)/INDEX(TblTareas[Duracion],70),""))</f>
      </c>
      <c r="J77" s="64" t="str">
        <f>IF($A77="","",IF(AND(INDEX(TblTareas[Activa],70)=1,J$7&gt;=INDEX(TblTareas[Semana],70),J$7&lt;INDEX(TblTareas[Semana],70)+INDEX(TblTareas[Duracion],70)),INDEX(TblTareas[Horas],70)/INDEX(TblTareas[Duracion],70),""))</f>
      </c>
      <c r="K77" s="64" t="str">
        <f>IF($A77="","",IF(AND(INDEX(TblTareas[Activa],70)=1,K$7&gt;=INDEX(TblTareas[Semana],70),K$7&lt;INDEX(TblTareas[Semana],70)+INDEX(TblTareas[Duracion],70)),INDEX(TblTareas[Horas],70)/INDEX(TblTareas[Duracion],70),""))</f>
      </c>
      <c r="L77" s="64" t="str">
        <f>IF($A77="","",IF(AND(INDEX(TblTareas[Activa],70)=1,L$7&gt;=INDEX(TblTareas[Semana],70),L$7&lt;INDEX(TblTareas[Semana],70)+INDEX(TblTareas[Duracion],70)),INDEX(TblTareas[Horas],70)/INDEX(TblTareas[Duracion],70),""))</f>
      </c>
      <c r="M77" s="64" t="str">
        <f>IF($A77="","",IF(AND(INDEX(TblTareas[Activa],70)=1,M$7&gt;=INDEX(TblTareas[Semana],70),M$7&lt;INDEX(TblTareas[Semana],70)+INDEX(TblTareas[Duracion],70)),INDEX(TblTareas[Horas],70)/INDEX(TblTareas[Duracion],70),""))</f>
      </c>
      <c r="N77" s="64" t="str">
        <f>IF($A77="","",IF(AND(INDEX(TblTareas[Activa],70)=1,N$7&gt;=INDEX(TblTareas[Semana],70),N$7&lt;INDEX(TblTareas[Semana],70)+INDEX(TblTareas[Duracion],70)),INDEX(TblTareas[Horas],70)/INDEX(TblTareas[Duracion],70),""))</f>
      </c>
      <c r="O77" s="64" t="str">
        <f>IF($A77="","",IF(AND(INDEX(TblTareas[Activa],70)=1,O$7&gt;=INDEX(TblTareas[Semana],70),O$7&lt;INDEX(TblTareas[Semana],70)+INDEX(TblTareas[Duracion],70)),INDEX(TblTareas[Horas],70)/INDEX(TblTareas[Duracion],70),""))</f>
      </c>
      <c r="P77" s="64" t="str">
        <f>IF($A77="","",IF(AND(INDEX(TblTareas[Activa],70)=1,P$7&gt;=INDEX(TblTareas[Semana],70),P$7&lt;INDEX(TblTareas[Semana],70)+INDEX(TblTareas[Duracion],70)),INDEX(TblTareas[Horas],70)/INDEX(TblTareas[Duracion],70),""))</f>
      </c>
      <c r="Q77" s="64" t="str">
        <f>IF($A77="","",IF(AND(INDEX(TblTareas[Activa],70)=1,Q$7&gt;=INDEX(TblTareas[Semana],70),Q$7&lt;INDEX(TblTareas[Semana],70)+INDEX(TblTareas[Duracion],70)),INDEX(TblTareas[Horas],70)/INDEX(TblTareas[Duracion],70),""))</f>
      </c>
      <c r="R77" s="64" t="str">
        <f>IF($A77="","",IF(AND(INDEX(TblTareas[Activa],70)=1,R$7&gt;=INDEX(TblTareas[Semana],70),R$7&lt;INDEX(TblTareas[Semana],70)+INDEX(TblTareas[Duracion],70)),INDEX(TblTareas[Horas],70)/INDEX(TblTareas[Duracion],70),""))</f>
      </c>
      <c r="S77" s="64" t="str">
        <f>IF($A77="","",IF(AND(INDEX(TblTareas[Activa],70)=1,S$7&gt;=INDEX(TblTareas[Semana],70),S$7&lt;INDEX(TblTareas[Semana],70)+INDEX(TblTareas[Duracion],70)),INDEX(TblTareas[Horas],70)/INDEX(TblTareas[Duracion],70),""))</f>
      </c>
      <c r="T77" s="64" t="str">
        <f>IF($A77="","",IF(AND(INDEX(TblTareas[Activa],70)=1,T$7&gt;=INDEX(TblTareas[Semana],70),T$7&lt;INDEX(TblTareas[Semana],70)+INDEX(TblTareas[Duracion],70)),INDEX(TblTareas[Horas],70)/INDEX(TblTareas[Duracion],70),""))</f>
      </c>
    </row>
    <row r="78" ht="34" customHeight="1">
      <c r="A78" s="62" t="str">
        <f>IFERROR(IF(INDEX(TblTareas[ID],71)="","",INDEX(TblTareas[ID],71)),"")</f>
      </c>
      <c r="B78" s="62" t="str">
        <f>IF($A78="","",IFERROR(INDEX(TblTareas[Responsable],71),""))</f>
      </c>
      <c r="C78" s="62" t="str">
        <f>IF($A78="","",IFERROR(INDEX(TblTareas[Trabajo],71),""))</f>
      </c>
      <c r="D78" s="62" t="str">
        <f>IF($A78="","",IFERROR(INDEX(TblTareas[Estado],71),""))</f>
      </c>
      <c r="E78" s="64" t="str">
        <f>IF($A78="","",IF(AND(INDEX(TblTareas[Activa],71)=1,E$7&gt;=INDEX(TblTareas[Semana],71),E$7&lt;INDEX(TblTareas[Semana],71)+INDEX(TblTareas[Duracion],71)),INDEX(TblTareas[Horas],71)/INDEX(TblTareas[Duracion],71),""))</f>
      </c>
      <c r="F78" s="64" t="str">
        <f>IF($A78="","",IF(AND(INDEX(TblTareas[Activa],71)=1,F$7&gt;=INDEX(TblTareas[Semana],71),F$7&lt;INDEX(TblTareas[Semana],71)+INDEX(TblTareas[Duracion],71)),INDEX(TblTareas[Horas],71)/INDEX(TblTareas[Duracion],71),""))</f>
      </c>
      <c r="G78" s="64" t="str">
        <f>IF($A78="","",IF(AND(INDEX(TblTareas[Activa],71)=1,G$7&gt;=INDEX(TblTareas[Semana],71),G$7&lt;INDEX(TblTareas[Semana],71)+INDEX(TblTareas[Duracion],71)),INDEX(TblTareas[Horas],71)/INDEX(TblTareas[Duracion],71),""))</f>
      </c>
      <c r="H78" s="64" t="str">
        <f>IF($A78="","",IF(AND(INDEX(TblTareas[Activa],71)=1,H$7&gt;=INDEX(TblTareas[Semana],71),H$7&lt;INDEX(TblTareas[Semana],71)+INDEX(TblTareas[Duracion],71)),INDEX(TblTareas[Horas],71)/INDEX(TblTareas[Duracion],71),""))</f>
      </c>
      <c r="I78" s="64" t="str">
        <f>IF($A78="","",IF(AND(INDEX(TblTareas[Activa],71)=1,I$7&gt;=INDEX(TblTareas[Semana],71),I$7&lt;INDEX(TblTareas[Semana],71)+INDEX(TblTareas[Duracion],71)),INDEX(TblTareas[Horas],71)/INDEX(TblTareas[Duracion],71),""))</f>
      </c>
      <c r="J78" s="64" t="str">
        <f>IF($A78="","",IF(AND(INDEX(TblTareas[Activa],71)=1,J$7&gt;=INDEX(TblTareas[Semana],71),J$7&lt;INDEX(TblTareas[Semana],71)+INDEX(TblTareas[Duracion],71)),INDEX(TblTareas[Horas],71)/INDEX(TblTareas[Duracion],71),""))</f>
      </c>
      <c r="K78" s="64" t="str">
        <f>IF($A78="","",IF(AND(INDEX(TblTareas[Activa],71)=1,K$7&gt;=INDEX(TblTareas[Semana],71),K$7&lt;INDEX(TblTareas[Semana],71)+INDEX(TblTareas[Duracion],71)),INDEX(TblTareas[Horas],71)/INDEX(TblTareas[Duracion],71),""))</f>
      </c>
      <c r="L78" s="64" t="str">
        <f>IF($A78="","",IF(AND(INDEX(TblTareas[Activa],71)=1,L$7&gt;=INDEX(TblTareas[Semana],71),L$7&lt;INDEX(TblTareas[Semana],71)+INDEX(TblTareas[Duracion],71)),INDEX(TblTareas[Horas],71)/INDEX(TblTareas[Duracion],71),""))</f>
      </c>
      <c r="M78" s="64" t="str">
        <f>IF($A78="","",IF(AND(INDEX(TblTareas[Activa],71)=1,M$7&gt;=INDEX(TblTareas[Semana],71),M$7&lt;INDEX(TblTareas[Semana],71)+INDEX(TblTareas[Duracion],71)),INDEX(TblTareas[Horas],71)/INDEX(TblTareas[Duracion],71),""))</f>
      </c>
      <c r="N78" s="64" t="str">
        <f>IF($A78="","",IF(AND(INDEX(TblTareas[Activa],71)=1,N$7&gt;=INDEX(TblTareas[Semana],71),N$7&lt;INDEX(TblTareas[Semana],71)+INDEX(TblTareas[Duracion],71)),INDEX(TblTareas[Horas],71)/INDEX(TblTareas[Duracion],71),""))</f>
      </c>
      <c r="O78" s="64" t="str">
        <f>IF($A78="","",IF(AND(INDEX(TblTareas[Activa],71)=1,O$7&gt;=INDEX(TblTareas[Semana],71),O$7&lt;INDEX(TblTareas[Semana],71)+INDEX(TblTareas[Duracion],71)),INDEX(TblTareas[Horas],71)/INDEX(TblTareas[Duracion],71),""))</f>
      </c>
      <c r="P78" s="64" t="str">
        <f>IF($A78="","",IF(AND(INDEX(TblTareas[Activa],71)=1,P$7&gt;=INDEX(TblTareas[Semana],71),P$7&lt;INDEX(TblTareas[Semana],71)+INDEX(TblTareas[Duracion],71)),INDEX(TblTareas[Horas],71)/INDEX(TblTareas[Duracion],71),""))</f>
      </c>
      <c r="Q78" s="64" t="str">
        <f>IF($A78="","",IF(AND(INDEX(TblTareas[Activa],71)=1,Q$7&gt;=INDEX(TblTareas[Semana],71),Q$7&lt;INDEX(TblTareas[Semana],71)+INDEX(TblTareas[Duracion],71)),INDEX(TblTareas[Horas],71)/INDEX(TblTareas[Duracion],71),""))</f>
      </c>
      <c r="R78" s="64" t="str">
        <f>IF($A78="","",IF(AND(INDEX(TblTareas[Activa],71)=1,R$7&gt;=INDEX(TblTareas[Semana],71),R$7&lt;INDEX(TblTareas[Semana],71)+INDEX(TblTareas[Duracion],71)),INDEX(TblTareas[Horas],71)/INDEX(TblTareas[Duracion],71),""))</f>
      </c>
      <c r="S78" s="64" t="str">
        <f>IF($A78="","",IF(AND(INDEX(TblTareas[Activa],71)=1,S$7&gt;=INDEX(TblTareas[Semana],71),S$7&lt;INDEX(TblTareas[Semana],71)+INDEX(TblTareas[Duracion],71)),INDEX(TblTareas[Horas],71)/INDEX(TblTareas[Duracion],71),""))</f>
      </c>
      <c r="T78" s="64" t="str">
        <f>IF($A78="","",IF(AND(INDEX(TblTareas[Activa],71)=1,T$7&gt;=INDEX(TblTareas[Semana],71),T$7&lt;INDEX(TblTareas[Semana],71)+INDEX(TblTareas[Duracion],71)),INDEX(TblTareas[Horas],71)/INDEX(TblTareas[Duracion],71),""))</f>
      </c>
    </row>
    <row r="79" ht="34" customHeight="1">
      <c r="A79" s="62" t="str">
        <f>IFERROR(IF(INDEX(TblTareas[ID],72)="","",INDEX(TblTareas[ID],72)),"")</f>
      </c>
      <c r="B79" s="62" t="str">
        <f>IF($A79="","",IFERROR(INDEX(TblTareas[Responsable],72),""))</f>
      </c>
      <c r="C79" s="62" t="str">
        <f>IF($A79="","",IFERROR(INDEX(TblTareas[Trabajo],72),""))</f>
      </c>
      <c r="D79" s="62" t="str">
        <f>IF($A79="","",IFERROR(INDEX(TblTareas[Estado],72),""))</f>
      </c>
      <c r="E79" s="64" t="str">
        <f>IF($A79="","",IF(AND(INDEX(TblTareas[Activa],72)=1,E$7&gt;=INDEX(TblTareas[Semana],72),E$7&lt;INDEX(TblTareas[Semana],72)+INDEX(TblTareas[Duracion],72)),INDEX(TblTareas[Horas],72)/INDEX(TblTareas[Duracion],72),""))</f>
      </c>
      <c r="F79" s="64" t="str">
        <f>IF($A79="","",IF(AND(INDEX(TblTareas[Activa],72)=1,F$7&gt;=INDEX(TblTareas[Semana],72),F$7&lt;INDEX(TblTareas[Semana],72)+INDEX(TblTareas[Duracion],72)),INDEX(TblTareas[Horas],72)/INDEX(TblTareas[Duracion],72),""))</f>
      </c>
      <c r="G79" s="64" t="str">
        <f>IF($A79="","",IF(AND(INDEX(TblTareas[Activa],72)=1,G$7&gt;=INDEX(TblTareas[Semana],72),G$7&lt;INDEX(TblTareas[Semana],72)+INDEX(TblTareas[Duracion],72)),INDEX(TblTareas[Horas],72)/INDEX(TblTareas[Duracion],72),""))</f>
      </c>
      <c r="H79" s="64" t="str">
        <f>IF($A79="","",IF(AND(INDEX(TblTareas[Activa],72)=1,H$7&gt;=INDEX(TblTareas[Semana],72),H$7&lt;INDEX(TblTareas[Semana],72)+INDEX(TblTareas[Duracion],72)),INDEX(TblTareas[Horas],72)/INDEX(TblTareas[Duracion],72),""))</f>
      </c>
      <c r="I79" s="64" t="str">
        <f>IF($A79="","",IF(AND(INDEX(TblTareas[Activa],72)=1,I$7&gt;=INDEX(TblTareas[Semana],72),I$7&lt;INDEX(TblTareas[Semana],72)+INDEX(TblTareas[Duracion],72)),INDEX(TblTareas[Horas],72)/INDEX(TblTareas[Duracion],72),""))</f>
      </c>
      <c r="J79" s="64" t="str">
        <f>IF($A79="","",IF(AND(INDEX(TblTareas[Activa],72)=1,J$7&gt;=INDEX(TblTareas[Semana],72),J$7&lt;INDEX(TblTareas[Semana],72)+INDEX(TblTareas[Duracion],72)),INDEX(TblTareas[Horas],72)/INDEX(TblTareas[Duracion],72),""))</f>
      </c>
      <c r="K79" s="64" t="str">
        <f>IF($A79="","",IF(AND(INDEX(TblTareas[Activa],72)=1,K$7&gt;=INDEX(TblTareas[Semana],72),K$7&lt;INDEX(TblTareas[Semana],72)+INDEX(TblTareas[Duracion],72)),INDEX(TblTareas[Horas],72)/INDEX(TblTareas[Duracion],72),""))</f>
      </c>
      <c r="L79" s="64" t="str">
        <f>IF($A79="","",IF(AND(INDEX(TblTareas[Activa],72)=1,L$7&gt;=INDEX(TblTareas[Semana],72),L$7&lt;INDEX(TblTareas[Semana],72)+INDEX(TblTareas[Duracion],72)),INDEX(TblTareas[Horas],72)/INDEX(TblTareas[Duracion],72),""))</f>
      </c>
      <c r="M79" s="64" t="str">
        <f>IF($A79="","",IF(AND(INDEX(TblTareas[Activa],72)=1,M$7&gt;=INDEX(TblTareas[Semana],72),M$7&lt;INDEX(TblTareas[Semana],72)+INDEX(TblTareas[Duracion],72)),INDEX(TblTareas[Horas],72)/INDEX(TblTareas[Duracion],72),""))</f>
      </c>
      <c r="N79" s="64" t="str">
        <f>IF($A79="","",IF(AND(INDEX(TblTareas[Activa],72)=1,N$7&gt;=INDEX(TblTareas[Semana],72),N$7&lt;INDEX(TblTareas[Semana],72)+INDEX(TblTareas[Duracion],72)),INDEX(TblTareas[Horas],72)/INDEX(TblTareas[Duracion],72),""))</f>
      </c>
      <c r="O79" s="64" t="str">
        <f>IF($A79="","",IF(AND(INDEX(TblTareas[Activa],72)=1,O$7&gt;=INDEX(TblTareas[Semana],72),O$7&lt;INDEX(TblTareas[Semana],72)+INDEX(TblTareas[Duracion],72)),INDEX(TblTareas[Horas],72)/INDEX(TblTareas[Duracion],72),""))</f>
      </c>
      <c r="P79" s="64" t="str">
        <f>IF($A79="","",IF(AND(INDEX(TblTareas[Activa],72)=1,P$7&gt;=INDEX(TblTareas[Semana],72),P$7&lt;INDEX(TblTareas[Semana],72)+INDEX(TblTareas[Duracion],72)),INDEX(TblTareas[Horas],72)/INDEX(TblTareas[Duracion],72),""))</f>
      </c>
      <c r="Q79" s="64" t="str">
        <f>IF($A79="","",IF(AND(INDEX(TblTareas[Activa],72)=1,Q$7&gt;=INDEX(TblTareas[Semana],72),Q$7&lt;INDEX(TblTareas[Semana],72)+INDEX(TblTareas[Duracion],72)),INDEX(TblTareas[Horas],72)/INDEX(TblTareas[Duracion],72),""))</f>
      </c>
      <c r="R79" s="64" t="str">
        <f>IF($A79="","",IF(AND(INDEX(TblTareas[Activa],72)=1,R$7&gt;=INDEX(TblTareas[Semana],72),R$7&lt;INDEX(TblTareas[Semana],72)+INDEX(TblTareas[Duracion],72)),INDEX(TblTareas[Horas],72)/INDEX(TblTareas[Duracion],72),""))</f>
      </c>
      <c r="S79" s="64" t="str">
        <f>IF($A79="","",IF(AND(INDEX(TblTareas[Activa],72)=1,S$7&gt;=INDEX(TblTareas[Semana],72),S$7&lt;INDEX(TblTareas[Semana],72)+INDEX(TblTareas[Duracion],72)),INDEX(TblTareas[Horas],72)/INDEX(TblTareas[Duracion],72),""))</f>
      </c>
      <c r="T79" s="64" t="str">
        <f>IF($A79="","",IF(AND(INDEX(TblTareas[Activa],72)=1,T$7&gt;=INDEX(TblTareas[Semana],72),T$7&lt;INDEX(TblTareas[Semana],72)+INDEX(TblTareas[Duracion],72)),INDEX(TblTareas[Horas],72)/INDEX(TblTareas[Duracion],72),""))</f>
      </c>
    </row>
    <row r="80" ht="34" customHeight="1">
      <c r="A80" s="62" t="str">
        <f>IFERROR(IF(INDEX(TblTareas[ID],73)="","",INDEX(TblTareas[ID],73)),"")</f>
      </c>
      <c r="B80" s="62" t="str">
        <f>IF($A80="","",IFERROR(INDEX(TblTareas[Responsable],73),""))</f>
      </c>
      <c r="C80" s="62" t="str">
        <f>IF($A80="","",IFERROR(INDEX(TblTareas[Trabajo],73),""))</f>
      </c>
      <c r="D80" s="62" t="str">
        <f>IF($A80="","",IFERROR(INDEX(TblTareas[Estado],73),""))</f>
      </c>
      <c r="E80" s="64" t="str">
        <f>IF($A80="","",IF(AND(INDEX(TblTareas[Activa],73)=1,E$7&gt;=INDEX(TblTareas[Semana],73),E$7&lt;INDEX(TblTareas[Semana],73)+INDEX(TblTareas[Duracion],73)),INDEX(TblTareas[Horas],73)/INDEX(TblTareas[Duracion],73),""))</f>
      </c>
      <c r="F80" s="64" t="str">
        <f>IF($A80="","",IF(AND(INDEX(TblTareas[Activa],73)=1,F$7&gt;=INDEX(TblTareas[Semana],73),F$7&lt;INDEX(TblTareas[Semana],73)+INDEX(TblTareas[Duracion],73)),INDEX(TblTareas[Horas],73)/INDEX(TblTareas[Duracion],73),""))</f>
      </c>
      <c r="G80" s="64" t="str">
        <f>IF($A80="","",IF(AND(INDEX(TblTareas[Activa],73)=1,G$7&gt;=INDEX(TblTareas[Semana],73),G$7&lt;INDEX(TblTareas[Semana],73)+INDEX(TblTareas[Duracion],73)),INDEX(TblTareas[Horas],73)/INDEX(TblTareas[Duracion],73),""))</f>
      </c>
      <c r="H80" s="64" t="str">
        <f>IF($A80="","",IF(AND(INDEX(TblTareas[Activa],73)=1,H$7&gt;=INDEX(TblTareas[Semana],73),H$7&lt;INDEX(TblTareas[Semana],73)+INDEX(TblTareas[Duracion],73)),INDEX(TblTareas[Horas],73)/INDEX(TblTareas[Duracion],73),""))</f>
      </c>
      <c r="I80" s="64" t="str">
        <f>IF($A80="","",IF(AND(INDEX(TblTareas[Activa],73)=1,I$7&gt;=INDEX(TblTareas[Semana],73),I$7&lt;INDEX(TblTareas[Semana],73)+INDEX(TblTareas[Duracion],73)),INDEX(TblTareas[Horas],73)/INDEX(TblTareas[Duracion],73),""))</f>
      </c>
      <c r="J80" s="64" t="str">
        <f>IF($A80="","",IF(AND(INDEX(TblTareas[Activa],73)=1,J$7&gt;=INDEX(TblTareas[Semana],73),J$7&lt;INDEX(TblTareas[Semana],73)+INDEX(TblTareas[Duracion],73)),INDEX(TblTareas[Horas],73)/INDEX(TblTareas[Duracion],73),""))</f>
      </c>
      <c r="K80" s="64" t="str">
        <f>IF($A80="","",IF(AND(INDEX(TblTareas[Activa],73)=1,K$7&gt;=INDEX(TblTareas[Semana],73),K$7&lt;INDEX(TblTareas[Semana],73)+INDEX(TblTareas[Duracion],73)),INDEX(TblTareas[Horas],73)/INDEX(TblTareas[Duracion],73),""))</f>
      </c>
      <c r="L80" s="64" t="str">
        <f>IF($A80="","",IF(AND(INDEX(TblTareas[Activa],73)=1,L$7&gt;=INDEX(TblTareas[Semana],73),L$7&lt;INDEX(TblTareas[Semana],73)+INDEX(TblTareas[Duracion],73)),INDEX(TblTareas[Horas],73)/INDEX(TblTareas[Duracion],73),""))</f>
      </c>
      <c r="M80" s="64" t="str">
        <f>IF($A80="","",IF(AND(INDEX(TblTareas[Activa],73)=1,M$7&gt;=INDEX(TblTareas[Semana],73),M$7&lt;INDEX(TblTareas[Semana],73)+INDEX(TblTareas[Duracion],73)),INDEX(TblTareas[Horas],73)/INDEX(TblTareas[Duracion],73),""))</f>
      </c>
      <c r="N80" s="64" t="str">
        <f>IF($A80="","",IF(AND(INDEX(TblTareas[Activa],73)=1,N$7&gt;=INDEX(TblTareas[Semana],73),N$7&lt;INDEX(TblTareas[Semana],73)+INDEX(TblTareas[Duracion],73)),INDEX(TblTareas[Horas],73)/INDEX(TblTareas[Duracion],73),""))</f>
      </c>
      <c r="O80" s="64" t="str">
        <f>IF($A80="","",IF(AND(INDEX(TblTareas[Activa],73)=1,O$7&gt;=INDEX(TblTareas[Semana],73),O$7&lt;INDEX(TblTareas[Semana],73)+INDEX(TblTareas[Duracion],73)),INDEX(TblTareas[Horas],73)/INDEX(TblTareas[Duracion],73),""))</f>
      </c>
      <c r="P80" s="64" t="str">
        <f>IF($A80="","",IF(AND(INDEX(TblTareas[Activa],73)=1,P$7&gt;=INDEX(TblTareas[Semana],73),P$7&lt;INDEX(TblTareas[Semana],73)+INDEX(TblTareas[Duracion],73)),INDEX(TblTareas[Horas],73)/INDEX(TblTareas[Duracion],73),""))</f>
      </c>
      <c r="Q80" s="64" t="str">
        <f>IF($A80="","",IF(AND(INDEX(TblTareas[Activa],73)=1,Q$7&gt;=INDEX(TblTareas[Semana],73),Q$7&lt;INDEX(TblTareas[Semana],73)+INDEX(TblTareas[Duracion],73)),INDEX(TblTareas[Horas],73)/INDEX(TblTareas[Duracion],73),""))</f>
      </c>
      <c r="R80" s="64" t="str">
        <f>IF($A80="","",IF(AND(INDEX(TblTareas[Activa],73)=1,R$7&gt;=INDEX(TblTareas[Semana],73),R$7&lt;INDEX(TblTareas[Semana],73)+INDEX(TblTareas[Duracion],73)),INDEX(TblTareas[Horas],73)/INDEX(TblTareas[Duracion],73),""))</f>
      </c>
      <c r="S80" s="64" t="str">
        <f>IF($A80="","",IF(AND(INDEX(TblTareas[Activa],73)=1,S$7&gt;=INDEX(TblTareas[Semana],73),S$7&lt;INDEX(TblTareas[Semana],73)+INDEX(TblTareas[Duracion],73)),INDEX(TblTareas[Horas],73)/INDEX(TblTareas[Duracion],73),""))</f>
      </c>
      <c r="T80" s="64" t="str">
        <f>IF($A80="","",IF(AND(INDEX(TblTareas[Activa],73)=1,T$7&gt;=INDEX(TblTareas[Semana],73),T$7&lt;INDEX(TblTareas[Semana],73)+INDEX(TblTareas[Duracion],73)),INDEX(TblTareas[Horas],73)/INDEX(TblTareas[Duracion],73),""))</f>
      </c>
    </row>
    <row r="81" ht="34" customHeight="1">
      <c r="A81" s="62" t="str">
        <f>IFERROR(IF(INDEX(TblTareas[ID],74)="","",INDEX(TblTareas[ID],74)),"")</f>
      </c>
      <c r="B81" s="62" t="str">
        <f>IF($A81="","",IFERROR(INDEX(TblTareas[Responsable],74),""))</f>
      </c>
      <c r="C81" s="62" t="str">
        <f>IF($A81="","",IFERROR(INDEX(TblTareas[Trabajo],74),""))</f>
      </c>
      <c r="D81" s="62" t="str">
        <f>IF($A81="","",IFERROR(INDEX(TblTareas[Estado],74),""))</f>
      </c>
      <c r="E81" s="64" t="str">
        <f>IF($A81="","",IF(AND(INDEX(TblTareas[Activa],74)=1,E$7&gt;=INDEX(TblTareas[Semana],74),E$7&lt;INDEX(TblTareas[Semana],74)+INDEX(TblTareas[Duracion],74)),INDEX(TblTareas[Horas],74)/INDEX(TblTareas[Duracion],74),""))</f>
      </c>
      <c r="F81" s="64" t="str">
        <f>IF($A81="","",IF(AND(INDEX(TblTareas[Activa],74)=1,F$7&gt;=INDEX(TblTareas[Semana],74),F$7&lt;INDEX(TblTareas[Semana],74)+INDEX(TblTareas[Duracion],74)),INDEX(TblTareas[Horas],74)/INDEX(TblTareas[Duracion],74),""))</f>
      </c>
      <c r="G81" s="64" t="str">
        <f>IF($A81="","",IF(AND(INDEX(TblTareas[Activa],74)=1,G$7&gt;=INDEX(TblTareas[Semana],74),G$7&lt;INDEX(TblTareas[Semana],74)+INDEX(TblTareas[Duracion],74)),INDEX(TblTareas[Horas],74)/INDEX(TblTareas[Duracion],74),""))</f>
      </c>
      <c r="H81" s="64" t="str">
        <f>IF($A81="","",IF(AND(INDEX(TblTareas[Activa],74)=1,H$7&gt;=INDEX(TblTareas[Semana],74),H$7&lt;INDEX(TblTareas[Semana],74)+INDEX(TblTareas[Duracion],74)),INDEX(TblTareas[Horas],74)/INDEX(TblTareas[Duracion],74),""))</f>
      </c>
      <c r="I81" s="64" t="str">
        <f>IF($A81="","",IF(AND(INDEX(TblTareas[Activa],74)=1,I$7&gt;=INDEX(TblTareas[Semana],74),I$7&lt;INDEX(TblTareas[Semana],74)+INDEX(TblTareas[Duracion],74)),INDEX(TblTareas[Horas],74)/INDEX(TblTareas[Duracion],74),""))</f>
      </c>
      <c r="J81" s="64" t="str">
        <f>IF($A81="","",IF(AND(INDEX(TblTareas[Activa],74)=1,J$7&gt;=INDEX(TblTareas[Semana],74),J$7&lt;INDEX(TblTareas[Semana],74)+INDEX(TblTareas[Duracion],74)),INDEX(TblTareas[Horas],74)/INDEX(TblTareas[Duracion],74),""))</f>
      </c>
      <c r="K81" s="64" t="str">
        <f>IF($A81="","",IF(AND(INDEX(TblTareas[Activa],74)=1,K$7&gt;=INDEX(TblTareas[Semana],74),K$7&lt;INDEX(TblTareas[Semana],74)+INDEX(TblTareas[Duracion],74)),INDEX(TblTareas[Horas],74)/INDEX(TblTareas[Duracion],74),""))</f>
      </c>
      <c r="L81" s="64" t="str">
        <f>IF($A81="","",IF(AND(INDEX(TblTareas[Activa],74)=1,L$7&gt;=INDEX(TblTareas[Semana],74),L$7&lt;INDEX(TblTareas[Semana],74)+INDEX(TblTareas[Duracion],74)),INDEX(TblTareas[Horas],74)/INDEX(TblTareas[Duracion],74),""))</f>
      </c>
      <c r="M81" s="64" t="str">
        <f>IF($A81="","",IF(AND(INDEX(TblTareas[Activa],74)=1,M$7&gt;=INDEX(TblTareas[Semana],74),M$7&lt;INDEX(TblTareas[Semana],74)+INDEX(TblTareas[Duracion],74)),INDEX(TblTareas[Horas],74)/INDEX(TblTareas[Duracion],74),""))</f>
      </c>
      <c r="N81" s="64" t="str">
        <f>IF($A81="","",IF(AND(INDEX(TblTareas[Activa],74)=1,N$7&gt;=INDEX(TblTareas[Semana],74),N$7&lt;INDEX(TblTareas[Semana],74)+INDEX(TblTareas[Duracion],74)),INDEX(TblTareas[Horas],74)/INDEX(TblTareas[Duracion],74),""))</f>
      </c>
      <c r="O81" s="64" t="str">
        <f>IF($A81="","",IF(AND(INDEX(TblTareas[Activa],74)=1,O$7&gt;=INDEX(TblTareas[Semana],74),O$7&lt;INDEX(TblTareas[Semana],74)+INDEX(TblTareas[Duracion],74)),INDEX(TblTareas[Horas],74)/INDEX(TblTareas[Duracion],74),""))</f>
      </c>
      <c r="P81" s="64" t="str">
        <f>IF($A81="","",IF(AND(INDEX(TblTareas[Activa],74)=1,P$7&gt;=INDEX(TblTareas[Semana],74),P$7&lt;INDEX(TblTareas[Semana],74)+INDEX(TblTareas[Duracion],74)),INDEX(TblTareas[Horas],74)/INDEX(TblTareas[Duracion],74),""))</f>
      </c>
      <c r="Q81" s="64" t="str">
        <f>IF($A81="","",IF(AND(INDEX(TblTareas[Activa],74)=1,Q$7&gt;=INDEX(TblTareas[Semana],74),Q$7&lt;INDEX(TblTareas[Semana],74)+INDEX(TblTareas[Duracion],74)),INDEX(TblTareas[Horas],74)/INDEX(TblTareas[Duracion],74),""))</f>
      </c>
      <c r="R81" s="64" t="str">
        <f>IF($A81="","",IF(AND(INDEX(TblTareas[Activa],74)=1,R$7&gt;=INDEX(TblTareas[Semana],74),R$7&lt;INDEX(TblTareas[Semana],74)+INDEX(TblTareas[Duracion],74)),INDEX(TblTareas[Horas],74)/INDEX(TblTareas[Duracion],74),""))</f>
      </c>
      <c r="S81" s="64" t="str">
        <f>IF($A81="","",IF(AND(INDEX(TblTareas[Activa],74)=1,S$7&gt;=INDEX(TblTareas[Semana],74),S$7&lt;INDEX(TblTareas[Semana],74)+INDEX(TblTareas[Duracion],74)),INDEX(TblTareas[Horas],74)/INDEX(TblTareas[Duracion],74),""))</f>
      </c>
      <c r="T81" s="64" t="str">
        <f>IF($A81="","",IF(AND(INDEX(TblTareas[Activa],74)=1,T$7&gt;=INDEX(TblTareas[Semana],74),T$7&lt;INDEX(TblTareas[Semana],74)+INDEX(TblTareas[Duracion],74)),INDEX(TblTareas[Horas],74)/INDEX(TblTareas[Duracion],74),""))</f>
      </c>
    </row>
    <row r="82" ht="34" customHeight="1">
      <c r="A82" s="62" t="str">
        <f>IFERROR(IF(INDEX(TblTareas[ID],75)="","",INDEX(TblTareas[ID],75)),"")</f>
      </c>
      <c r="B82" s="62" t="str">
        <f>IF($A82="","",IFERROR(INDEX(TblTareas[Responsable],75),""))</f>
      </c>
      <c r="C82" s="62" t="str">
        <f>IF($A82="","",IFERROR(INDEX(TblTareas[Trabajo],75),""))</f>
      </c>
      <c r="D82" s="62" t="str">
        <f>IF($A82="","",IFERROR(INDEX(TblTareas[Estado],75),""))</f>
      </c>
      <c r="E82" s="64" t="str">
        <f>IF($A82="","",IF(AND(INDEX(TblTareas[Activa],75)=1,E$7&gt;=INDEX(TblTareas[Semana],75),E$7&lt;INDEX(TblTareas[Semana],75)+INDEX(TblTareas[Duracion],75)),INDEX(TblTareas[Horas],75)/INDEX(TblTareas[Duracion],75),""))</f>
      </c>
      <c r="F82" s="64" t="str">
        <f>IF($A82="","",IF(AND(INDEX(TblTareas[Activa],75)=1,F$7&gt;=INDEX(TblTareas[Semana],75),F$7&lt;INDEX(TblTareas[Semana],75)+INDEX(TblTareas[Duracion],75)),INDEX(TblTareas[Horas],75)/INDEX(TblTareas[Duracion],75),""))</f>
      </c>
      <c r="G82" s="64" t="str">
        <f>IF($A82="","",IF(AND(INDEX(TblTareas[Activa],75)=1,G$7&gt;=INDEX(TblTareas[Semana],75),G$7&lt;INDEX(TblTareas[Semana],75)+INDEX(TblTareas[Duracion],75)),INDEX(TblTareas[Horas],75)/INDEX(TblTareas[Duracion],75),""))</f>
      </c>
      <c r="H82" s="64" t="str">
        <f>IF($A82="","",IF(AND(INDEX(TblTareas[Activa],75)=1,H$7&gt;=INDEX(TblTareas[Semana],75),H$7&lt;INDEX(TblTareas[Semana],75)+INDEX(TblTareas[Duracion],75)),INDEX(TblTareas[Horas],75)/INDEX(TblTareas[Duracion],75),""))</f>
      </c>
      <c r="I82" s="64" t="str">
        <f>IF($A82="","",IF(AND(INDEX(TblTareas[Activa],75)=1,I$7&gt;=INDEX(TblTareas[Semana],75),I$7&lt;INDEX(TblTareas[Semana],75)+INDEX(TblTareas[Duracion],75)),INDEX(TblTareas[Horas],75)/INDEX(TblTareas[Duracion],75),""))</f>
      </c>
      <c r="J82" s="64" t="str">
        <f>IF($A82="","",IF(AND(INDEX(TblTareas[Activa],75)=1,J$7&gt;=INDEX(TblTareas[Semana],75),J$7&lt;INDEX(TblTareas[Semana],75)+INDEX(TblTareas[Duracion],75)),INDEX(TblTareas[Horas],75)/INDEX(TblTareas[Duracion],75),""))</f>
      </c>
      <c r="K82" s="64" t="str">
        <f>IF($A82="","",IF(AND(INDEX(TblTareas[Activa],75)=1,K$7&gt;=INDEX(TblTareas[Semana],75),K$7&lt;INDEX(TblTareas[Semana],75)+INDEX(TblTareas[Duracion],75)),INDEX(TblTareas[Horas],75)/INDEX(TblTareas[Duracion],75),""))</f>
      </c>
      <c r="L82" s="64" t="str">
        <f>IF($A82="","",IF(AND(INDEX(TblTareas[Activa],75)=1,L$7&gt;=INDEX(TblTareas[Semana],75),L$7&lt;INDEX(TblTareas[Semana],75)+INDEX(TblTareas[Duracion],75)),INDEX(TblTareas[Horas],75)/INDEX(TblTareas[Duracion],75),""))</f>
      </c>
      <c r="M82" s="64" t="str">
        <f>IF($A82="","",IF(AND(INDEX(TblTareas[Activa],75)=1,M$7&gt;=INDEX(TblTareas[Semana],75),M$7&lt;INDEX(TblTareas[Semana],75)+INDEX(TblTareas[Duracion],75)),INDEX(TblTareas[Horas],75)/INDEX(TblTareas[Duracion],75),""))</f>
      </c>
      <c r="N82" s="64" t="str">
        <f>IF($A82="","",IF(AND(INDEX(TblTareas[Activa],75)=1,N$7&gt;=INDEX(TblTareas[Semana],75),N$7&lt;INDEX(TblTareas[Semana],75)+INDEX(TblTareas[Duracion],75)),INDEX(TblTareas[Horas],75)/INDEX(TblTareas[Duracion],75),""))</f>
      </c>
      <c r="O82" s="64" t="str">
        <f>IF($A82="","",IF(AND(INDEX(TblTareas[Activa],75)=1,O$7&gt;=INDEX(TblTareas[Semana],75),O$7&lt;INDEX(TblTareas[Semana],75)+INDEX(TblTareas[Duracion],75)),INDEX(TblTareas[Horas],75)/INDEX(TblTareas[Duracion],75),""))</f>
      </c>
      <c r="P82" s="64" t="str">
        <f>IF($A82="","",IF(AND(INDEX(TblTareas[Activa],75)=1,P$7&gt;=INDEX(TblTareas[Semana],75),P$7&lt;INDEX(TblTareas[Semana],75)+INDEX(TblTareas[Duracion],75)),INDEX(TblTareas[Horas],75)/INDEX(TblTareas[Duracion],75),""))</f>
      </c>
      <c r="Q82" s="64" t="str">
        <f>IF($A82="","",IF(AND(INDEX(TblTareas[Activa],75)=1,Q$7&gt;=INDEX(TblTareas[Semana],75),Q$7&lt;INDEX(TblTareas[Semana],75)+INDEX(TblTareas[Duracion],75)),INDEX(TblTareas[Horas],75)/INDEX(TblTareas[Duracion],75),""))</f>
      </c>
      <c r="R82" s="64" t="str">
        <f>IF($A82="","",IF(AND(INDEX(TblTareas[Activa],75)=1,R$7&gt;=INDEX(TblTareas[Semana],75),R$7&lt;INDEX(TblTareas[Semana],75)+INDEX(TblTareas[Duracion],75)),INDEX(TblTareas[Horas],75)/INDEX(TblTareas[Duracion],75),""))</f>
      </c>
      <c r="S82" s="64" t="str">
        <f>IF($A82="","",IF(AND(INDEX(TblTareas[Activa],75)=1,S$7&gt;=INDEX(TblTareas[Semana],75),S$7&lt;INDEX(TblTareas[Semana],75)+INDEX(TblTareas[Duracion],75)),INDEX(TblTareas[Horas],75)/INDEX(TblTareas[Duracion],75),""))</f>
      </c>
      <c r="T82" s="64" t="str">
        <f>IF($A82="","",IF(AND(INDEX(TblTareas[Activa],75)=1,T$7&gt;=INDEX(TblTareas[Semana],75),T$7&lt;INDEX(TblTareas[Semana],75)+INDEX(TblTareas[Duracion],75)),INDEX(TblTareas[Horas],75)/INDEX(TblTareas[Duracion],75),""))</f>
      </c>
    </row>
    <row r="83" ht="34" customHeight="1">
      <c r="A83" s="62" t="str">
        <f>IFERROR(IF(INDEX(TblTareas[ID],76)="","",INDEX(TblTareas[ID],76)),"")</f>
      </c>
      <c r="B83" s="62" t="str">
        <f>IF($A83="","",IFERROR(INDEX(TblTareas[Responsable],76),""))</f>
      </c>
      <c r="C83" s="62" t="str">
        <f>IF($A83="","",IFERROR(INDEX(TblTareas[Trabajo],76),""))</f>
      </c>
      <c r="D83" s="62" t="str">
        <f>IF($A83="","",IFERROR(INDEX(TblTareas[Estado],76),""))</f>
      </c>
      <c r="E83" s="64" t="str">
        <f>IF($A83="","",IF(AND(INDEX(TblTareas[Activa],76)=1,E$7&gt;=INDEX(TblTareas[Semana],76),E$7&lt;INDEX(TblTareas[Semana],76)+INDEX(TblTareas[Duracion],76)),INDEX(TblTareas[Horas],76)/INDEX(TblTareas[Duracion],76),""))</f>
      </c>
      <c r="F83" s="64" t="str">
        <f>IF($A83="","",IF(AND(INDEX(TblTareas[Activa],76)=1,F$7&gt;=INDEX(TblTareas[Semana],76),F$7&lt;INDEX(TblTareas[Semana],76)+INDEX(TblTareas[Duracion],76)),INDEX(TblTareas[Horas],76)/INDEX(TblTareas[Duracion],76),""))</f>
      </c>
      <c r="G83" s="64" t="str">
        <f>IF($A83="","",IF(AND(INDEX(TblTareas[Activa],76)=1,G$7&gt;=INDEX(TblTareas[Semana],76),G$7&lt;INDEX(TblTareas[Semana],76)+INDEX(TblTareas[Duracion],76)),INDEX(TblTareas[Horas],76)/INDEX(TblTareas[Duracion],76),""))</f>
      </c>
      <c r="H83" s="64" t="str">
        <f>IF($A83="","",IF(AND(INDEX(TblTareas[Activa],76)=1,H$7&gt;=INDEX(TblTareas[Semana],76),H$7&lt;INDEX(TblTareas[Semana],76)+INDEX(TblTareas[Duracion],76)),INDEX(TblTareas[Horas],76)/INDEX(TblTareas[Duracion],76),""))</f>
      </c>
      <c r="I83" s="64" t="str">
        <f>IF($A83="","",IF(AND(INDEX(TblTareas[Activa],76)=1,I$7&gt;=INDEX(TblTareas[Semana],76),I$7&lt;INDEX(TblTareas[Semana],76)+INDEX(TblTareas[Duracion],76)),INDEX(TblTareas[Horas],76)/INDEX(TblTareas[Duracion],76),""))</f>
      </c>
      <c r="J83" s="64" t="str">
        <f>IF($A83="","",IF(AND(INDEX(TblTareas[Activa],76)=1,J$7&gt;=INDEX(TblTareas[Semana],76),J$7&lt;INDEX(TblTareas[Semana],76)+INDEX(TblTareas[Duracion],76)),INDEX(TblTareas[Horas],76)/INDEX(TblTareas[Duracion],76),""))</f>
      </c>
      <c r="K83" s="64" t="str">
        <f>IF($A83="","",IF(AND(INDEX(TblTareas[Activa],76)=1,K$7&gt;=INDEX(TblTareas[Semana],76),K$7&lt;INDEX(TblTareas[Semana],76)+INDEX(TblTareas[Duracion],76)),INDEX(TblTareas[Horas],76)/INDEX(TblTareas[Duracion],76),""))</f>
      </c>
      <c r="L83" s="64" t="str">
        <f>IF($A83="","",IF(AND(INDEX(TblTareas[Activa],76)=1,L$7&gt;=INDEX(TblTareas[Semana],76),L$7&lt;INDEX(TblTareas[Semana],76)+INDEX(TblTareas[Duracion],76)),INDEX(TblTareas[Horas],76)/INDEX(TblTareas[Duracion],76),""))</f>
      </c>
      <c r="M83" s="64" t="str">
        <f>IF($A83="","",IF(AND(INDEX(TblTareas[Activa],76)=1,M$7&gt;=INDEX(TblTareas[Semana],76),M$7&lt;INDEX(TblTareas[Semana],76)+INDEX(TblTareas[Duracion],76)),INDEX(TblTareas[Horas],76)/INDEX(TblTareas[Duracion],76),""))</f>
      </c>
      <c r="N83" s="64" t="str">
        <f>IF($A83="","",IF(AND(INDEX(TblTareas[Activa],76)=1,N$7&gt;=INDEX(TblTareas[Semana],76),N$7&lt;INDEX(TblTareas[Semana],76)+INDEX(TblTareas[Duracion],76)),INDEX(TblTareas[Horas],76)/INDEX(TblTareas[Duracion],76),""))</f>
      </c>
      <c r="O83" s="64" t="str">
        <f>IF($A83="","",IF(AND(INDEX(TblTareas[Activa],76)=1,O$7&gt;=INDEX(TblTareas[Semana],76),O$7&lt;INDEX(TblTareas[Semana],76)+INDEX(TblTareas[Duracion],76)),INDEX(TblTareas[Horas],76)/INDEX(TblTareas[Duracion],76),""))</f>
      </c>
      <c r="P83" s="64" t="str">
        <f>IF($A83="","",IF(AND(INDEX(TblTareas[Activa],76)=1,P$7&gt;=INDEX(TblTareas[Semana],76),P$7&lt;INDEX(TblTareas[Semana],76)+INDEX(TblTareas[Duracion],76)),INDEX(TblTareas[Horas],76)/INDEX(TblTareas[Duracion],76),""))</f>
      </c>
      <c r="Q83" s="64" t="str">
        <f>IF($A83="","",IF(AND(INDEX(TblTareas[Activa],76)=1,Q$7&gt;=INDEX(TblTareas[Semana],76),Q$7&lt;INDEX(TblTareas[Semana],76)+INDEX(TblTareas[Duracion],76)),INDEX(TblTareas[Horas],76)/INDEX(TblTareas[Duracion],76),""))</f>
      </c>
      <c r="R83" s="64" t="str">
        <f>IF($A83="","",IF(AND(INDEX(TblTareas[Activa],76)=1,R$7&gt;=INDEX(TblTareas[Semana],76),R$7&lt;INDEX(TblTareas[Semana],76)+INDEX(TblTareas[Duracion],76)),INDEX(TblTareas[Horas],76)/INDEX(TblTareas[Duracion],76),""))</f>
      </c>
      <c r="S83" s="64" t="str">
        <f>IF($A83="","",IF(AND(INDEX(TblTareas[Activa],76)=1,S$7&gt;=INDEX(TblTareas[Semana],76),S$7&lt;INDEX(TblTareas[Semana],76)+INDEX(TblTareas[Duracion],76)),INDEX(TblTareas[Horas],76)/INDEX(TblTareas[Duracion],76),""))</f>
      </c>
      <c r="T83" s="64" t="str">
        <f>IF($A83="","",IF(AND(INDEX(TblTareas[Activa],76)=1,T$7&gt;=INDEX(TblTareas[Semana],76),T$7&lt;INDEX(TblTareas[Semana],76)+INDEX(TblTareas[Duracion],76)),INDEX(TblTareas[Horas],76)/INDEX(TblTareas[Duracion],76),""))</f>
      </c>
    </row>
    <row r="84" ht="34" customHeight="1">
      <c r="A84" s="62" t="str">
        <f>IFERROR(IF(INDEX(TblTareas[ID],77)="","",INDEX(TblTareas[ID],77)),"")</f>
      </c>
      <c r="B84" s="62" t="str">
        <f>IF($A84="","",IFERROR(INDEX(TblTareas[Responsable],77),""))</f>
      </c>
      <c r="C84" s="62" t="str">
        <f>IF($A84="","",IFERROR(INDEX(TblTareas[Trabajo],77),""))</f>
      </c>
      <c r="D84" s="62" t="str">
        <f>IF($A84="","",IFERROR(INDEX(TblTareas[Estado],77),""))</f>
      </c>
      <c r="E84" s="64" t="str">
        <f>IF($A84="","",IF(AND(INDEX(TblTareas[Activa],77)=1,E$7&gt;=INDEX(TblTareas[Semana],77),E$7&lt;INDEX(TblTareas[Semana],77)+INDEX(TblTareas[Duracion],77)),INDEX(TblTareas[Horas],77)/INDEX(TblTareas[Duracion],77),""))</f>
      </c>
      <c r="F84" s="64" t="str">
        <f>IF($A84="","",IF(AND(INDEX(TblTareas[Activa],77)=1,F$7&gt;=INDEX(TblTareas[Semana],77),F$7&lt;INDEX(TblTareas[Semana],77)+INDEX(TblTareas[Duracion],77)),INDEX(TblTareas[Horas],77)/INDEX(TblTareas[Duracion],77),""))</f>
      </c>
      <c r="G84" s="64" t="str">
        <f>IF($A84="","",IF(AND(INDEX(TblTareas[Activa],77)=1,G$7&gt;=INDEX(TblTareas[Semana],77),G$7&lt;INDEX(TblTareas[Semana],77)+INDEX(TblTareas[Duracion],77)),INDEX(TblTareas[Horas],77)/INDEX(TblTareas[Duracion],77),""))</f>
      </c>
      <c r="H84" s="64" t="str">
        <f>IF($A84="","",IF(AND(INDEX(TblTareas[Activa],77)=1,H$7&gt;=INDEX(TblTareas[Semana],77),H$7&lt;INDEX(TblTareas[Semana],77)+INDEX(TblTareas[Duracion],77)),INDEX(TblTareas[Horas],77)/INDEX(TblTareas[Duracion],77),""))</f>
      </c>
      <c r="I84" s="64" t="str">
        <f>IF($A84="","",IF(AND(INDEX(TblTareas[Activa],77)=1,I$7&gt;=INDEX(TblTareas[Semana],77),I$7&lt;INDEX(TblTareas[Semana],77)+INDEX(TblTareas[Duracion],77)),INDEX(TblTareas[Horas],77)/INDEX(TblTareas[Duracion],77),""))</f>
      </c>
      <c r="J84" s="64" t="str">
        <f>IF($A84="","",IF(AND(INDEX(TblTareas[Activa],77)=1,J$7&gt;=INDEX(TblTareas[Semana],77),J$7&lt;INDEX(TblTareas[Semana],77)+INDEX(TblTareas[Duracion],77)),INDEX(TblTareas[Horas],77)/INDEX(TblTareas[Duracion],77),""))</f>
      </c>
      <c r="K84" s="64" t="str">
        <f>IF($A84="","",IF(AND(INDEX(TblTareas[Activa],77)=1,K$7&gt;=INDEX(TblTareas[Semana],77),K$7&lt;INDEX(TblTareas[Semana],77)+INDEX(TblTareas[Duracion],77)),INDEX(TblTareas[Horas],77)/INDEX(TblTareas[Duracion],77),""))</f>
      </c>
      <c r="L84" s="64" t="str">
        <f>IF($A84="","",IF(AND(INDEX(TblTareas[Activa],77)=1,L$7&gt;=INDEX(TblTareas[Semana],77),L$7&lt;INDEX(TblTareas[Semana],77)+INDEX(TblTareas[Duracion],77)),INDEX(TblTareas[Horas],77)/INDEX(TblTareas[Duracion],77),""))</f>
      </c>
      <c r="M84" s="64" t="str">
        <f>IF($A84="","",IF(AND(INDEX(TblTareas[Activa],77)=1,M$7&gt;=INDEX(TblTareas[Semana],77),M$7&lt;INDEX(TblTareas[Semana],77)+INDEX(TblTareas[Duracion],77)),INDEX(TblTareas[Horas],77)/INDEX(TblTareas[Duracion],77),""))</f>
      </c>
      <c r="N84" s="64" t="str">
        <f>IF($A84="","",IF(AND(INDEX(TblTareas[Activa],77)=1,N$7&gt;=INDEX(TblTareas[Semana],77),N$7&lt;INDEX(TblTareas[Semana],77)+INDEX(TblTareas[Duracion],77)),INDEX(TblTareas[Horas],77)/INDEX(TblTareas[Duracion],77),""))</f>
      </c>
      <c r="O84" s="64" t="str">
        <f>IF($A84="","",IF(AND(INDEX(TblTareas[Activa],77)=1,O$7&gt;=INDEX(TblTareas[Semana],77),O$7&lt;INDEX(TblTareas[Semana],77)+INDEX(TblTareas[Duracion],77)),INDEX(TblTareas[Horas],77)/INDEX(TblTareas[Duracion],77),""))</f>
      </c>
      <c r="P84" s="64" t="str">
        <f>IF($A84="","",IF(AND(INDEX(TblTareas[Activa],77)=1,P$7&gt;=INDEX(TblTareas[Semana],77),P$7&lt;INDEX(TblTareas[Semana],77)+INDEX(TblTareas[Duracion],77)),INDEX(TblTareas[Horas],77)/INDEX(TblTareas[Duracion],77),""))</f>
      </c>
      <c r="Q84" s="64" t="str">
        <f>IF($A84="","",IF(AND(INDEX(TblTareas[Activa],77)=1,Q$7&gt;=INDEX(TblTareas[Semana],77),Q$7&lt;INDEX(TblTareas[Semana],77)+INDEX(TblTareas[Duracion],77)),INDEX(TblTareas[Horas],77)/INDEX(TblTareas[Duracion],77),""))</f>
      </c>
      <c r="R84" s="64" t="str">
        <f>IF($A84="","",IF(AND(INDEX(TblTareas[Activa],77)=1,R$7&gt;=INDEX(TblTareas[Semana],77),R$7&lt;INDEX(TblTareas[Semana],77)+INDEX(TblTareas[Duracion],77)),INDEX(TblTareas[Horas],77)/INDEX(TblTareas[Duracion],77),""))</f>
      </c>
      <c r="S84" s="64" t="str">
        <f>IF($A84="","",IF(AND(INDEX(TblTareas[Activa],77)=1,S$7&gt;=INDEX(TblTareas[Semana],77),S$7&lt;INDEX(TblTareas[Semana],77)+INDEX(TblTareas[Duracion],77)),INDEX(TblTareas[Horas],77)/INDEX(TblTareas[Duracion],77),""))</f>
      </c>
      <c r="T84" s="64" t="str">
        <f>IF($A84="","",IF(AND(INDEX(TblTareas[Activa],77)=1,T$7&gt;=INDEX(TblTareas[Semana],77),T$7&lt;INDEX(TblTareas[Semana],77)+INDEX(TblTareas[Duracion],77)),INDEX(TblTareas[Horas],77)/INDEX(TblTareas[Duracion],77),""))</f>
      </c>
    </row>
    <row r="85" ht="34" customHeight="1">
      <c r="A85" s="62" t="str">
        <f>IFERROR(IF(INDEX(TblTareas[ID],78)="","",INDEX(TblTareas[ID],78)),"")</f>
      </c>
      <c r="B85" s="62" t="str">
        <f>IF($A85="","",IFERROR(INDEX(TblTareas[Responsable],78),""))</f>
      </c>
      <c r="C85" s="62" t="str">
        <f>IF($A85="","",IFERROR(INDEX(TblTareas[Trabajo],78),""))</f>
      </c>
      <c r="D85" s="62" t="str">
        <f>IF($A85="","",IFERROR(INDEX(TblTareas[Estado],78),""))</f>
      </c>
      <c r="E85" s="64" t="str">
        <f>IF($A85="","",IF(AND(INDEX(TblTareas[Activa],78)=1,E$7&gt;=INDEX(TblTareas[Semana],78),E$7&lt;INDEX(TblTareas[Semana],78)+INDEX(TblTareas[Duracion],78)),INDEX(TblTareas[Horas],78)/INDEX(TblTareas[Duracion],78),""))</f>
      </c>
      <c r="F85" s="64" t="str">
        <f>IF($A85="","",IF(AND(INDEX(TblTareas[Activa],78)=1,F$7&gt;=INDEX(TblTareas[Semana],78),F$7&lt;INDEX(TblTareas[Semana],78)+INDEX(TblTareas[Duracion],78)),INDEX(TblTareas[Horas],78)/INDEX(TblTareas[Duracion],78),""))</f>
      </c>
      <c r="G85" s="64" t="str">
        <f>IF($A85="","",IF(AND(INDEX(TblTareas[Activa],78)=1,G$7&gt;=INDEX(TblTareas[Semana],78),G$7&lt;INDEX(TblTareas[Semana],78)+INDEX(TblTareas[Duracion],78)),INDEX(TblTareas[Horas],78)/INDEX(TblTareas[Duracion],78),""))</f>
      </c>
      <c r="H85" s="64" t="str">
        <f>IF($A85="","",IF(AND(INDEX(TblTareas[Activa],78)=1,H$7&gt;=INDEX(TblTareas[Semana],78),H$7&lt;INDEX(TblTareas[Semana],78)+INDEX(TblTareas[Duracion],78)),INDEX(TblTareas[Horas],78)/INDEX(TblTareas[Duracion],78),""))</f>
      </c>
      <c r="I85" s="64" t="str">
        <f>IF($A85="","",IF(AND(INDEX(TblTareas[Activa],78)=1,I$7&gt;=INDEX(TblTareas[Semana],78),I$7&lt;INDEX(TblTareas[Semana],78)+INDEX(TblTareas[Duracion],78)),INDEX(TblTareas[Horas],78)/INDEX(TblTareas[Duracion],78),""))</f>
      </c>
      <c r="J85" s="64" t="str">
        <f>IF($A85="","",IF(AND(INDEX(TblTareas[Activa],78)=1,J$7&gt;=INDEX(TblTareas[Semana],78),J$7&lt;INDEX(TblTareas[Semana],78)+INDEX(TblTareas[Duracion],78)),INDEX(TblTareas[Horas],78)/INDEX(TblTareas[Duracion],78),""))</f>
      </c>
      <c r="K85" s="64" t="str">
        <f>IF($A85="","",IF(AND(INDEX(TblTareas[Activa],78)=1,K$7&gt;=INDEX(TblTareas[Semana],78),K$7&lt;INDEX(TblTareas[Semana],78)+INDEX(TblTareas[Duracion],78)),INDEX(TblTareas[Horas],78)/INDEX(TblTareas[Duracion],78),""))</f>
      </c>
      <c r="L85" s="64" t="str">
        <f>IF($A85="","",IF(AND(INDEX(TblTareas[Activa],78)=1,L$7&gt;=INDEX(TblTareas[Semana],78),L$7&lt;INDEX(TblTareas[Semana],78)+INDEX(TblTareas[Duracion],78)),INDEX(TblTareas[Horas],78)/INDEX(TblTareas[Duracion],78),""))</f>
      </c>
      <c r="M85" s="64" t="str">
        <f>IF($A85="","",IF(AND(INDEX(TblTareas[Activa],78)=1,M$7&gt;=INDEX(TblTareas[Semana],78),M$7&lt;INDEX(TblTareas[Semana],78)+INDEX(TblTareas[Duracion],78)),INDEX(TblTareas[Horas],78)/INDEX(TblTareas[Duracion],78),""))</f>
      </c>
      <c r="N85" s="64" t="str">
        <f>IF($A85="","",IF(AND(INDEX(TblTareas[Activa],78)=1,N$7&gt;=INDEX(TblTareas[Semana],78),N$7&lt;INDEX(TblTareas[Semana],78)+INDEX(TblTareas[Duracion],78)),INDEX(TblTareas[Horas],78)/INDEX(TblTareas[Duracion],78),""))</f>
      </c>
      <c r="O85" s="64" t="str">
        <f>IF($A85="","",IF(AND(INDEX(TblTareas[Activa],78)=1,O$7&gt;=INDEX(TblTareas[Semana],78),O$7&lt;INDEX(TblTareas[Semana],78)+INDEX(TblTareas[Duracion],78)),INDEX(TblTareas[Horas],78)/INDEX(TblTareas[Duracion],78),""))</f>
      </c>
      <c r="P85" s="64" t="str">
        <f>IF($A85="","",IF(AND(INDEX(TblTareas[Activa],78)=1,P$7&gt;=INDEX(TblTareas[Semana],78),P$7&lt;INDEX(TblTareas[Semana],78)+INDEX(TblTareas[Duracion],78)),INDEX(TblTareas[Horas],78)/INDEX(TblTareas[Duracion],78),""))</f>
      </c>
      <c r="Q85" s="64" t="str">
        <f>IF($A85="","",IF(AND(INDEX(TblTareas[Activa],78)=1,Q$7&gt;=INDEX(TblTareas[Semana],78),Q$7&lt;INDEX(TblTareas[Semana],78)+INDEX(TblTareas[Duracion],78)),INDEX(TblTareas[Horas],78)/INDEX(TblTareas[Duracion],78),""))</f>
      </c>
      <c r="R85" s="64" t="str">
        <f>IF($A85="","",IF(AND(INDEX(TblTareas[Activa],78)=1,R$7&gt;=INDEX(TblTareas[Semana],78),R$7&lt;INDEX(TblTareas[Semana],78)+INDEX(TblTareas[Duracion],78)),INDEX(TblTareas[Horas],78)/INDEX(TblTareas[Duracion],78),""))</f>
      </c>
      <c r="S85" s="64" t="str">
        <f>IF($A85="","",IF(AND(INDEX(TblTareas[Activa],78)=1,S$7&gt;=INDEX(TblTareas[Semana],78),S$7&lt;INDEX(TblTareas[Semana],78)+INDEX(TblTareas[Duracion],78)),INDEX(TblTareas[Horas],78)/INDEX(TblTareas[Duracion],78),""))</f>
      </c>
      <c r="T85" s="64" t="str">
        <f>IF($A85="","",IF(AND(INDEX(TblTareas[Activa],78)=1,T$7&gt;=INDEX(TblTareas[Semana],78),T$7&lt;INDEX(TblTareas[Semana],78)+INDEX(TblTareas[Duracion],78)),INDEX(TblTareas[Horas],78)/INDEX(TblTareas[Duracion],78),""))</f>
      </c>
    </row>
    <row r="86" ht="34" customHeight="1">
      <c r="A86" s="62" t="str">
        <f>IFERROR(IF(INDEX(TblTareas[ID],79)="","",INDEX(TblTareas[ID],79)),"")</f>
      </c>
      <c r="B86" s="62" t="str">
        <f>IF($A86="","",IFERROR(INDEX(TblTareas[Responsable],79),""))</f>
      </c>
      <c r="C86" s="62" t="str">
        <f>IF($A86="","",IFERROR(INDEX(TblTareas[Trabajo],79),""))</f>
      </c>
      <c r="D86" s="62" t="str">
        <f>IF($A86="","",IFERROR(INDEX(TblTareas[Estado],79),""))</f>
      </c>
      <c r="E86" s="64" t="str">
        <f>IF($A86="","",IF(AND(INDEX(TblTareas[Activa],79)=1,E$7&gt;=INDEX(TblTareas[Semana],79),E$7&lt;INDEX(TblTareas[Semana],79)+INDEX(TblTareas[Duracion],79)),INDEX(TblTareas[Horas],79)/INDEX(TblTareas[Duracion],79),""))</f>
      </c>
      <c r="F86" s="64" t="str">
        <f>IF($A86="","",IF(AND(INDEX(TblTareas[Activa],79)=1,F$7&gt;=INDEX(TblTareas[Semana],79),F$7&lt;INDEX(TblTareas[Semana],79)+INDEX(TblTareas[Duracion],79)),INDEX(TblTareas[Horas],79)/INDEX(TblTareas[Duracion],79),""))</f>
      </c>
      <c r="G86" s="64" t="str">
        <f>IF($A86="","",IF(AND(INDEX(TblTareas[Activa],79)=1,G$7&gt;=INDEX(TblTareas[Semana],79),G$7&lt;INDEX(TblTareas[Semana],79)+INDEX(TblTareas[Duracion],79)),INDEX(TblTareas[Horas],79)/INDEX(TblTareas[Duracion],79),""))</f>
      </c>
      <c r="H86" s="64" t="str">
        <f>IF($A86="","",IF(AND(INDEX(TblTareas[Activa],79)=1,H$7&gt;=INDEX(TblTareas[Semana],79),H$7&lt;INDEX(TblTareas[Semana],79)+INDEX(TblTareas[Duracion],79)),INDEX(TblTareas[Horas],79)/INDEX(TblTareas[Duracion],79),""))</f>
      </c>
      <c r="I86" s="64" t="str">
        <f>IF($A86="","",IF(AND(INDEX(TblTareas[Activa],79)=1,I$7&gt;=INDEX(TblTareas[Semana],79),I$7&lt;INDEX(TblTareas[Semana],79)+INDEX(TblTareas[Duracion],79)),INDEX(TblTareas[Horas],79)/INDEX(TblTareas[Duracion],79),""))</f>
      </c>
      <c r="J86" s="64" t="str">
        <f>IF($A86="","",IF(AND(INDEX(TblTareas[Activa],79)=1,J$7&gt;=INDEX(TblTareas[Semana],79),J$7&lt;INDEX(TblTareas[Semana],79)+INDEX(TblTareas[Duracion],79)),INDEX(TblTareas[Horas],79)/INDEX(TblTareas[Duracion],79),""))</f>
      </c>
      <c r="K86" s="64" t="str">
        <f>IF($A86="","",IF(AND(INDEX(TblTareas[Activa],79)=1,K$7&gt;=INDEX(TblTareas[Semana],79),K$7&lt;INDEX(TblTareas[Semana],79)+INDEX(TblTareas[Duracion],79)),INDEX(TblTareas[Horas],79)/INDEX(TblTareas[Duracion],79),""))</f>
      </c>
      <c r="L86" s="64" t="str">
        <f>IF($A86="","",IF(AND(INDEX(TblTareas[Activa],79)=1,L$7&gt;=INDEX(TblTareas[Semana],79),L$7&lt;INDEX(TblTareas[Semana],79)+INDEX(TblTareas[Duracion],79)),INDEX(TblTareas[Horas],79)/INDEX(TblTareas[Duracion],79),""))</f>
      </c>
      <c r="M86" s="64" t="str">
        <f>IF($A86="","",IF(AND(INDEX(TblTareas[Activa],79)=1,M$7&gt;=INDEX(TblTareas[Semana],79),M$7&lt;INDEX(TblTareas[Semana],79)+INDEX(TblTareas[Duracion],79)),INDEX(TblTareas[Horas],79)/INDEX(TblTareas[Duracion],79),""))</f>
      </c>
      <c r="N86" s="64" t="str">
        <f>IF($A86="","",IF(AND(INDEX(TblTareas[Activa],79)=1,N$7&gt;=INDEX(TblTareas[Semana],79),N$7&lt;INDEX(TblTareas[Semana],79)+INDEX(TblTareas[Duracion],79)),INDEX(TblTareas[Horas],79)/INDEX(TblTareas[Duracion],79),""))</f>
      </c>
      <c r="O86" s="64" t="str">
        <f>IF($A86="","",IF(AND(INDEX(TblTareas[Activa],79)=1,O$7&gt;=INDEX(TblTareas[Semana],79),O$7&lt;INDEX(TblTareas[Semana],79)+INDEX(TblTareas[Duracion],79)),INDEX(TblTareas[Horas],79)/INDEX(TblTareas[Duracion],79),""))</f>
      </c>
      <c r="P86" s="64" t="str">
        <f>IF($A86="","",IF(AND(INDEX(TblTareas[Activa],79)=1,P$7&gt;=INDEX(TblTareas[Semana],79),P$7&lt;INDEX(TblTareas[Semana],79)+INDEX(TblTareas[Duracion],79)),INDEX(TblTareas[Horas],79)/INDEX(TblTareas[Duracion],79),""))</f>
      </c>
      <c r="Q86" s="64" t="str">
        <f>IF($A86="","",IF(AND(INDEX(TblTareas[Activa],79)=1,Q$7&gt;=INDEX(TblTareas[Semana],79),Q$7&lt;INDEX(TblTareas[Semana],79)+INDEX(TblTareas[Duracion],79)),INDEX(TblTareas[Horas],79)/INDEX(TblTareas[Duracion],79),""))</f>
      </c>
      <c r="R86" s="64" t="str">
        <f>IF($A86="","",IF(AND(INDEX(TblTareas[Activa],79)=1,R$7&gt;=INDEX(TblTareas[Semana],79),R$7&lt;INDEX(TblTareas[Semana],79)+INDEX(TblTareas[Duracion],79)),INDEX(TblTareas[Horas],79)/INDEX(TblTareas[Duracion],79),""))</f>
      </c>
      <c r="S86" s="64" t="str">
        <f>IF($A86="","",IF(AND(INDEX(TblTareas[Activa],79)=1,S$7&gt;=INDEX(TblTareas[Semana],79),S$7&lt;INDEX(TblTareas[Semana],79)+INDEX(TblTareas[Duracion],79)),INDEX(TblTareas[Horas],79)/INDEX(TblTareas[Duracion],79),""))</f>
      </c>
      <c r="T86" s="64" t="str">
        <f>IF($A86="","",IF(AND(INDEX(TblTareas[Activa],79)=1,T$7&gt;=INDEX(TblTareas[Semana],79),T$7&lt;INDEX(TblTareas[Semana],79)+INDEX(TblTareas[Duracion],79)),INDEX(TblTareas[Horas],79)/INDEX(TblTareas[Duracion],79),""))</f>
      </c>
    </row>
    <row r="87" ht="34" customHeight="1">
      <c r="A87" s="62" t="str">
        <f>IFERROR(IF(INDEX(TblTareas[ID],80)="","",INDEX(TblTareas[ID],80)),"")</f>
      </c>
      <c r="B87" s="62" t="str">
        <f>IF($A87="","",IFERROR(INDEX(TblTareas[Responsable],80),""))</f>
      </c>
      <c r="C87" s="62" t="str">
        <f>IF($A87="","",IFERROR(INDEX(TblTareas[Trabajo],80),""))</f>
      </c>
      <c r="D87" s="62" t="str">
        <f>IF($A87="","",IFERROR(INDEX(TblTareas[Estado],80),""))</f>
      </c>
      <c r="E87" s="64" t="str">
        <f>IF($A87="","",IF(AND(INDEX(TblTareas[Activa],80)=1,E$7&gt;=INDEX(TblTareas[Semana],80),E$7&lt;INDEX(TblTareas[Semana],80)+INDEX(TblTareas[Duracion],80)),INDEX(TblTareas[Horas],80)/INDEX(TblTareas[Duracion],80),""))</f>
      </c>
      <c r="F87" s="64" t="str">
        <f>IF($A87="","",IF(AND(INDEX(TblTareas[Activa],80)=1,F$7&gt;=INDEX(TblTareas[Semana],80),F$7&lt;INDEX(TblTareas[Semana],80)+INDEX(TblTareas[Duracion],80)),INDEX(TblTareas[Horas],80)/INDEX(TblTareas[Duracion],80),""))</f>
      </c>
      <c r="G87" s="64" t="str">
        <f>IF($A87="","",IF(AND(INDEX(TblTareas[Activa],80)=1,G$7&gt;=INDEX(TblTareas[Semana],80),G$7&lt;INDEX(TblTareas[Semana],80)+INDEX(TblTareas[Duracion],80)),INDEX(TblTareas[Horas],80)/INDEX(TblTareas[Duracion],80),""))</f>
      </c>
      <c r="H87" s="64" t="str">
        <f>IF($A87="","",IF(AND(INDEX(TblTareas[Activa],80)=1,H$7&gt;=INDEX(TblTareas[Semana],80),H$7&lt;INDEX(TblTareas[Semana],80)+INDEX(TblTareas[Duracion],80)),INDEX(TblTareas[Horas],80)/INDEX(TblTareas[Duracion],80),""))</f>
      </c>
      <c r="I87" s="64" t="str">
        <f>IF($A87="","",IF(AND(INDEX(TblTareas[Activa],80)=1,I$7&gt;=INDEX(TblTareas[Semana],80),I$7&lt;INDEX(TblTareas[Semana],80)+INDEX(TblTareas[Duracion],80)),INDEX(TblTareas[Horas],80)/INDEX(TblTareas[Duracion],80),""))</f>
      </c>
      <c r="J87" s="64" t="str">
        <f>IF($A87="","",IF(AND(INDEX(TblTareas[Activa],80)=1,J$7&gt;=INDEX(TblTareas[Semana],80),J$7&lt;INDEX(TblTareas[Semana],80)+INDEX(TblTareas[Duracion],80)),INDEX(TblTareas[Horas],80)/INDEX(TblTareas[Duracion],80),""))</f>
      </c>
      <c r="K87" s="64" t="str">
        <f>IF($A87="","",IF(AND(INDEX(TblTareas[Activa],80)=1,K$7&gt;=INDEX(TblTareas[Semana],80),K$7&lt;INDEX(TblTareas[Semana],80)+INDEX(TblTareas[Duracion],80)),INDEX(TblTareas[Horas],80)/INDEX(TblTareas[Duracion],80),""))</f>
      </c>
      <c r="L87" s="64" t="str">
        <f>IF($A87="","",IF(AND(INDEX(TblTareas[Activa],80)=1,L$7&gt;=INDEX(TblTareas[Semana],80),L$7&lt;INDEX(TblTareas[Semana],80)+INDEX(TblTareas[Duracion],80)),INDEX(TblTareas[Horas],80)/INDEX(TblTareas[Duracion],80),""))</f>
      </c>
      <c r="M87" s="64" t="str">
        <f>IF($A87="","",IF(AND(INDEX(TblTareas[Activa],80)=1,M$7&gt;=INDEX(TblTareas[Semana],80),M$7&lt;INDEX(TblTareas[Semana],80)+INDEX(TblTareas[Duracion],80)),INDEX(TblTareas[Horas],80)/INDEX(TblTareas[Duracion],80),""))</f>
      </c>
      <c r="N87" s="64" t="str">
        <f>IF($A87="","",IF(AND(INDEX(TblTareas[Activa],80)=1,N$7&gt;=INDEX(TblTareas[Semana],80),N$7&lt;INDEX(TblTareas[Semana],80)+INDEX(TblTareas[Duracion],80)),INDEX(TblTareas[Horas],80)/INDEX(TblTareas[Duracion],80),""))</f>
      </c>
      <c r="O87" s="64" t="str">
        <f>IF($A87="","",IF(AND(INDEX(TblTareas[Activa],80)=1,O$7&gt;=INDEX(TblTareas[Semana],80),O$7&lt;INDEX(TblTareas[Semana],80)+INDEX(TblTareas[Duracion],80)),INDEX(TblTareas[Horas],80)/INDEX(TblTareas[Duracion],80),""))</f>
      </c>
      <c r="P87" s="64" t="str">
        <f>IF($A87="","",IF(AND(INDEX(TblTareas[Activa],80)=1,P$7&gt;=INDEX(TblTareas[Semana],80),P$7&lt;INDEX(TblTareas[Semana],80)+INDEX(TblTareas[Duracion],80)),INDEX(TblTareas[Horas],80)/INDEX(TblTareas[Duracion],80),""))</f>
      </c>
      <c r="Q87" s="64" t="str">
        <f>IF($A87="","",IF(AND(INDEX(TblTareas[Activa],80)=1,Q$7&gt;=INDEX(TblTareas[Semana],80),Q$7&lt;INDEX(TblTareas[Semana],80)+INDEX(TblTareas[Duracion],80)),INDEX(TblTareas[Horas],80)/INDEX(TblTareas[Duracion],80),""))</f>
      </c>
      <c r="R87" s="64" t="str">
        <f>IF($A87="","",IF(AND(INDEX(TblTareas[Activa],80)=1,R$7&gt;=INDEX(TblTareas[Semana],80),R$7&lt;INDEX(TblTareas[Semana],80)+INDEX(TblTareas[Duracion],80)),INDEX(TblTareas[Horas],80)/INDEX(TblTareas[Duracion],80),""))</f>
      </c>
      <c r="S87" s="64" t="str">
        <f>IF($A87="","",IF(AND(INDEX(TblTareas[Activa],80)=1,S$7&gt;=INDEX(TblTareas[Semana],80),S$7&lt;INDEX(TblTareas[Semana],80)+INDEX(TblTareas[Duracion],80)),INDEX(TblTareas[Horas],80)/INDEX(TblTareas[Duracion],80),""))</f>
      </c>
      <c r="T87" s="64" t="str">
        <f>IF($A87="","",IF(AND(INDEX(TblTareas[Activa],80)=1,T$7&gt;=INDEX(TblTareas[Semana],80),T$7&lt;INDEX(TblTareas[Semana],80)+INDEX(TblTareas[Duracion],80)),INDEX(TblTareas[Horas],80)/INDEX(TblTareas[Duracion],80),""))</f>
      </c>
    </row>
    <row r="88" ht="34" customHeight="1">
      <c r="A88" s="62" t="str">
        <f>IFERROR(IF(INDEX(TblTareas[ID],81)="","",INDEX(TblTareas[ID],81)),"")</f>
      </c>
      <c r="B88" s="62" t="str">
        <f>IF($A88="","",IFERROR(INDEX(TblTareas[Responsable],81),""))</f>
      </c>
      <c r="C88" s="62" t="str">
        <f>IF($A88="","",IFERROR(INDEX(TblTareas[Trabajo],81),""))</f>
      </c>
      <c r="D88" s="62" t="str">
        <f>IF($A88="","",IFERROR(INDEX(TblTareas[Estado],81),""))</f>
      </c>
      <c r="E88" s="64" t="str">
        <f>IF($A88="","",IF(AND(INDEX(TblTareas[Activa],81)=1,E$7&gt;=INDEX(TblTareas[Semana],81),E$7&lt;INDEX(TblTareas[Semana],81)+INDEX(TblTareas[Duracion],81)),INDEX(TblTareas[Horas],81)/INDEX(TblTareas[Duracion],81),""))</f>
      </c>
      <c r="F88" s="64" t="str">
        <f>IF($A88="","",IF(AND(INDEX(TblTareas[Activa],81)=1,F$7&gt;=INDEX(TblTareas[Semana],81),F$7&lt;INDEX(TblTareas[Semana],81)+INDEX(TblTareas[Duracion],81)),INDEX(TblTareas[Horas],81)/INDEX(TblTareas[Duracion],81),""))</f>
      </c>
      <c r="G88" s="64" t="str">
        <f>IF($A88="","",IF(AND(INDEX(TblTareas[Activa],81)=1,G$7&gt;=INDEX(TblTareas[Semana],81),G$7&lt;INDEX(TblTareas[Semana],81)+INDEX(TblTareas[Duracion],81)),INDEX(TblTareas[Horas],81)/INDEX(TblTareas[Duracion],81),""))</f>
      </c>
      <c r="H88" s="64" t="str">
        <f>IF($A88="","",IF(AND(INDEX(TblTareas[Activa],81)=1,H$7&gt;=INDEX(TblTareas[Semana],81),H$7&lt;INDEX(TblTareas[Semana],81)+INDEX(TblTareas[Duracion],81)),INDEX(TblTareas[Horas],81)/INDEX(TblTareas[Duracion],81),""))</f>
      </c>
      <c r="I88" s="64" t="str">
        <f>IF($A88="","",IF(AND(INDEX(TblTareas[Activa],81)=1,I$7&gt;=INDEX(TblTareas[Semana],81),I$7&lt;INDEX(TblTareas[Semana],81)+INDEX(TblTareas[Duracion],81)),INDEX(TblTareas[Horas],81)/INDEX(TblTareas[Duracion],81),""))</f>
      </c>
      <c r="J88" s="64" t="str">
        <f>IF($A88="","",IF(AND(INDEX(TblTareas[Activa],81)=1,J$7&gt;=INDEX(TblTareas[Semana],81),J$7&lt;INDEX(TblTareas[Semana],81)+INDEX(TblTareas[Duracion],81)),INDEX(TblTareas[Horas],81)/INDEX(TblTareas[Duracion],81),""))</f>
      </c>
      <c r="K88" s="64" t="str">
        <f>IF($A88="","",IF(AND(INDEX(TblTareas[Activa],81)=1,K$7&gt;=INDEX(TblTareas[Semana],81),K$7&lt;INDEX(TblTareas[Semana],81)+INDEX(TblTareas[Duracion],81)),INDEX(TblTareas[Horas],81)/INDEX(TblTareas[Duracion],81),""))</f>
      </c>
      <c r="L88" s="64" t="str">
        <f>IF($A88="","",IF(AND(INDEX(TblTareas[Activa],81)=1,L$7&gt;=INDEX(TblTareas[Semana],81),L$7&lt;INDEX(TblTareas[Semana],81)+INDEX(TblTareas[Duracion],81)),INDEX(TblTareas[Horas],81)/INDEX(TblTareas[Duracion],81),""))</f>
      </c>
      <c r="M88" s="64" t="str">
        <f>IF($A88="","",IF(AND(INDEX(TblTareas[Activa],81)=1,M$7&gt;=INDEX(TblTareas[Semana],81),M$7&lt;INDEX(TblTareas[Semana],81)+INDEX(TblTareas[Duracion],81)),INDEX(TblTareas[Horas],81)/INDEX(TblTareas[Duracion],81),""))</f>
      </c>
      <c r="N88" s="64" t="str">
        <f>IF($A88="","",IF(AND(INDEX(TblTareas[Activa],81)=1,N$7&gt;=INDEX(TblTareas[Semana],81),N$7&lt;INDEX(TblTareas[Semana],81)+INDEX(TblTareas[Duracion],81)),INDEX(TblTareas[Horas],81)/INDEX(TblTareas[Duracion],81),""))</f>
      </c>
      <c r="O88" s="64" t="str">
        <f>IF($A88="","",IF(AND(INDEX(TblTareas[Activa],81)=1,O$7&gt;=INDEX(TblTareas[Semana],81),O$7&lt;INDEX(TblTareas[Semana],81)+INDEX(TblTareas[Duracion],81)),INDEX(TblTareas[Horas],81)/INDEX(TblTareas[Duracion],81),""))</f>
      </c>
      <c r="P88" s="64" t="str">
        <f>IF($A88="","",IF(AND(INDEX(TblTareas[Activa],81)=1,P$7&gt;=INDEX(TblTareas[Semana],81),P$7&lt;INDEX(TblTareas[Semana],81)+INDEX(TblTareas[Duracion],81)),INDEX(TblTareas[Horas],81)/INDEX(TblTareas[Duracion],81),""))</f>
      </c>
      <c r="Q88" s="64" t="str">
        <f>IF($A88="","",IF(AND(INDEX(TblTareas[Activa],81)=1,Q$7&gt;=INDEX(TblTareas[Semana],81),Q$7&lt;INDEX(TblTareas[Semana],81)+INDEX(TblTareas[Duracion],81)),INDEX(TblTareas[Horas],81)/INDEX(TblTareas[Duracion],81),""))</f>
      </c>
      <c r="R88" s="64" t="str">
        <f>IF($A88="","",IF(AND(INDEX(TblTareas[Activa],81)=1,R$7&gt;=INDEX(TblTareas[Semana],81),R$7&lt;INDEX(TblTareas[Semana],81)+INDEX(TblTareas[Duracion],81)),INDEX(TblTareas[Horas],81)/INDEX(TblTareas[Duracion],81),""))</f>
      </c>
      <c r="S88" s="64" t="str">
        <f>IF($A88="","",IF(AND(INDEX(TblTareas[Activa],81)=1,S$7&gt;=INDEX(TblTareas[Semana],81),S$7&lt;INDEX(TblTareas[Semana],81)+INDEX(TblTareas[Duracion],81)),INDEX(TblTareas[Horas],81)/INDEX(TblTareas[Duracion],81),""))</f>
      </c>
      <c r="T88" s="64" t="str">
        <f>IF($A88="","",IF(AND(INDEX(TblTareas[Activa],81)=1,T$7&gt;=INDEX(TblTareas[Semana],81),T$7&lt;INDEX(TblTareas[Semana],81)+INDEX(TblTareas[Duracion],81)),INDEX(TblTareas[Horas],81)/INDEX(TblTareas[Duracion],81),""))</f>
      </c>
    </row>
    <row r="89" ht="34" customHeight="1">
      <c r="A89" s="62" t="str">
        <f>IFERROR(IF(INDEX(TblTareas[ID],82)="","",INDEX(TblTareas[ID],82)),"")</f>
      </c>
      <c r="B89" s="62" t="str">
        <f>IF($A89="","",IFERROR(INDEX(TblTareas[Responsable],82),""))</f>
      </c>
      <c r="C89" s="62" t="str">
        <f>IF($A89="","",IFERROR(INDEX(TblTareas[Trabajo],82),""))</f>
      </c>
      <c r="D89" s="62" t="str">
        <f>IF($A89="","",IFERROR(INDEX(TblTareas[Estado],82),""))</f>
      </c>
      <c r="E89" s="64" t="str">
        <f>IF($A89="","",IF(AND(INDEX(TblTareas[Activa],82)=1,E$7&gt;=INDEX(TblTareas[Semana],82),E$7&lt;INDEX(TblTareas[Semana],82)+INDEX(TblTareas[Duracion],82)),INDEX(TblTareas[Horas],82)/INDEX(TblTareas[Duracion],82),""))</f>
      </c>
      <c r="F89" s="64" t="str">
        <f>IF($A89="","",IF(AND(INDEX(TblTareas[Activa],82)=1,F$7&gt;=INDEX(TblTareas[Semana],82),F$7&lt;INDEX(TblTareas[Semana],82)+INDEX(TblTareas[Duracion],82)),INDEX(TblTareas[Horas],82)/INDEX(TblTareas[Duracion],82),""))</f>
      </c>
      <c r="G89" s="64" t="str">
        <f>IF($A89="","",IF(AND(INDEX(TblTareas[Activa],82)=1,G$7&gt;=INDEX(TblTareas[Semana],82),G$7&lt;INDEX(TblTareas[Semana],82)+INDEX(TblTareas[Duracion],82)),INDEX(TblTareas[Horas],82)/INDEX(TblTareas[Duracion],82),""))</f>
      </c>
      <c r="H89" s="64" t="str">
        <f>IF($A89="","",IF(AND(INDEX(TblTareas[Activa],82)=1,H$7&gt;=INDEX(TblTareas[Semana],82),H$7&lt;INDEX(TblTareas[Semana],82)+INDEX(TblTareas[Duracion],82)),INDEX(TblTareas[Horas],82)/INDEX(TblTareas[Duracion],82),""))</f>
      </c>
      <c r="I89" s="64" t="str">
        <f>IF($A89="","",IF(AND(INDEX(TblTareas[Activa],82)=1,I$7&gt;=INDEX(TblTareas[Semana],82),I$7&lt;INDEX(TblTareas[Semana],82)+INDEX(TblTareas[Duracion],82)),INDEX(TblTareas[Horas],82)/INDEX(TblTareas[Duracion],82),""))</f>
      </c>
      <c r="J89" s="64" t="str">
        <f>IF($A89="","",IF(AND(INDEX(TblTareas[Activa],82)=1,J$7&gt;=INDEX(TblTareas[Semana],82),J$7&lt;INDEX(TblTareas[Semana],82)+INDEX(TblTareas[Duracion],82)),INDEX(TblTareas[Horas],82)/INDEX(TblTareas[Duracion],82),""))</f>
      </c>
      <c r="K89" s="64" t="str">
        <f>IF($A89="","",IF(AND(INDEX(TblTareas[Activa],82)=1,K$7&gt;=INDEX(TblTareas[Semana],82),K$7&lt;INDEX(TblTareas[Semana],82)+INDEX(TblTareas[Duracion],82)),INDEX(TblTareas[Horas],82)/INDEX(TblTareas[Duracion],82),""))</f>
      </c>
      <c r="L89" s="64" t="str">
        <f>IF($A89="","",IF(AND(INDEX(TblTareas[Activa],82)=1,L$7&gt;=INDEX(TblTareas[Semana],82),L$7&lt;INDEX(TblTareas[Semana],82)+INDEX(TblTareas[Duracion],82)),INDEX(TblTareas[Horas],82)/INDEX(TblTareas[Duracion],82),""))</f>
      </c>
      <c r="M89" s="64" t="str">
        <f>IF($A89="","",IF(AND(INDEX(TblTareas[Activa],82)=1,M$7&gt;=INDEX(TblTareas[Semana],82),M$7&lt;INDEX(TblTareas[Semana],82)+INDEX(TblTareas[Duracion],82)),INDEX(TblTareas[Horas],82)/INDEX(TblTareas[Duracion],82),""))</f>
      </c>
      <c r="N89" s="64" t="str">
        <f>IF($A89="","",IF(AND(INDEX(TblTareas[Activa],82)=1,N$7&gt;=INDEX(TblTareas[Semana],82),N$7&lt;INDEX(TblTareas[Semana],82)+INDEX(TblTareas[Duracion],82)),INDEX(TblTareas[Horas],82)/INDEX(TblTareas[Duracion],82),""))</f>
      </c>
      <c r="O89" s="64" t="str">
        <f>IF($A89="","",IF(AND(INDEX(TblTareas[Activa],82)=1,O$7&gt;=INDEX(TblTareas[Semana],82),O$7&lt;INDEX(TblTareas[Semana],82)+INDEX(TblTareas[Duracion],82)),INDEX(TblTareas[Horas],82)/INDEX(TblTareas[Duracion],82),""))</f>
      </c>
      <c r="P89" s="64" t="str">
        <f>IF($A89="","",IF(AND(INDEX(TblTareas[Activa],82)=1,P$7&gt;=INDEX(TblTareas[Semana],82),P$7&lt;INDEX(TblTareas[Semana],82)+INDEX(TblTareas[Duracion],82)),INDEX(TblTareas[Horas],82)/INDEX(TblTareas[Duracion],82),""))</f>
      </c>
      <c r="Q89" s="64" t="str">
        <f>IF($A89="","",IF(AND(INDEX(TblTareas[Activa],82)=1,Q$7&gt;=INDEX(TblTareas[Semana],82),Q$7&lt;INDEX(TblTareas[Semana],82)+INDEX(TblTareas[Duracion],82)),INDEX(TblTareas[Horas],82)/INDEX(TblTareas[Duracion],82),""))</f>
      </c>
      <c r="R89" s="64" t="str">
        <f>IF($A89="","",IF(AND(INDEX(TblTareas[Activa],82)=1,R$7&gt;=INDEX(TblTareas[Semana],82),R$7&lt;INDEX(TblTareas[Semana],82)+INDEX(TblTareas[Duracion],82)),INDEX(TblTareas[Horas],82)/INDEX(TblTareas[Duracion],82),""))</f>
      </c>
      <c r="S89" s="64" t="str">
        <f>IF($A89="","",IF(AND(INDEX(TblTareas[Activa],82)=1,S$7&gt;=INDEX(TblTareas[Semana],82),S$7&lt;INDEX(TblTareas[Semana],82)+INDEX(TblTareas[Duracion],82)),INDEX(TblTareas[Horas],82)/INDEX(TblTareas[Duracion],82),""))</f>
      </c>
      <c r="T89" s="64" t="str">
        <f>IF($A89="","",IF(AND(INDEX(TblTareas[Activa],82)=1,T$7&gt;=INDEX(TblTareas[Semana],82),T$7&lt;INDEX(TblTareas[Semana],82)+INDEX(TblTareas[Duracion],82)),INDEX(TblTareas[Horas],82)/INDEX(TblTareas[Duracion],82),""))</f>
      </c>
    </row>
    <row r="90" ht="34" customHeight="1">
      <c r="A90" s="62" t="str">
        <f>IFERROR(IF(INDEX(TblTareas[ID],83)="","",INDEX(TblTareas[ID],83)),"")</f>
      </c>
      <c r="B90" s="62" t="str">
        <f>IF($A90="","",IFERROR(INDEX(TblTareas[Responsable],83),""))</f>
      </c>
      <c r="C90" s="62" t="str">
        <f>IF($A90="","",IFERROR(INDEX(TblTareas[Trabajo],83),""))</f>
      </c>
      <c r="D90" s="62" t="str">
        <f>IF($A90="","",IFERROR(INDEX(TblTareas[Estado],83),""))</f>
      </c>
      <c r="E90" s="64" t="str">
        <f>IF($A90="","",IF(AND(INDEX(TblTareas[Activa],83)=1,E$7&gt;=INDEX(TblTareas[Semana],83),E$7&lt;INDEX(TblTareas[Semana],83)+INDEX(TblTareas[Duracion],83)),INDEX(TblTareas[Horas],83)/INDEX(TblTareas[Duracion],83),""))</f>
      </c>
      <c r="F90" s="64" t="str">
        <f>IF($A90="","",IF(AND(INDEX(TblTareas[Activa],83)=1,F$7&gt;=INDEX(TblTareas[Semana],83),F$7&lt;INDEX(TblTareas[Semana],83)+INDEX(TblTareas[Duracion],83)),INDEX(TblTareas[Horas],83)/INDEX(TblTareas[Duracion],83),""))</f>
      </c>
      <c r="G90" s="64" t="str">
        <f>IF($A90="","",IF(AND(INDEX(TblTareas[Activa],83)=1,G$7&gt;=INDEX(TblTareas[Semana],83),G$7&lt;INDEX(TblTareas[Semana],83)+INDEX(TblTareas[Duracion],83)),INDEX(TblTareas[Horas],83)/INDEX(TblTareas[Duracion],83),""))</f>
      </c>
      <c r="H90" s="64" t="str">
        <f>IF($A90="","",IF(AND(INDEX(TblTareas[Activa],83)=1,H$7&gt;=INDEX(TblTareas[Semana],83),H$7&lt;INDEX(TblTareas[Semana],83)+INDEX(TblTareas[Duracion],83)),INDEX(TblTareas[Horas],83)/INDEX(TblTareas[Duracion],83),""))</f>
      </c>
      <c r="I90" s="64" t="str">
        <f>IF($A90="","",IF(AND(INDEX(TblTareas[Activa],83)=1,I$7&gt;=INDEX(TblTareas[Semana],83),I$7&lt;INDEX(TblTareas[Semana],83)+INDEX(TblTareas[Duracion],83)),INDEX(TblTareas[Horas],83)/INDEX(TblTareas[Duracion],83),""))</f>
      </c>
      <c r="J90" s="64" t="str">
        <f>IF($A90="","",IF(AND(INDEX(TblTareas[Activa],83)=1,J$7&gt;=INDEX(TblTareas[Semana],83),J$7&lt;INDEX(TblTareas[Semana],83)+INDEX(TblTareas[Duracion],83)),INDEX(TblTareas[Horas],83)/INDEX(TblTareas[Duracion],83),""))</f>
      </c>
      <c r="K90" s="64" t="str">
        <f>IF($A90="","",IF(AND(INDEX(TblTareas[Activa],83)=1,K$7&gt;=INDEX(TblTareas[Semana],83),K$7&lt;INDEX(TblTareas[Semana],83)+INDEX(TblTareas[Duracion],83)),INDEX(TblTareas[Horas],83)/INDEX(TblTareas[Duracion],83),""))</f>
      </c>
      <c r="L90" s="64" t="str">
        <f>IF($A90="","",IF(AND(INDEX(TblTareas[Activa],83)=1,L$7&gt;=INDEX(TblTareas[Semana],83),L$7&lt;INDEX(TblTareas[Semana],83)+INDEX(TblTareas[Duracion],83)),INDEX(TblTareas[Horas],83)/INDEX(TblTareas[Duracion],83),""))</f>
      </c>
      <c r="M90" s="64" t="str">
        <f>IF($A90="","",IF(AND(INDEX(TblTareas[Activa],83)=1,M$7&gt;=INDEX(TblTareas[Semana],83),M$7&lt;INDEX(TblTareas[Semana],83)+INDEX(TblTareas[Duracion],83)),INDEX(TblTareas[Horas],83)/INDEX(TblTareas[Duracion],83),""))</f>
      </c>
      <c r="N90" s="64" t="str">
        <f>IF($A90="","",IF(AND(INDEX(TblTareas[Activa],83)=1,N$7&gt;=INDEX(TblTareas[Semana],83),N$7&lt;INDEX(TblTareas[Semana],83)+INDEX(TblTareas[Duracion],83)),INDEX(TblTareas[Horas],83)/INDEX(TblTareas[Duracion],83),""))</f>
      </c>
      <c r="O90" s="64" t="str">
        <f>IF($A90="","",IF(AND(INDEX(TblTareas[Activa],83)=1,O$7&gt;=INDEX(TblTareas[Semana],83),O$7&lt;INDEX(TblTareas[Semana],83)+INDEX(TblTareas[Duracion],83)),INDEX(TblTareas[Horas],83)/INDEX(TblTareas[Duracion],83),""))</f>
      </c>
      <c r="P90" s="64" t="str">
        <f>IF($A90="","",IF(AND(INDEX(TblTareas[Activa],83)=1,P$7&gt;=INDEX(TblTareas[Semana],83),P$7&lt;INDEX(TblTareas[Semana],83)+INDEX(TblTareas[Duracion],83)),INDEX(TblTareas[Horas],83)/INDEX(TblTareas[Duracion],83),""))</f>
      </c>
      <c r="Q90" s="64" t="str">
        <f>IF($A90="","",IF(AND(INDEX(TblTareas[Activa],83)=1,Q$7&gt;=INDEX(TblTareas[Semana],83),Q$7&lt;INDEX(TblTareas[Semana],83)+INDEX(TblTareas[Duracion],83)),INDEX(TblTareas[Horas],83)/INDEX(TblTareas[Duracion],83),""))</f>
      </c>
      <c r="R90" s="64" t="str">
        <f>IF($A90="","",IF(AND(INDEX(TblTareas[Activa],83)=1,R$7&gt;=INDEX(TblTareas[Semana],83),R$7&lt;INDEX(TblTareas[Semana],83)+INDEX(TblTareas[Duracion],83)),INDEX(TblTareas[Horas],83)/INDEX(TblTareas[Duracion],83),""))</f>
      </c>
      <c r="S90" s="64" t="str">
        <f>IF($A90="","",IF(AND(INDEX(TblTareas[Activa],83)=1,S$7&gt;=INDEX(TblTareas[Semana],83),S$7&lt;INDEX(TblTareas[Semana],83)+INDEX(TblTareas[Duracion],83)),INDEX(TblTareas[Horas],83)/INDEX(TblTareas[Duracion],83),""))</f>
      </c>
      <c r="T90" s="64" t="str">
        <f>IF($A90="","",IF(AND(INDEX(TblTareas[Activa],83)=1,T$7&gt;=INDEX(TblTareas[Semana],83),T$7&lt;INDEX(TblTareas[Semana],83)+INDEX(TblTareas[Duracion],83)),INDEX(TblTareas[Horas],83)/INDEX(TblTareas[Duracion],83),""))</f>
      </c>
    </row>
    <row r="91" ht="34" customHeight="1">
      <c r="A91" s="62" t="str">
        <f>IFERROR(IF(INDEX(TblTareas[ID],84)="","",INDEX(TblTareas[ID],84)),"")</f>
      </c>
      <c r="B91" s="62" t="str">
        <f>IF($A91="","",IFERROR(INDEX(TblTareas[Responsable],84),""))</f>
      </c>
      <c r="C91" s="62" t="str">
        <f>IF($A91="","",IFERROR(INDEX(TblTareas[Trabajo],84),""))</f>
      </c>
      <c r="D91" s="62" t="str">
        <f>IF($A91="","",IFERROR(INDEX(TblTareas[Estado],84),""))</f>
      </c>
      <c r="E91" s="64" t="str">
        <f>IF($A91="","",IF(AND(INDEX(TblTareas[Activa],84)=1,E$7&gt;=INDEX(TblTareas[Semana],84),E$7&lt;INDEX(TblTareas[Semana],84)+INDEX(TblTareas[Duracion],84)),INDEX(TblTareas[Horas],84)/INDEX(TblTareas[Duracion],84),""))</f>
      </c>
      <c r="F91" s="64" t="str">
        <f>IF($A91="","",IF(AND(INDEX(TblTareas[Activa],84)=1,F$7&gt;=INDEX(TblTareas[Semana],84),F$7&lt;INDEX(TblTareas[Semana],84)+INDEX(TblTareas[Duracion],84)),INDEX(TblTareas[Horas],84)/INDEX(TblTareas[Duracion],84),""))</f>
      </c>
      <c r="G91" s="64" t="str">
        <f>IF($A91="","",IF(AND(INDEX(TblTareas[Activa],84)=1,G$7&gt;=INDEX(TblTareas[Semana],84),G$7&lt;INDEX(TblTareas[Semana],84)+INDEX(TblTareas[Duracion],84)),INDEX(TblTareas[Horas],84)/INDEX(TblTareas[Duracion],84),""))</f>
      </c>
      <c r="H91" s="64" t="str">
        <f>IF($A91="","",IF(AND(INDEX(TblTareas[Activa],84)=1,H$7&gt;=INDEX(TblTareas[Semana],84),H$7&lt;INDEX(TblTareas[Semana],84)+INDEX(TblTareas[Duracion],84)),INDEX(TblTareas[Horas],84)/INDEX(TblTareas[Duracion],84),""))</f>
      </c>
      <c r="I91" s="64" t="str">
        <f>IF($A91="","",IF(AND(INDEX(TblTareas[Activa],84)=1,I$7&gt;=INDEX(TblTareas[Semana],84),I$7&lt;INDEX(TblTareas[Semana],84)+INDEX(TblTareas[Duracion],84)),INDEX(TblTareas[Horas],84)/INDEX(TblTareas[Duracion],84),""))</f>
      </c>
      <c r="J91" s="64" t="str">
        <f>IF($A91="","",IF(AND(INDEX(TblTareas[Activa],84)=1,J$7&gt;=INDEX(TblTareas[Semana],84),J$7&lt;INDEX(TblTareas[Semana],84)+INDEX(TblTareas[Duracion],84)),INDEX(TblTareas[Horas],84)/INDEX(TblTareas[Duracion],84),""))</f>
      </c>
      <c r="K91" s="64" t="str">
        <f>IF($A91="","",IF(AND(INDEX(TblTareas[Activa],84)=1,K$7&gt;=INDEX(TblTareas[Semana],84),K$7&lt;INDEX(TblTareas[Semana],84)+INDEX(TblTareas[Duracion],84)),INDEX(TblTareas[Horas],84)/INDEX(TblTareas[Duracion],84),""))</f>
      </c>
      <c r="L91" s="64" t="str">
        <f>IF($A91="","",IF(AND(INDEX(TblTareas[Activa],84)=1,L$7&gt;=INDEX(TblTareas[Semana],84),L$7&lt;INDEX(TblTareas[Semana],84)+INDEX(TblTareas[Duracion],84)),INDEX(TblTareas[Horas],84)/INDEX(TblTareas[Duracion],84),""))</f>
      </c>
      <c r="M91" s="64" t="str">
        <f>IF($A91="","",IF(AND(INDEX(TblTareas[Activa],84)=1,M$7&gt;=INDEX(TblTareas[Semana],84),M$7&lt;INDEX(TblTareas[Semana],84)+INDEX(TblTareas[Duracion],84)),INDEX(TblTareas[Horas],84)/INDEX(TblTareas[Duracion],84),""))</f>
      </c>
      <c r="N91" s="64" t="str">
        <f>IF($A91="","",IF(AND(INDEX(TblTareas[Activa],84)=1,N$7&gt;=INDEX(TblTareas[Semana],84),N$7&lt;INDEX(TblTareas[Semana],84)+INDEX(TblTareas[Duracion],84)),INDEX(TblTareas[Horas],84)/INDEX(TblTareas[Duracion],84),""))</f>
      </c>
      <c r="O91" s="64" t="str">
        <f>IF($A91="","",IF(AND(INDEX(TblTareas[Activa],84)=1,O$7&gt;=INDEX(TblTareas[Semana],84),O$7&lt;INDEX(TblTareas[Semana],84)+INDEX(TblTareas[Duracion],84)),INDEX(TblTareas[Horas],84)/INDEX(TblTareas[Duracion],84),""))</f>
      </c>
      <c r="P91" s="64" t="str">
        <f>IF($A91="","",IF(AND(INDEX(TblTareas[Activa],84)=1,P$7&gt;=INDEX(TblTareas[Semana],84),P$7&lt;INDEX(TblTareas[Semana],84)+INDEX(TblTareas[Duracion],84)),INDEX(TblTareas[Horas],84)/INDEX(TblTareas[Duracion],84),""))</f>
      </c>
      <c r="Q91" s="64" t="str">
        <f>IF($A91="","",IF(AND(INDEX(TblTareas[Activa],84)=1,Q$7&gt;=INDEX(TblTareas[Semana],84),Q$7&lt;INDEX(TblTareas[Semana],84)+INDEX(TblTareas[Duracion],84)),INDEX(TblTareas[Horas],84)/INDEX(TblTareas[Duracion],84),""))</f>
      </c>
      <c r="R91" s="64" t="str">
        <f>IF($A91="","",IF(AND(INDEX(TblTareas[Activa],84)=1,R$7&gt;=INDEX(TblTareas[Semana],84),R$7&lt;INDEX(TblTareas[Semana],84)+INDEX(TblTareas[Duracion],84)),INDEX(TblTareas[Horas],84)/INDEX(TblTareas[Duracion],84),""))</f>
      </c>
      <c r="S91" s="64" t="str">
        <f>IF($A91="","",IF(AND(INDEX(TblTareas[Activa],84)=1,S$7&gt;=INDEX(TblTareas[Semana],84),S$7&lt;INDEX(TblTareas[Semana],84)+INDEX(TblTareas[Duracion],84)),INDEX(TblTareas[Horas],84)/INDEX(TblTareas[Duracion],84),""))</f>
      </c>
      <c r="T91" s="64" t="str">
        <f>IF($A91="","",IF(AND(INDEX(TblTareas[Activa],84)=1,T$7&gt;=INDEX(TblTareas[Semana],84),T$7&lt;INDEX(TblTareas[Semana],84)+INDEX(TblTareas[Duracion],84)),INDEX(TblTareas[Horas],84)/INDEX(TblTareas[Duracion],84),""))</f>
      </c>
    </row>
    <row r="92" ht="34" customHeight="1">
      <c r="A92" s="62" t="str">
        <f>IFERROR(IF(INDEX(TblTareas[ID],85)="","",INDEX(TblTareas[ID],85)),"")</f>
      </c>
      <c r="B92" s="62" t="str">
        <f>IF($A92="","",IFERROR(INDEX(TblTareas[Responsable],85),""))</f>
      </c>
      <c r="C92" s="62" t="str">
        <f>IF($A92="","",IFERROR(INDEX(TblTareas[Trabajo],85),""))</f>
      </c>
      <c r="D92" s="62" t="str">
        <f>IF($A92="","",IFERROR(INDEX(TblTareas[Estado],85),""))</f>
      </c>
      <c r="E92" s="64" t="str">
        <f>IF($A92="","",IF(AND(INDEX(TblTareas[Activa],85)=1,E$7&gt;=INDEX(TblTareas[Semana],85),E$7&lt;INDEX(TblTareas[Semana],85)+INDEX(TblTareas[Duracion],85)),INDEX(TblTareas[Horas],85)/INDEX(TblTareas[Duracion],85),""))</f>
      </c>
      <c r="F92" s="64" t="str">
        <f>IF($A92="","",IF(AND(INDEX(TblTareas[Activa],85)=1,F$7&gt;=INDEX(TblTareas[Semana],85),F$7&lt;INDEX(TblTareas[Semana],85)+INDEX(TblTareas[Duracion],85)),INDEX(TblTareas[Horas],85)/INDEX(TblTareas[Duracion],85),""))</f>
      </c>
      <c r="G92" s="64" t="str">
        <f>IF($A92="","",IF(AND(INDEX(TblTareas[Activa],85)=1,G$7&gt;=INDEX(TblTareas[Semana],85),G$7&lt;INDEX(TblTareas[Semana],85)+INDEX(TblTareas[Duracion],85)),INDEX(TblTareas[Horas],85)/INDEX(TblTareas[Duracion],85),""))</f>
      </c>
      <c r="H92" s="64" t="str">
        <f>IF($A92="","",IF(AND(INDEX(TblTareas[Activa],85)=1,H$7&gt;=INDEX(TblTareas[Semana],85),H$7&lt;INDEX(TblTareas[Semana],85)+INDEX(TblTareas[Duracion],85)),INDEX(TblTareas[Horas],85)/INDEX(TblTareas[Duracion],85),""))</f>
      </c>
      <c r="I92" s="64" t="str">
        <f>IF($A92="","",IF(AND(INDEX(TblTareas[Activa],85)=1,I$7&gt;=INDEX(TblTareas[Semana],85),I$7&lt;INDEX(TblTareas[Semana],85)+INDEX(TblTareas[Duracion],85)),INDEX(TblTareas[Horas],85)/INDEX(TblTareas[Duracion],85),""))</f>
      </c>
      <c r="J92" s="64" t="str">
        <f>IF($A92="","",IF(AND(INDEX(TblTareas[Activa],85)=1,J$7&gt;=INDEX(TblTareas[Semana],85),J$7&lt;INDEX(TblTareas[Semana],85)+INDEX(TblTareas[Duracion],85)),INDEX(TblTareas[Horas],85)/INDEX(TblTareas[Duracion],85),""))</f>
      </c>
      <c r="K92" s="64" t="str">
        <f>IF($A92="","",IF(AND(INDEX(TblTareas[Activa],85)=1,K$7&gt;=INDEX(TblTareas[Semana],85),K$7&lt;INDEX(TblTareas[Semana],85)+INDEX(TblTareas[Duracion],85)),INDEX(TblTareas[Horas],85)/INDEX(TblTareas[Duracion],85),""))</f>
      </c>
      <c r="L92" s="64" t="str">
        <f>IF($A92="","",IF(AND(INDEX(TblTareas[Activa],85)=1,L$7&gt;=INDEX(TblTareas[Semana],85),L$7&lt;INDEX(TblTareas[Semana],85)+INDEX(TblTareas[Duracion],85)),INDEX(TblTareas[Horas],85)/INDEX(TblTareas[Duracion],85),""))</f>
      </c>
      <c r="M92" s="64" t="str">
        <f>IF($A92="","",IF(AND(INDEX(TblTareas[Activa],85)=1,M$7&gt;=INDEX(TblTareas[Semana],85),M$7&lt;INDEX(TblTareas[Semana],85)+INDEX(TblTareas[Duracion],85)),INDEX(TblTareas[Horas],85)/INDEX(TblTareas[Duracion],85),""))</f>
      </c>
      <c r="N92" s="64" t="str">
        <f>IF($A92="","",IF(AND(INDEX(TblTareas[Activa],85)=1,N$7&gt;=INDEX(TblTareas[Semana],85),N$7&lt;INDEX(TblTareas[Semana],85)+INDEX(TblTareas[Duracion],85)),INDEX(TblTareas[Horas],85)/INDEX(TblTareas[Duracion],85),""))</f>
      </c>
      <c r="O92" s="64" t="str">
        <f>IF($A92="","",IF(AND(INDEX(TblTareas[Activa],85)=1,O$7&gt;=INDEX(TblTareas[Semana],85),O$7&lt;INDEX(TblTareas[Semana],85)+INDEX(TblTareas[Duracion],85)),INDEX(TblTareas[Horas],85)/INDEX(TblTareas[Duracion],85),""))</f>
      </c>
      <c r="P92" s="64" t="str">
        <f>IF($A92="","",IF(AND(INDEX(TblTareas[Activa],85)=1,P$7&gt;=INDEX(TblTareas[Semana],85),P$7&lt;INDEX(TblTareas[Semana],85)+INDEX(TblTareas[Duracion],85)),INDEX(TblTareas[Horas],85)/INDEX(TblTareas[Duracion],85),""))</f>
      </c>
      <c r="Q92" s="64" t="str">
        <f>IF($A92="","",IF(AND(INDEX(TblTareas[Activa],85)=1,Q$7&gt;=INDEX(TblTareas[Semana],85),Q$7&lt;INDEX(TblTareas[Semana],85)+INDEX(TblTareas[Duracion],85)),INDEX(TblTareas[Horas],85)/INDEX(TblTareas[Duracion],85),""))</f>
      </c>
      <c r="R92" s="64" t="str">
        <f>IF($A92="","",IF(AND(INDEX(TblTareas[Activa],85)=1,R$7&gt;=INDEX(TblTareas[Semana],85),R$7&lt;INDEX(TblTareas[Semana],85)+INDEX(TblTareas[Duracion],85)),INDEX(TblTareas[Horas],85)/INDEX(TblTareas[Duracion],85),""))</f>
      </c>
      <c r="S92" s="64" t="str">
        <f>IF($A92="","",IF(AND(INDEX(TblTareas[Activa],85)=1,S$7&gt;=INDEX(TblTareas[Semana],85),S$7&lt;INDEX(TblTareas[Semana],85)+INDEX(TblTareas[Duracion],85)),INDEX(TblTareas[Horas],85)/INDEX(TblTareas[Duracion],85),""))</f>
      </c>
      <c r="T92" s="64" t="str">
        <f>IF($A92="","",IF(AND(INDEX(TblTareas[Activa],85)=1,T$7&gt;=INDEX(TblTareas[Semana],85),T$7&lt;INDEX(TblTareas[Semana],85)+INDEX(TblTareas[Duracion],85)),INDEX(TblTareas[Horas],85)/INDEX(TblTareas[Duracion],85),""))</f>
      </c>
    </row>
    <row r="93" ht="34" customHeight="1">
      <c r="A93" s="62" t="str">
        <f>IFERROR(IF(INDEX(TblTareas[ID],86)="","",INDEX(TblTareas[ID],86)),"")</f>
      </c>
      <c r="B93" s="62" t="str">
        <f>IF($A93="","",IFERROR(INDEX(TblTareas[Responsable],86),""))</f>
      </c>
      <c r="C93" s="62" t="str">
        <f>IF($A93="","",IFERROR(INDEX(TblTareas[Trabajo],86),""))</f>
      </c>
      <c r="D93" s="62" t="str">
        <f>IF($A93="","",IFERROR(INDEX(TblTareas[Estado],86),""))</f>
      </c>
      <c r="E93" s="64" t="str">
        <f>IF($A93="","",IF(AND(INDEX(TblTareas[Activa],86)=1,E$7&gt;=INDEX(TblTareas[Semana],86),E$7&lt;INDEX(TblTareas[Semana],86)+INDEX(TblTareas[Duracion],86)),INDEX(TblTareas[Horas],86)/INDEX(TblTareas[Duracion],86),""))</f>
      </c>
      <c r="F93" s="64" t="str">
        <f>IF($A93="","",IF(AND(INDEX(TblTareas[Activa],86)=1,F$7&gt;=INDEX(TblTareas[Semana],86),F$7&lt;INDEX(TblTareas[Semana],86)+INDEX(TblTareas[Duracion],86)),INDEX(TblTareas[Horas],86)/INDEX(TblTareas[Duracion],86),""))</f>
      </c>
      <c r="G93" s="64" t="str">
        <f>IF($A93="","",IF(AND(INDEX(TblTareas[Activa],86)=1,G$7&gt;=INDEX(TblTareas[Semana],86),G$7&lt;INDEX(TblTareas[Semana],86)+INDEX(TblTareas[Duracion],86)),INDEX(TblTareas[Horas],86)/INDEX(TblTareas[Duracion],86),""))</f>
      </c>
      <c r="H93" s="64" t="str">
        <f>IF($A93="","",IF(AND(INDEX(TblTareas[Activa],86)=1,H$7&gt;=INDEX(TblTareas[Semana],86),H$7&lt;INDEX(TblTareas[Semana],86)+INDEX(TblTareas[Duracion],86)),INDEX(TblTareas[Horas],86)/INDEX(TblTareas[Duracion],86),""))</f>
      </c>
      <c r="I93" s="64" t="str">
        <f>IF($A93="","",IF(AND(INDEX(TblTareas[Activa],86)=1,I$7&gt;=INDEX(TblTareas[Semana],86),I$7&lt;INDEX(TblTareas[Semana],86)+INDEX(TblTareas[Duracion],86)),INDEX(TblTareas[Horas],86)/INDEX(TblTareas[Duracion],86),""))</f>
      </c>
      <c r="J93" s="64" t="str">
        <f>IF($A93="","",IF(AND(INDEX(TblTareas[Activa],86)=1,J$7&gt;=INDEX(TblTareas[Semana],86),J$7&lt;INDEX(TblTareas[Semana],86)+INDEX(TblTareas[Duracion],86)),INDEX(TblTareas[Horas],86)/INDEX(TblTareas[Duracion],86),""))</f>
      </c>
      <c r="K93" s="64" t="str">
        <f>IF($A93="","",IF(AND(INDEX(TblTareas[Activa],86)=1,K$7&gt;=INDEX(TblTareas[Semana],86),K$7&lt;INDEX(TblTareas[Semana],86)+INDEX(TblTareas[Duracion],86)),INDEX(TblTareas[Horas],86)/INDEX(TblTareas[Duracion],86),""))</f>
      </c>
      <c r="L93" s="64" t="str">
        <f>IF($A93="","",IF(AND(INDEX(TblTareas[Activa],86)=1,L$7&gt;=INDEX(TblTareas[Semana],86),L$7&lt;INDEX(TblTareas[Semana],86)+INDEX(TblTareas[Duracion],86)),INDEX(TblTareas[Horas],86)/INDEX(TblTareas[Duracion],86),""))</f>
      </c>
      <c r="M93" s="64" t="str">
        <f>IF($A93="","",IF(AND(INDEX(TblTareas[Activa],86)=1,M$7&gt;=INDEX(TblTareas[Semana],86),M$7&lt;INDEX(TblTareas[Semana],86)+INDEX(TblTareas[Duracion],86)),INDEX(TblTareas[Horas],86)/INDEX(TblTareas[Duracion],86),""))</f>
      </c>
      <c r="N93" s="64" t="str">
        <f>IF($A93="","",IF(AND(INDEX(TblTareas[Activa],86)=1,N$7&gt;=INDEX(TblTareas[Semana],86),N$7&lt;INDEX(TblTareas[Semana],86)+INDEX(TblTareas[Duracion],86)),INDEX(TblTareas[Horas],86)/INDEX(TblTareas[Duracion],86),""))</f>
      </c>
      <c r="O93" s="64" t="str">
        <f>IF($A93="","",IF(AND(INDEX(TblTareas[Activa],86)=1,O$7&gt;=INDEX(TblTareas[Semana],86),O$7&lt;INDEX(TblTareas[Semana],86)+INDEX(TblTareas[Duracion],86)),INDEX(TblTareas[Horas],86)/INDEX(TblTareas[Duracion],86),""))</f>
      </c>
      <c r="P93" s="64" t="str">
        <f>IF($A93="","",IF(AND(INDEX(TblTareas[Activa],86)=1,P$7&gt;=INDEX(TblTareas[Semana],86),P$7&lt;INDEX(TblTareas[Semana],86)+INDEX(TblTareas[Duracion],86)),INDEX(TblTareas[Horas],86)/INDEX(TblTareas[Duracion],86),""))</f>
      </c>
      <c r="Q93" s="64" t="str">
        <f>IF($A93="","",IF(AND(INDEX(TblTareas[Activa],86)=1,Q$7&gt;=INDEX(TblTareas[Semana],86),Q$7&lt;INDEX(TblTareas[Semana],86)+INDEX(TblTareas[Duracion],86)),INDEX(TblTareas[Horas],86)/INDEX(TblTareas[Duracion],86),""))</f>
      </c>
      <c r="R93" s="64" t="str">
        <f>IF($A93="","",IF(AND(INDEX(TblTareas[Activa],86)=1,R$7&gt;=INDEX(TblTareas[Semana],86),R$7&lt;INDEX(TblTareas[Semana],86)+INDEX(TblTareas[Duracion],86)),INDEX(TblTareas[Horas],86)/INDEX(TblTareas[Duracion],86),""))</f>
      </c>
      <c r="S93" s="64" t="str">
        <f>IF($A93="","",IF(AND(INDEX(TblTareas[Activa],86)=1,S$7&gt;=INDEX(TblTareas[Semana],86),S$7&lt;INDEX(TblTareas[Semana],86)+INDEX(TblTareas[Duracion],86)),INDEX(TblTareas[Horas],86)/INDEX(TblTareas[Duracion],86),""))</f>
      </c>
      <c r="T93" s="64" t="str">
        <f>IF($A93="","",IF(AND(INDEX(TblTareas[Activa],86)=1,T$7&gt;=INDEX(TblTareas[Semana],86),T$7&lt;INDEX(TblTareas[Semana],86)+INDEX(TblTareas[Duracion],86)),INDEX(TblTareas[Horas],86)/INDEX(TblTareas[Duracion],86),""))</f>
      </c>
    </row>
    <row r="94" ht="34" customHeight="1">
      <c r="A94" s="62" t="str">
        <f>IFERROR(IF(INDEX(TblTareas[ID],87)="","",INDEX(TblTareas[ID],87)),"")</f>
      </c>
      <c r="B94" s="62" t="str">
        <f>IF($A94="","",IFERROR(INDEX(TblTareas[Responsable],87),""))</f>
      </c>
      <c r="C94" s="62" t="str">
        <f>IF($A94="","",IFERROR(INDEX(TblTareas[Trabajo],87),""))</f>
      </c>
      <c r="D94" s="62" t="str">
        <f>IF($A94="","",IFERROR(INDEX(TblTareas[Estado],87),""))</f>
      </c>
      <c r="E94" s="64" t="str">
        <f>IF($A94="","",IF(AND(INDEX(TblTareas[Activa],87)=1,E$7&gt;=INDEX(TblTareas[Semana],87),E$7&lt;INDEX(TblTareas[Semana],87)+INDEX(TblTareas[Duracion],87)),INDEX(TblTareas[Horas],87)/INDEX(TblTareas[Duracion],87),""))</f>
      </c>
      <c r="F94" s="64" t="str">
        <f>IF($A94="","",IF(AND(INDEX(TblTareas[Activa],87)=1,F$7&gt;=INDEX(TblTareas[Semana],87),F$7&lt;INDEX(TblTareas[Semana],87)+INDEX(TblTareas[Duracion],87)),INDEX(TblTareas[Horas],87)/INDEX(TblTareas[Duracion],87),""))</f>
      </c>
      <c r="G94" s="64" t="str">
        <f>IF($A94="","",IF(AND(INDEX(TblTareas[Activa],87)=1,G$7&gt;=INDEX(TblTareas[Semana],87),G$7&lt;INDEX(TblTareas[Semana],87)+INDEX(TblTareas[Duracion],87)),INDEX(TblTareas[Horas],87)/INDEX(TblTareas[Duracion],87),""))</f>
      </c>
      <c r="H94" s="64" t="str">
        <f>IF($A94="","",IF(AND(INDEX(TblTareas[Activa],87)=1,H$7&gt;=INDEX(TblTareas[Semana],87),H$7&lt;INDEX(TblTareas[Semana],87)+INDEX(TblTareas[Duracion],87)),INDEX(TblTareas[Horas],87)/INDEX(TblTareas[Duracion],87),""))</f>
      </c>
      <c r="I94" s="64" t="str">
        <f>IF($A94="","",IF(AND(INDEX(TblTareas[Activa],87)=1,I$7&gt;=INDEX(TblTareas[Semana],87),I$7&lt;INDEX(TblTareas[Semana],87)+INDEX(TblTareas[Duracion],87)),INDEX(TblTareas[Horas],87)/INDEX(TblTareas[Duracion],87),""))</f>
      </c>
      <c r="J94" s="64" t="str">
        <f>IF($A94="","",IF(AND(INDEX(TblTareas[Activa],87)=1,J$7&gt;=INDEX(TblTareas[Semana],87),J$7&lt;INDEX(TblTareas[Semana],87)+INDEX(TblTareas[Duracion],87)),INDEX(TblTareas[Horas],87)/INDEX(TblTareas[Duracion],87),""))</f>
      </c>
      <c r="K94" s="64" t="str">
        <f>IF($A94="","",IF(AND(INDEX(TblTareas[Activa],87)=1,K$7&gt;=INDEX(TblTareas[Semana],87),K$7&lt;INDEX(TblTareas[Semana],87)+INDEX(TblTareas[Duracion],87)),INDEX(TblTareas[Horas],87)/INDEX(TblTareas[Duracion],87),""))</f>
      </c>
      <c r="L94" s="64" t="str">
        <f>IF($A94="","",IF(AND(INDEX(TblTareas[Activa],87)=1,L$7&gt;=INDEX(TblTareas[Semana],87),L$7&lt;INDEX(TblTareas[Semana],87)+INDEX(TblTareas[Duracion],87)),INDEX(TblTareas[Horas],87)/INDEX(TblTareas[Duracion],87),""))</f>
      </c>
      <c r="M94" s="64" t="str">
        <f>IF($A94="","",IF(AND(INDEX(TblTareas[Activa],87)=1,M$7&gt;=INDEX(TblTareas[Semana],87),M$7&lt;INDEX(TblTareas[Semana],87)+INDEX(TblTareas[Duracion],87)),INDEX(TblTareas[Horas],87)/INDEX(TblTareas[Duracion],87),""))</f>
      </c>
      <c r="N94" s="64" t="str">
        <f>IF($A94="","",IF(AND(INDEX(TblTareas[Activa],87)=1,N$7&gt;=INDEX(TblTareas[Semana],87),N$7&lt;INDEX(TblTareas[Semana],87)+INDEX(TblTareas[Duracion],87)),INDEX(TblTareas[Horas],87)/INDEX(TblTareas[Duracion],87),""))</f>
      </c>
      <c r="O94" s="64" t="str">
        <f>IF($A94="","",IF(AND(INDEX(TblTareas[Activa],87)=1,O$7&gt;=INDEX(TblTareas[Semana],87),O$7&lt;INDEX(TblTareas[Semana],87)+INDEX(TblTareas[Duracion],87)),INDEX(TblTareas[Horas],87)/INDEX(TblTareas[Duracion],87),""))</f>
      </c>
      <c r="P94" s="64" t="str">
        <f>IF($A94="","",IF(AND(INDEX(TblTareas[Activa],87)=1,P$7&gt;=INDEX(TblTareas[Semana],87),P$7&lt;INDEX(TblTareas[Semana],87)+INDEX(TblTareas[Duracion],87)),INDEX(TblTareas[Horas],87)/INDEX(TblTareas[Duracion],87),""))</f>
      </c>
      <c r="Q94" s="64" t="str">
        <f>IF($A94="","",IF(AND(INDEX(TblTareas[Activa],87)=1,Q$7&gt;=INDEX(TblTareas[Semana],87),Q$7&lt;INDEX(TblTareas[Semana],87)+INDEX(TblTareas[Duracion],87)),INDEX(TblTareas[Horas],87)/INDEX(TblTareas[Duracion],87),""))</f>
      </c>
      <c r="R94" s="64" t="str">
        <f>IF($A94="","",IF(AND(INDEX(TblTareas[Activa],87)=1,R$7&gt;=INDEX(TblTareas[Semana],87),R$7&lt;INDEX(TblTareas[Semana],87)+INDEX(TblTareas[Duracion],87)),INDEX(TblTareas[Horas],87)/INDEX(TblTareas[Duracion],87),""))</f>
      </c>
      <c r="S94" s="64" t="str">
        <f>IF($A94="","",IF(AND(INDEX(TblTareas[Activa],87)=1,S$7&gt;=INDEX(TblTareas[Semana],87),S$7&lt;INDEX(TblTareas[Semana],87)+INDEX(TblTareas[Duracion],87)),INDEX(TblTareas[Horas],87)/INDEX(TblTareas[Duracion],87),""))</f>
      </c>
      <c r="T94" s="64" t="str">
        <f>IF($A94="","",IF(AND(INDEX(TblTareas[Activa],87)=1,T$7&gt;=INDEX(TblTareas[Semana],87),T$7&lt;INDEX(TblTareas[Semana],87)+INDEX(TblTareas[Duracion],87)),INDEX(TblTareas[Horas],87)/INDEX(TblTareas[Duracion],87),""))</f>
      </c>
    </row>
    <row r="95" ht="34" customHeight="1">
      <c r="A95" s="62" t="str">
        <f>IFERROR(IF(INDEX(TblTareas[ID],88)="","",INDEX(TblTareas[ID],88)),"")</f>
      </c>
      <c r="B95" s="62" t="str">
        <f>IF($A95="","",IFERROR(INDEX(TblTareas[Responsable],88),""))</f>
      </c>
      <c r="C95" s="62" t="str">
        <f>IF($A95="","",IFERROR(INDEX(TblTareas[Trabajo],88),""))</f>
      </c>
      <c r="D95" s="62" t="str">
        <f>IF($A95="","",IFERROR(INDEX(TblTareas[Estado],88),""))</f>
      </c>
      <c r="E95" s="64" t="str">
        <f>IF($A95="","",IF(AND(INDEX(TblTareas[Activa],88)=1,E$7&gt;=INDEX(TblTareas[Semana],88),E$7&lt;INDEX(TblTareas[Semana],88)+INDEX(TblTareas[Duracion],88)),INDEX(TblTareas[Horas],88)/INDEX(TblTareas[Duracion],88),""))</f>
      </c>
      <c r="F95" s="64" t="str">
        <f>IF($A95="","",IF(AND(INDEX(TblTareas[Activa],88)=1,F$7&gt;=INDEX(TblTareas[Semana],88),F$7&lt;INDEX(TblTareas[Semana],88)+INDEX(TblTareas[Duracion],88)),INDEX(TblTareas[Horas],88)/INDEX(TblTareas[Duracion],88),""))</f>
      </c>
      <c r="G95" s="64" t="str">
        <f>IF($A95="","",IF(AND(INDEX(TblTareas[Activa],88)=1,G$7&gt;=INDEX(TblTareas[Semana],88),G$7&lt;INDEX(TblTareas[Semana],88)+INDEX(TblTareas[Duracion],88)),INDEX(TblTareas[Horas],88)/INDEX(TblTareas[Duracion],88),""))</f>
      </c>
      <c r="H95" s="64" t="str">
        <f>IF($A95="","",IF(AND(INDEX(TblTareas[Activa],88)=1,H$7&gt;=INDEX(TblTareas[Semana],88),H$7&lt;INDEX(TblTareas[Semana],88)+INDEX(TblTareas[Duracion],88)),INDEX(TblTareas[Horas],88)/INDEX(TblTareas[Duracion],88),""))</f>
      </c>
      <c r="I95" s="64" t="str">
        <f>IF($A95="","",IF(AND(INDEX(TblTareas[Activa],88)=1,I$7&gt;=INDEX(TblTareas[Semana],88),I$7&lt;INDEX(TblTareas[Semana],88)+INDEX(TblTareas[Duracion],88)),INDEX(TblTareas[Horas],88)/INDEX(TblTareas[Duracion],88),""))</f>
      </c>
      <c r="J95" s="64" t="str">
        <f>IF($A95="","",IF(AND(INDEX(TblTareas[Activa],88)=1,J$7&gt;=INDEX(TblTareas[Semana],88),J$7&lt;INDEX(TblTareas[Semana],88)+INDEX(TblTareas[Duracion],88)),INDEX(TblTareas[Horas],88)/INDEX(TblTareas[Duracion],88),""))</f>
      </c>
      <c r="K95" s="64" t="str">
        <f>IF($A95="","",IF(AND(INDEX(TblTareas[Activa],88)=1,K$7&gt;=INDEX(TblTareas[Semana],88),K$7&lt;INDEX(TblTareas[Semana],88)+INDEX(TblTareas[Duracion],88)),INDEX(TblTareas[Horas],88)/INDEX(TblTareas[Duracion],88),""))</f>
      </c>
      <c r="L95" s="64" t="str">
        <f>IF($A95="","",IF(AND(INDEX(TblTareas[Activa],88)=1,L$7&gt;=INDEX(TblTareas[Semana],88),L$7&lt;INDEX(TblTareas[Semana],88)+INDEX(TblTareas[Duracion],88)),INDEX(TblTareas[Horas],88)/INDEX(TblTareas[Duracion],88),""))</f>
      </c>
      <c r="M95" s="64" t="str">
        <f>IF($A95="","",IF(AND(INDEX(TblTareas[Activa],88)=1,M$7&gt;=INDEX(TblTareas[Semana],88),M$7&lt;INDEX(TblTareas[Semana],88)+INDEX(TblTareas[Duracion],88)),INDEX(TblTareas[Horas],88)/INDEX(TblTareas[Duracion],88),""))</f>
      </c>
      <c r="N95" s="64" t="str">
        <f>IF($A95="","",IF(AND(INDEX(TblTareas[Activa],88)=1,N$7&gt;=INDEX(TblTareas[Semana],88),N$7&lt;INDEX(TblTareas[Semana],88)+INDEX(TblTareas[Duracion],88)),INDEX(TblTareas[Horas],88)/INDEX(TblTareas[Duracion],88),""))</f>
      </c>
      <c r="O95" s="64" t="str">
        <f>IF($A95="","",IF(AND(INDEX(TblTareas[Activa],88)=1,O$7&gt;=INDEX(TblTareas[Semana],88),O$7&lt;INDEX(TblTareas[Semana],88)+INDEX(TblTareas[Duracion],88)),INDEX(TblTareas[Horas],88)/INDEX(TblTareas[Duracion],88),""))</f>
      </c>
      <c r="P95" s="64" t="str">
        <f>IF($A95="","",IF(AND(INDEX(TblTareas[Activa],88)=1,P$7&gt;=INDEX(TblTareas[Semana],88),P$7&lt;INDEX(TblTareas[Semana],88)+INDEX(TblTareas[Duracion],88)),INDEX(TblTareas[Horas],88)/INDEX(TblTareas[Duracion],88),""))</f>
      </c>
      <c r="Q95" s="64" t="str">
        <f>IF($A95="","",IF(AND(INDEX(TblTareas[Activa],88)=1,Q$7&gt;=INDEX(TblTareas[Semana],88),Q$7&lt;INDEX(TblTareas[Semana],88)+INDEX(TblTareas[Duracion],88)),INDEX(TblTareas[Horas],88)/INDEX(TblTareas[Duracion],88),""))</f>
      </c>
      <c r="R95" s="64" t="str">
        <f>IF($A95="","",IF(AND(INDEX(TblTareas[Activa],88)=1,R$7&gt;=INDEX(TblTareas[Semana],88),R$7&lt;INDEX(TblTareas[Semana],88)+INDEX(TblTareas[Duracion],88)),INDEX(TblTareas[Horas],88)/INDEX(TblTareas[Duracion],88),""))</f>
      </c>
      <c r="S95" s="64" t="str">
        <f>IF($A95="","",IF(AND(INDEX(TblTareas[Activa],88)=1,S$7&gt;=INDEX(TblTareas[Semana],88),S$7&lt;INDEX(TblTareas[Semana],88)+INDEX(TblTareas[Duracion],88)),INDEX(TblTareas[Horas],88)/INDEX(TblTareas[Duracion],88),""))</f>
      </c>
      <c r="T95" s="64" t="str">
        <f>IF($A95="","",IF(AND(INDEX(TblTareas[Activa],88)=1,T$7&gt;=INDEX(TblTareas[Semana],88),T$7&lt;INDEX(TblTareas[Semana],88)+INDEX(TblTareas[Duracion],88)),INDEX(TblTareas[Horas],88)/INDEX(TblTareas[Duracion],88),""))</f>
      </c>
    </row>
    <row r="96" ht="34" customHeight="1">
      <c r="A96" s="62" t="str">
        <f>IFERROR(IF(INDEX(TblTareas[ID],89)="","",INDEX(TblTareas[ID],89)),"")</f>
      </c>
      <c r="B96" s="62" t="str">
        <f>IF($A96="","",IFERROR(INDEX(TblTareas[Responsable],89),""))</f>
      </c>
      <c r="C96" s="62" t="str">
        <f>IF($A96="","",IFERROR(INDEX(TblTareas[Trabajo],89),""))</f>
      </c>
      <c r="D96" s="62" t="str">
        <f>IF($A96="","",IFERROR(INDEX(TblTareas[Estado],89),""))</f>
      </c>
      <c r="E96" s="64" t="str">
        <f>IF($A96="","",IF(AND(INDEX(TblTareas[Activa],89)=1,E$7&gt;=INDEX(TblTareas[Semana],89),E$7&lt;INDEX(TblTareas[Semana],89)+INDEX(TblTareas[Duracion],89)),INDEX(TblTareas[Horas],89)/INDEX(TblTareas[Duracion],89),""))</f>
      </c>
      <c r="F96" s="64" t="str">
        <f>IF($A96="","",IF(AND(INDEX(TblTareas[Activa],89)=1,F$7&gt;=INDEX(TblTareas[Semana],89),F$7&lt;INDEX(TblTareas[Semana],89)+INDEX(TblTareas[Duracion],89)),INDEX(TblTareas[Horas],89)/INDEX(TblTareas[Duracion],89),""))</f>
      </c>
      <c r="G96" s="64" t="str">
        <f>IF($A96="","",IF(AND(INDEX(TblTareas[Activa],89)=1,G$7&gt;=INDEX(TblTareas[Semana],89),G$7&lt;INDEX(TblTareas[Semana],89)+INDEX(TblTareas[Duracion],89)),INDEX(TblTareas[Horas],89)/INDEX(TblTareas[Duracion],89),""))</f>
      </c>
      <c r="H96" s="64" t="str">
        <f>IF($A96="","",IF(AND(INDEX(TblTareas[Activa],89)=1,H$7&gt;=INDEX(TblTareas[Semana],89),H$7&lt;INDEX(TblTareas[Semana],89)+INDEX(TblTareas[Duracion],89)),INDEX(TblTareas[Horas],89)/INDEX(TblTareas[Duracion],89),""))</f>
      </c>
      <c r="I96" s="64" t="str">
        <f>IF($A96="","",IF(AND(INDEX(TblTareas[Activa],89)=1,I$7&gt;=INDEX(TblTareas[Semana],89),I$7&lt;INDEX(TblTareas[Semana],89)+INDEX(TblTareas[Duracion],89)),INDEX(TblTareas[Horas],89)/INDEX(TblTareas[Duracion],89),""))</f>
      </c>
      <c r="J96" s="64" t="str">
        <f>IF($A96="","",IF(AND(INDEX(TblTareas[Activa],89)=1,J$7&gt;=INDEX(TblTareas[Semana],89),J$7&lt;INDEX(TblTareas[Semana],89)+INDEX(TblTareas[Duracion],89)),INDEX(TblTareas[Horas],89)/INDEX(TblTareas[Duracion],89),""))</f>
      </c>
      <c r="K96" s="64" t="str">
        <f>IF($A96="","",IF(AND(INDEX(TblTareas[Activa],89)=1,K$7&gt;=INDEX(TblTareas[Semana],89),K$7&lt;INDEX(TblTareas[Semana],89)+INDEX(TblTareas[Duracion],89)),INDEX(TblTareas[Horas],89)/INDEX(TblTareas[Duracion],89),""))</f>
      </c>
      <c r="L96" s="64" t="str">
        <f>IF($A96="","",IF(AND(INDEX(TblTareas[Activa],89)=1,L$7&gt;=INDEX(TblTareas[Semana],89),L$7&lt;INDEX(TblTareas[Semana],89)+INDEX(TblTareas[Duracion],89)),INDEX(TblTareas[Horas],89)/INDEX(TblTareas[Duracion],89),""))</f>
      </c>
      <c r="M96" s="64" t="str">
        <f>IF($A96="","",IF(AND(INDEX(TblTareas[Activa],89)=1,M$7&gt;=INDEX(TblTareas[Semana],89),M$7&lt;INDEX(TblTareas[Semana],89)+INDEX(TblTareas[Duracion],89)),INDEX(TblTareas[Horas],89)/INDEX(TblTareas[Duracion],89),""))</f>
      </c>
      <c r="N96" s="64" t="str">
        <f>IF($A96="","",IF(AND(INDEX(TblTareas[Activa],89)=1,N$7&gt;=INDEX(TblTareas[Semana],89),N$7&lt;INDEX(TblTareas[Semana],89)+INDEX(TblTareas[Duracion],89)),INDEX(TblTareas[Horas],89)/INDEX(TblTareas[Duracion],89),""))</f>
      </c>
      <c r="O96" s="64" t="str">
        <f>IF($A96="","",IF(AND(INDEX(TblTareas[Activa],89)=1,O$7&gt;=INDEX(TblTareas[Semana],89),O$7&lt;INDEX(TblTareas[Semana],89)+INDEX(TblTareas[Duracion],89)),INDEX(TblTareas[Horas],89)/INDEX(TblTareas[Duracion],89),""))</f>
      </c>
      <c r="P96" s="64" t="str">
        <f>IF($A96="","",IF(AND(INDEX(TblTareas[Activa],89)=1,P$7&gt;=INDEX(TblTareas[Semana],89),P$7&lt;INDEX(TblTareas[Semana],89)+INDEX(TblTareas[Duracion],89)),INDEX(TblTareas[Horas],89)/INDEX(TblTareas[Duracion],89),""))</f>
      </c>
      <c r="Q96" s="64" t="str">
        <f>IF($A96="","",IF(AND(INDEX(TblTareas[Activa],89)=1,Q$7&gt;=INDEX(TblTareas[Semana],89),Q$7&lt;INDEX(TblTareas[Semana],89)+INDEX(TblTareas[Duracion],89)),INDEX(TblTareas[Horas],89)/INDEX(TblTareas[Duracion],89),""))</f>
      </c>
      <c r="R96" s="64" t="str">
        <f>IF($A96="","",IF(AND(INDEX(TblTareas[Activa],89)=1,R$7&gt;=INDEX(TblTareas[Semana],89),R$7&lt;INDEX(TblTareas[Semana],89)+INDEX(TblTareas[Duracion],89)),INDEX(TblTareas[Horas],89)/INDEX(TblTareas[Duracion],89),""))</f>
      </c>
      <c r="S96" s="64" t="str">
        <f>IF($A96="","",IF(AND(INDEX(TblTareas[Activa],89)=1,S$7&gt;=INDEX(TblTareas[Semana],89),S$7&lt;INDEX(TblTareas[Semana],89)+INDEX(TblTareas[Duracion],89)),INDEX(TblTareas[Horas],89)/INDEX(TblTareas[Duracion],89),""))</f>
      </c>
      <c r="T96" s="64" t="str">
        <f>IF($A96="","",IF(AND(INDEX(TblTareas[Activa],89)=1,T$7&gt;=INDEX(TblTareas[Semana],89),T$7&lt;INDEX(TblTareas[Semana],89)+INDEX(TblTareas[Duracion],89)),INDEX(TblTareas[Horas],89)/INDEX(TblTareas[Duracion],89),""))</f>
      </c>
    </row>
    <row r="97" ht="34" customHeight="1">
      <c r="A97" s="62" t="str">
        <f>IFERROR(IF(INDEX(TblTareas[ID],90)="","",INDEX(TblTareas[ID],90)),"")</f>
      </c>
      <c r="B97" s="62" t="str">
        <f>IF($A97="","",IFERROR(INDEX(TblTareas[Responsable],90),""))</f>
      </c>
      <c r="C97" s="62" t="str">
        <f>IF($A97="","",IFERROR(INDEX(TblTareas[Trabajo],90),""))</f>
      </c>
      <c r="D97" s="62" t="str">
        <f>IF($A97="","",IFERROR(INDEX(TblTareas[Estado],90),""))</f>
      </c>
      <c r="E97" s="64" t="str">
        <f>IF($A97="","",IF(AND(INDEX(TblTareas[Activa],90)=1,E$7&gt;=INDEX(TblTareas[Semana],90),E$7&lt;INDEX(TblTareas[Semana],90)+INDEX(TblTareas[Duracion],90)),INDEX(TblTareas[Horas],90)/INDEX(TblTareas[Duracion],90),""))</f>
      </c>
      <c r="F97" s="64" t="str">
        <f>IF($A97="","",IF(AND(INDEX(TblTareas[Activa],90)=1,F$7&gt;=INDEX(TblTareas[Semana],90),F$7&lt;INDEX(TblTareas[Semana],90)+INDEX(TblTareas[Duracion],90)),INDEX(TblTareas[Horas],90)/INDEX(TblTareas[Duracion],90),""))</f>
      </c>
      <c r="G97" s="64" t="str">
        <f>IF($A97="","",IF(AND(INDEX(TblTareas[Activa],90)=1,G$7&gt;=INDEX(TblTareas[Semana],90),G$7&lt;INDEX(TblTareas[Semana],90)+INDEX(TblTareas[Duracion],90)),INDEX(TblTareas[Horas],90)/INDEX(TblTareas[Duracion],90),""))</f>
      </c>
      <c r="H97" s="64" t="str">
        <f>IF($A97="","",IF(AND(INDEX(TblTareas[Activa],90)=1,H$7&gt;=INDEX(TblTareas[Semana],90),H$7&lt;INDEX(TblTareas[Semana],90)+INDEX(TblTareas[Duracion],90)),INDEX(TblTareas[Horas],90)/INDEX(TblTareas[Duracion],90),""))</f>
      </c>
      <c r="I97" s="64" t="str">
        <f>IF($A97="","",IF(AND(INDEX(TblTareas[Activa],90)=1,I$7&gt;=INDEX(TblTareas[Semana],90),I$7&lt;INDEX(TblTareas[Semana],90)+INDEX(TblTareas[Duracion],90)),INDEX(TblTareas[Horas],90)/INDEX(TblTareas[Duracion],90),""))</f>
      </c>
      <c r="J97" s="64" t="str">
        <f>IF($A97="","",IF(AND(INDEX(TblTareas[Activa],90)=1,J$7&gt;=INDEX(TblTareas[Semana],90),J$7&lt;INDEX(TblTareas[Semana],90)+INDEX(TblTareas[Duracion],90)),INDEX(TblTareas[Horas],90)/INDEX(TblTareas[Duracion],90),""))</f>
      </c>
      <c r="K97" s="64" t="str">
        <f>IF($A97="","",IF(AND(INDEX(TblTareas[Activa],90)=1,K$7&gt;=INDEX(TblTareas[Semana],90),K$7&lt;INDEX(TblTareas[Semana],90)+INDEX(TblTareas[Duracion],90)),INDEX(TblTareas[Horas],90)/INDEX(TblTareas[Duracion],90),""))</f>
      </c>
      <c r="L97" s="64" t="str">
        <f>IF($A97="","",IF(AND(INDEX(TblTareas[Activa],90)=1,L$7&gt;=INDEX(TblTareas[Semana],90),L$7&lt;INDEX(TblTareas[Semana],90)+INDEX(TblTareas[Duracion],90)),INDEX(TblTareas[Horas],90)/INDEX(TblTareas[Duracion],90),""))</f>
      </c>
      <c r="M97" s="64" t="str">
        <f>IF($A97="","",IF(AND(INDEX(TblTareas[Activa],90)=1,M$7&gt;=INDEX(TblTareas[Semana],90),M$7&lt;INDEX(TblTareas[Semana],90)+INDEX(TblTareas[Duracion],90)),INDEX(TblTareas[Horas],90)/INDEX(TblTareas[Duracion],90),""))</f>
      </c>
      <c r="N97" s="64" t="str">
        <f>IF($A97="","",IF(AND(INDEX(TblTareas[Activa],90)=1,N$7&gt;=INDEX(TblTareas[Semana],90),N$7&lt;INDEX(TblTareas[Semana],90)+INDEX(TblTareas[Duracion],90)),INDEX(TblTareas[Horas],90)/INDEX(TblTareas[Duracion],90),""))</f>
      </c>
      <c r="O97" s="64" t="str">
        <f>IF($A97="","",IF(AND(INDEX(TblTareas[Activa],90)=1,O$7&gt;=INDEX(TblTareas[Semana],90),O$7&lt;INDEX(TblTareas[Semana],90)+INDEX(TblTareas[Duracion],90)),INDEX(TblTareas[Horas],90)/INDEX(TblTareas[Duracion],90),""))</f>
      </c>
      <c r="P97" s="64" t="str">
        <f>IF($A97="","",IF(AND(INDEX(TblTareas[Activa],90)=1,P$7&gt;=INDEX(TblTareas[Semana],90),P$7&lt;INDEX(TblTareas[Semana],90)+INDEX(TblTareas[Duracion],90)),INDEX(TblTareas[Horas],90)/INDEX(TblTareas[Duracion],90),""))</f>
      </c>
      <c r="Q97" s="64" t="str">
        <f>IF($A97="","",IF(AND(INDEX(TblTareas[Activa],90)=1,Q$7&gt;=INDEX(TblTareas[Semana],90),Q$7&lt;INDEX(TblTareas[Semana],90)+INDEX(TblTareas[Duracion],90)),INDEX(TblTareas[Horas],90)/INDEX(TblTareas[Duracion],90),""))</f>
      </c>
      <c r="R97" s="64" t="str">
        <f>IF($A97="","",IF(AND(INDEX(TblTareas[Activa],90)=1,R$7&gt;=INDEX(TblTareas[Semana],90),R$7&lt;INDEX(TblTareas[Semana],90)+INDEX(TblTareas[Duracion],90)),INDEX(TblTareas[Horas],90)/INDEX(TblTareas[Duracion],90),""))</f>
      </c>
      <c r="S97" s="64" t="str">
        <f>IF($A97="","",IF(AND(INDEX(TblTareas[Activa],90)=1,S$7&gt;=INDEX(TblTareas[Semana],90),S$7&lt;INDEX(TblTareas[Semana],90)+INDEX(TblTareas[Duracion],90)),INDEX(TblTareas[Horas],90)/INDEX(TblTareas[Duracion],90),""))</f>
      </c>
      <c r="T97" s="64" t="str">
        <f>IF($A97="","",IF(AND(INDEX(TblTareas[Activa],90)=1,T$7&gt;=INDEX(TblTareas[Semana],90),T$7&lt;INDEX(TblTareas[Semana],90)+INDEX(TblTareas[Duracion],90)),INDEX(TblTareas[Horas],90)/INDEX(TblTareas[Duracion],90),""))</f>
      </c>
    </row>
    <row r="98" ht="34" customHeight="1">
      <c r="A98" s="62" t="str">
        <f>IFERROR(IF(INDEX(TblTareas[ID],91)="","",INDEX(TblTareas[ID],91)),"")</f>
      </c>
      <c r="B98" s="62" t="str">
        <f>IF($A98="","",IFERROR(INDEX(TblTareas[Responsable],91),""))</f>
      </c>
      <c r="C98" s="62" t="str">
        <f>IF($A98="","",IFERROR(INDEX(TblTareas[Trabajo],91),""))</f>
      </c>
      <c r="D98" s="62" t="str">
        <f>IF($A98="","",IFERROR(INDEX(TblTareas[Estado],91),""))</f>
      </c>
      <c r="E98" s="64" t="str">
        <f>IF($A98="","",IF(AND(INDEX(TblTareas[Activa],91)=1,E$7&gt;=INDEX(TblTareas[Semana],91),E$7&lt;INDEX(TblTareas[Semana],91)+INDEX(TblTareas[Duracion],91)),INDEX(TblTareas[Horas],91)/INDEX(TblTareas[Duracion],91),""))</f>
      </c>
      <c r="F98" s="64" t="str">
        <f>IF($A98="","",IF(AND(INDEX(TblTareas[Activa],91)=1,F$7&gt;=INDEX(TblTareas[Semana],91),F$7&lt;INDEX(TblTareas[Semana],91)+INDEX(TblTareas[Duracion],91)),INDEX(TblTareas[Horas],91)/INDEX(TblTareas[Duracion],91),""))</f>
      </c>
      <c r="G98" s="64" t="str">
        <f>IF($A98="","",IF(AND(INDEX(TblTareas[Activa],91)=1,G$7&gt;=INDEX(TblTareas[Semana],91),G$7&lt;INDEX(TblTareas[Semana],91)+INDEX(TblTareas[Duracion],91)),INDEX(TblTareas[Horas],91)/INDEX(TblTareas[Duracion],91),""))</f>
      </c>
      <c r="H98" s="64" t="str">
        <f>IF($A98="","",IF(AND(INDEX(TblTareas[Activa],91)=1,H$7&gt;=INDEX(TblTareas[Semana],91),H$7&lt;INDEX(TblTareas[Semana],91)+INDEX(TblTareas[Duracion],91)),INDEX(TblTareas[Horas],91)/INDEX(TblTareas[Duracion],91),""))</f>
      </c>
      <c r="I98" s="64" t="str">
        <f>IF($A98="","",IF(AND(INDEX(TblTareas[Activa],91)=1,I$7&gt;=INDEX(TblTareas[Semana],91),I$7&lt;INDEX(TblTareas[Semana],91)+INDEX(TblTareas[Duracion],91)),INDEX(TblTareas[Horas],91)/INDEX(TblTareas[Duracion],91),""))</f>
      </c>
      <c r="J98" s="64" t="str">
        <f>IF($A98="","",IF(AND(INDEX(TblTareas[Activa],91)=1,J$7&gt;=INDEX(TblTareas[Semana],91),J$7&lt;INDEX(TblTareas[Semana],91)+INDEX(TblTareas[Duracion],91)),INDEX(TblTareas[Horas],91)/INDEX(TblTareas[Duracion],91),""))</f>
      </c>
      <c r="K98" s="64" t="str">
        <f>IF($A98="","",IF(AND(INDEX(TblTareas[Activa],91)=1,K$7&gt;=INDEX(TblTareas[Semana],91),K$7&lt;INDEX(TblTareas[Semana],91)+INDEX(TblTareas[Duracion],91)),INDEX(TblTareas[Horas],91)/INDEX(TblTareas[Duracion],91),""))</f>
      </c>
      <c r="L98" s="64" t="str">
        <f>IF($A98="","",IF(AND(INDEX(TblTareas[Activa],91)=1,L$7&gt;=INDEX(TblTareas[Semana],91),L$7&lt;INDEX(TblTareas[Semana],91)+INDEX(TblTareas[Duracion],91)),INDEX(TblTareas[Horas],91)/INDEX(TblTareas[Duracion],91),""))</f>
      </c>
      <c r="M98" s="64" t="str">
        <f>IF($A98="","",IF(AND(INDEX(TblTareas[Activa],91)=1,M$7&gt;=INDEX(TblTareas[Semana],91),M$7&lt;INDEX(TblTareas[Semana],91)+INDEX(TblTareas[Duracion],91)),INDEX(TblTareas[Horas],91)/INDEX(TblTareas[Duracion],91),""))</f>
      </c>
      <c r="N98" s="64" t="str">
        <f>IF($A98="","",IF(AND(INDEX(TblTareas[Activa],91)=1,N$7&gt;=INDEX(TblTareas[Semana],91),N$7&lt;INDEX(TblTareas[Semana],91)+INDEX(TblTareas[Duracion],91)),INDEX(TblTareas[Horas],91)/INDEX(TblTareas[Duracion],91),""))</f>
      </c>
      <c r="O98" s="64" t="str">
        <f>IF($A98="","",IF(AND(INDEX(TblTareas[Activa],91)=1,O$7&gt;=INDEX(TblTareas[Semana],91),O$7&lt;INDEX(TblTareas[Semana],91)+INDEX(TblTareas[Duracion],91)),INDEX(TblTareas[Horas],91)/INDEX(TblTareas[Duracion],91),""))</f>
      </c>
      <c r="P98" s="64" t="str">
        <f>IF($A98="","",IF(AND(INDEX(TblTareas[Activa],91)=1,P$7&gt;=INDEX(TblTareas[Semana],91),P$7&lt;INDEX(TblTareas[Semana],91)+INDEX(TblTareas[Duracion],91)),INDEX(TblTareas[Horas],91)/INDEX(TblTareas[Duracion],91),""))</f>
      </c>
      <c r="Q98" s="64" t="str">
        <f>IF($A98="","",IF(AND(INDEX(TblTareas[Activa],91)=1,Q$7&gt;=INDEX(TblTareas[Semana],91),Q$7&lt;INDEX(TblTareas[Semana],91)+INDEX(TblTareas[Duracion],91)),INDEX(TblTareas[Horas],91)/INDEX(TblTareas[Duracion],91),""))</f>
      </c>
      <c r="R98" s="64" t="str">
        <f>IF($A98="","",IF(AND(INDEX(TblTareas[Activa],91)=1,R$7&gt;=INDEX(TblTareas[Semana],91),R$7&lt;INDEX(TblTareas[Semana],91)+INDEX(TblTareas[Duracion],91)),INDEX(TblTareas[Horas],91)/INDEX(TblTareas[Duracion],91),""))</f>
      </c>
      <c r="S98" s="64" t="str">
        <f>IF($A98="","",IF(AND(INDEX(TblTareas[Activa],91)=1,S$7&gt;=INDEX(TblTareas[Semana],91),S$7&lt;INDEX(TblTareas[Semana],91)+INDEX(TblTareas[Duracion],91)),INDEX(TblTareas[Horas],91)/INDEX(TblTareas[Duracion],91),""))</f>
      </c>
      <c r="T98" s="64" t="str">
        <f>IF($A98="","",IF(AND(INDEX(TblTareas[Activa],91)=1,T$7&gt;=INDEX(TblTareas[Semana],91),T$7&lt;INDEX(TblTareas[Semana],91)+INDEX(TblTareas[Duracion],91)),INDEX(TblTareas[Horas],91)/INDEX(TblTareas[Duracion],91),""))</f>
      </c>
    </row>
    <row r="99" ht="34" customHeight="1">
      <c r="A99" s="62" t="str">
        <f>IFERROR(IF(INDEX(TblTareas[ID],92)="","",INDEX(TblTareas[ID],92)),"")</f>
      </c>
      <c r="B99" s="62" t="str">
        <f>IF($A99="","",IFERROR(INDEX(TblTareas[Responsable],92),""))</f>
      </c>
      <c r="C99" s="62" t="str">
        <f>IF($A99="","",IFERROR(INDEX(TblTareas[Trabajo],92),""))</f>
      </c>
      <c r="D99" s="62" t="str">
        <f>IF($A99="","",IFERROR(INDEX(TblTareas[Estado],92),""))</f>
      </c>
      <c r="E99" s="64" t="str">
        <f>IF($A99="","",IF(AND(INDEX(TblTareas[Activa],92)=1,E$7&gt;=INDEX(TblTareas[Semana],92),E$7&lt;INDEX(TblTareas[Semana],92)+INDEX(TblTareas[Duracion],92)),INDEX(TblTareas[Horas],92)/INDEX(TblTareas[Duracion],92),""))</f>
      </c>
      <c r="F99" s="64" t="str">
        <f>IF($A99="","",IF(AND(INDEX(TblTareas[Activa],92)=1,F$7&gt;=INDEX(TblTareas[Semana],92),F$7&lt;INDEX(TblTareas[Semana],92)+INDEX(TblTareas[Duracion],92)),INDEX(TblTareas[Horas],92)/INDEX(TblTareas[Duracion],92),""))</f>
      </c>
      <c r="G99" s="64" t="str">
        <f>IF($A99="","",IF(AND(INDEX(TblTareas[Activa],92)=1,G$7&gt;=INDEX(TblTareas[Semana],92),G$7&lt;INDEX(TblTareas[Semana],92)+INDEX(TblTareas[Duracion],92)),INDEX(TblTareas[Horas],92)/INDEX(TblTareas[Duracion],92),""))</f>
      </c>
      <c r="H99" s="64" t="str">
        <f>IF($A99="","",IF(AND(INDEX(TblTareas[Activa],92)=1,H$7&gt;=INDEX(TblTareas[Semana],92),H$7&lt;INDEX(TblTareas[Semana],92)+INDEX(TblTareas[Duracion],92)),INDEX(TblTareas[Horas],92)/INDEX(TblTareas[Duracion],92),""))</f>
      </c>
      <c r="I99" s="64" t="str">
        <f>IF($A99="","",IF(AND(INDEX(TblTareas[Activa],92)=1,I$7&gt;=INDEX(TblTareas[Semana],92),I$7&lt;INDEX(TblTareas[Semana],92)+INDEX(TblTareas[Duracion],92)),INDEX(TblTareas[Horas],92)/INDEX(TblTareas[Duracion],92),""))</f>
      </c>
      <c r="J99" s="64" t="str">
        <f>IF($A99="","",IF(AND(INDEX(TblTareas[Activa],92)=1,J$7&gt;=INDEX(TblTareas[Semana],92),J$7&lt;INDEX(TblTareas[Semana],92)+INDEX(TblTareas[Duracion],92)),INDEX(TblTareas[Horas],92)/INDEX(TblTareas[Duracion],92),""))</f>
      </c>
      <c r="K99" s="64" t="str">
        <f>IF($A99="","",IF(AND(INDEX(TblTareas[Activa],92)=1,K$7&gt;=INDEX(TblTareas[Semana],92),K$7&lt;INDEX(TblTareas[Semana],92)+INDEX(TblTareas[Duracion],92)),INDEX(TblTareas[Horas],92)/INDEX(TblTareas[Duracion],92),""))</f>
      </c>
      <c r="L99" s="64" t="str">
        <f>IF($A99="","",IF(AND(INDEX(TblTareas[Activa],92)=1,L$7&gt;=INDEX(TblTareas[Semana],92),L$7&lt;INDEX(TblTareas[Semana],92)+INDEX(TblTareas[Duracion],92)),INDEX(TblTareas[Horas],92)/INDEX(TblTareas[Duracion],92),""))</f>
      </c>
      <c r="M99" s="64" t="str">
        <f>IF($A99="","",IF(AND(INDEX(TblTareas[Activa],92)=1,M$7&gt;=INDEX(TblTareas[Semana],92),M$7&lt;INDEX(TblTareas[Semana],92)+INDEX(TblTareas[Duracion],92)),INDEX(TblTareas[Horas],92)/INDEX(TblTareas[Duracion],92),""))</f>
      </c>
      <c r="N99" s="64" t="str">
        <f>IF($A99="","",IF(AND(INDEX(TblTareas[Activa],92)=1,N$7&gt;=INDEX(TblTareas[Semana],92),N$7&lt;INDEX(TblTareas[Semana],92)+INDEX(TblTareas[Duracion],92)),INDEX(TblTareas[Horas],92)/INDEX(TblTareas[Duracion],92),""))</f>
      </c>
      <c r="O99" s="64" t="str">
        <f>IF($A99="","",IF(AND(INDEX(TblTareas[Activa],92)=1,O$7&gt;=INDEX(TblTareas[Semana],92),O$7&lt;INDEX(TblTareas[Semana],92)+INDEX(TblTareas[Duracion],92)),INDEX(TblTareas[Horas],92)/INDEX(TblTareas[Duracion],92),""))</f>
      </c>
      <c r="P99" s="64" t="str">
        <f>IF($A99="","",IF(AND(INDEX(TblTareas[Activa],92)=1,P$7&gt;=INDEX(TblTareas[Semana],92),P$7&lt;INDEX(TblTareas[Semana],92)+INDEX(TblTareas[Duracion],92)),INDEX(TblTareas[Horas],92)/INDEX(TblTareas[Duracion],92),""))</f>
      </c>
      <c r="Q99" s="64" t="str">
        <f>IF($A99="","",IF(AND(INDEX(TblTareas[Activa],92)=1,Q$7&gt;=INDEX(TblTareas[Semana],92),Q$7&lt;INDEX(TblTareas[Semana],92)+INDEX(TblTareas[Duracion],92)),INDEX(TblTareas[Horas],92)/INDEX(TblTareas[Duracion],92),""))</f>
      </c>
      <c r="R99" s="64" t="str">
        <f>IF($A99="","",IF(AND(INDEX(TblTareas[Activa],92)=1,R$7&gt;=INDEX(TblTareas[Semana],92),R$7&lt;INDEX(TblTareas[Semana],92)+INDEX(TblTareas[Duracion],92)),INDEX(TblTareas[Horas],92)/INDEX(TblTareas[Duracion],92),""))</f>
      </c>
      <c r="S99" s="64" t="str">
        <f>IF($A99="","",IF(AND(INDEX(TblTareas[Activa],92)=1,S$7&gt;=INDEX(TblTareas[Semana],92),S$7&lt;INDEX(TblTareas[Semana],92)+INDEX(TblTareas[Duracion],92)),INDEX(TblTareas[Horas],92)/INDEX(TblTareas[Duracion],92),""))</f>
      </c>
      <c r="T99" s="64" t="str">
        <f>IF($A99="","",IF(AND(INDEX(TblTareas[Activa],92)=1,T$7&gt;=INDEX(TblTareas[Semana],92),T$7&lt;INDEX(TblTareas[Semana],92)+INDEX(TblTareas[Duracion],92)),INDEX(TblTareas[Horas],92)/INDEX(TblTareas[Duracion],92),""))</f>
      </c>
    </row>
    <row r="100" ht="34" customHeight="1">
      <c r="A100" s="62" t="str">
        <f>IFERROR(IF(INDEX(TblTareas[ID],93)="","",INDEX(TblTareas[ID],93)),"")</f>
      </c>
      <c r="B100" s="62" t="str">
        <f>IF($A100="","",IFERROR(INDEX(TblTareas[Responsable],93),""))</f>
      </c>
      <c r="C100" s="62" t="str">
        <f>IF($A100="","",IFERROR(INDEX(TblTareas[Trabajo],93),""))</f>
      </c>
      <c r="D100" s="62" t="str">
        <f>IF($A100="","",IFERROR(INDEX(TblTareas[Estado],93),""))</f>
      </c>
      <c r="E100" s="64" t="str">
        <f>IF($A100="","",IF(AND(INDEX(TblTareas[Activa],93)=1,E$7&gt;=INDEX(TblTareas[Semana],93),E$7&lt;INDEX(TblTareas[Semana],93)+INDEX(TblTareas[Duracion],93)),INDEX(TblTareas[Horas],93)/INDEX(TblTareas[Duracion],93),""))</f>
      </c>
      <c r="F100" s="64" t="str">
        <f>IF($A100="","",IF(AND(INDEX(TblTareas[Activa],93)=1,F$7&gt;=INDEX(TblTareas[Semana],93),F$7&lt;INDEX(TblTareas[Semana],93)+INDEX(TblTareas[Duracion],93)),INDEX(TblTareas[Horas],93)/INDEX(TblTareas[Duracion],93),""))</f>
      </c>
      <c r="G100" s="64" t="str">
        <f>IF($A100="","",IF(AND(INDEX(TblTareas[Activa],93)=1,G$7&gt;=INDEX(TblTareas[Semana],93),G$7&lt;INDEX(TblTareas[Semana],93)+INDEX(TblTareas[Duracion],93)),INDEX(TblTareas[Horas],93)/INDEX(TblTareas[Duracion],93),""))</f>
      </c>
      <c r="H100" s="64" t="str">
        <f>IF($A100="","",IF(AND(INDEX(TblTareas[Activa],93)=1,H$7&gt;=INDEX(TblTareas[Semana],93),H$7&lt;INDEX(TblTareas[Semana],93)+INDEX(TblTareas[Duracion],93)),INDEX(TblTareas[Horas],93)/INDEX(TblTareas[Duracion],93),""))</f>
      </c>
      <c r="I100" s="64" t="str">
        <f>IF($A100="","",IF(AND(INDEX(TblTareas[Activa],93)=1,I$7&gt;=INDEX(TblTareas[Semana],93),I$7&lt;INDEX(TblTareas[Semana],93)+INDEX(TblTareas[Duracion],93)),INDEX(TblTareas[Horas],93)/INDEX(TblTareas[Duracion],93),""))</f>
      </c>
      <c r="J100" s="64" t="str">
        <f>IF($A100="","",IF(AND(INDEX(TblTareas[Activa],93)=1,J$7&gt;=INDEX(TblTareas[Semana],93),J$7&lt;INDEX(TblTareas[Semana],93)+INDEX(TblTareas[Duracion],93)),INDEX(TblTareas[Horas],93)/INDEX(TblTareas[Duracion],93),""))</f>
      </c>
      <c r="K100" s="64" t="str">
        <f>IF($A100="","",IF(AND(INDEX(TblTareas[Activa],93)=1,K$7&gt;=INDEX(TblTareas[Semana],93),K$7&lt;INDEX(TblTareas[Semana],93)+INDEX(TblTareas[Duracion],93)),INDEX(TblTareas[Horas],93)/INDEX(TblTareas[Duracion],93),""))</f>
      </c>
      <c r="L100" s="64" t="str">
        <f>IF($A100="","",IF(AND(INDEX(TblTareas[Activa],93)=1,L$7&gt;=INDEX(TblTareas[Semana],93),L$7&lt;INDEX(TblTareas[Semana],93)+INDEX(TblTareas[Duracion],93)),INDEX(TblTareas[Horas],93)/INDEX(TblTareas[Duracion],93),""))</f>
      </c>
      <c r="M100" s="64" t="str">
        <f>IF($A100="","",IF(AND(INDEX(TblTareas[Activa],93)=1,M$7&gt;=INDEX(TblTareas[Semana],93),M$7&lt;INDEX(TblTareas[Semana],93)+INDEX(TblTareas[Duracion],93)),INDEX(TblTareas[Horas],93)/INDEX(TblTareas[Duracion],93),""))</f>
      </c>
      <c r="N100" s="64" t="str">
        <f>IF($A100="","",IF(AND(INDEX(TblTareas[Activa],93)=1,N$7&gt;=INDEX(TblTareas[Semana],93),N$7&lt;INDEX(TblTareas[Semana],93)+INDEX(TblTareas[Duracion],93)),INDEX(TblTareas[Horas],93)/INDEX(TblTareas[Duracion],93),""))</f>
      </c>
      <c r="O100" s="64" t="str">
        <f>IF($A100="","",IF(AND(INDEX(TblTareas[Activa],93)=1,O$7&gt;=INDEX(TblTareas[Semana],93),O$7&lt;INDEX(TblTareas[Semana],93)+INDEX(TblTareas[Duracion],93)),INDEX(TblTareas[Horas],93)/INDEX(TblTareas[Duracion],93),""))</f>
      </c>
      <c r="P100" s="64" t="str">
        <f>IF($A100="","",IF(AND(INDEX(TblTareas[Activa],93)=1,P$7&gt;=INDEX(TblTareas[Semana],93),P$7&lt;INDEX(TblTareas[Semana],93)+INDEX(TblTareas[Duracion],93)),INDEX(TblTareas[Horas],93)/INDEX(TblTareas[Duracion],93),""))</f>
      </c>
      <c r="Q100" s="64" t="str">
        <f>IF($A100="","",IF(AND(INDEX(TblTareas[Activa],93)=1,Q$7&gt;=INDEX(TblTareas[Semana],93),Q$7&lt;INDEX(TblTareas[Semana],93)+INDEX(TblTareas[Duracion],93)),INDEX(TblTareas[Horas],93)/INDEX(TblTareas[Duracion],93),""))</f>
      </c>
      <c r="R100" s="64" t="str">
        <f>IF($A100="","",IF(AND(INDEX(TblTareas[Activa],93)=1,R$7&gt;=INDEX(TblTareas[Semana],93),R$7&lt;INDEX(TblTareas[Semana],93)+INDEX(TblTareas[Duracion],93)),INDEX(TblTareas[Horas],93)/INDEX(TblTareas[Duracion],93),""))</f>
      </c>
      <c r="S100" s="64" t="str">
        <f>IF($A100="","",IF(AND(INDEX(TblTareas[Activa],93)=1,S$7&gt;=INDEX(TblTareas[Semana],93),S$7&lt;INDEX(TblTareas[Semana],93)+INDEX(TblTareas[Duracion],93)),INDEX(TblTareas[Horas],93)/INDEX(TblTareas[Duracion],93),""))</f>
      </c>
      <c r="T100" s="64" t="str">
        <f>IF($A100="","",IF(AND(INDEX(TblTareas[Activa],93)=1,T$7&gt;=INDEX(TblTareas[Semana],93),T$7&lt;INDEX(TblTareas[Semana],93)+INDEX(TblTareas[Duracion],93)),INDEX(TblTareas[Horas],93)/INDEX(TblTareas[Duracion],93),""))</f>
      </c>
    </row>
    <row r="101" ht="34" customHeight="1">
      <c r="A101" s="62" t="str">
        <f>IFERROR(IF(INDEX(TblTareas[ID],94)="","",INDEX(TblTareas[ID],94)),"")</f>
      </c>
      <c r="B101" s="62" t="str">
        <f>IF($A101="","",IFERROR(INDEX(TblTareas[Responsable],94),""))</f>
      </c>
      <c r="C101" s="62" t="str">
        <f>IF($A101="","",IFERROR(INDEX(TblTareas[Trabajo],94),""))</f>
      </c>
      <c r="D101" s="62" t="str">
        <f>IF($A101="","",IFERROR(INDEX(TblTareas[Estado],94),""))</f>
      </c>
      <c r="E101" s="64" t="str">
        <f>IF($A101="","",IF(AND(INDEX(TblTareas[Activa],94)=1,E$7&gt;=INDEX(TblTareas[Semana],94),E$7&lt;INDEX(TblTareas[Semana],94)+INDEX(TblTareas[Duracion],94)),INDEX(TblTareas[Horas],94)/INDEX(TblTareas[Duracion],94),""))</f>
      </c>
      <c r="F101" s="64" t="str">
        <f>IF($A101="","",IF(AND(INDEX(TblTareas[Activa],94)=1,F$7&gt;=INDEX(TblTareas[Semana],94),F$7&lt;INDEX(TblTareas[Semana],94)+INDEX(TblTareas[Duracion],94)),INDEX(TblTareas[Horas],94)/INDEX(TblTareas[Duracion],94),""))</f>
      </c>
      <c r="G101" s="64" t="str">
        <f>IF($A101="","",IF(AND(INDEX(TblTareas[Activa],94)=1,G$7&gt;=INDEX(TblTareas[Semana],94),G$7&lt;INDEX(TblTareas[Semana],94)+INDEX(TblTareas[Duracion],94)),INDEX(TblTareas[Horas],94)/INDEX(TblTareas[Duracion],94),""))</f>
      </c>
      <c r="H101" s="64" t="str">
        <f>IF($A101="","",IF(AND(INDEX(TblTareas[Activa],94)=1,H$7&gt;=INDEX(TblTareas[Semana],94),H$7&lt;INDEX(TblTareas[Semana],94)+INDEX(TblTareas[Duracion],94)),INDEX(TblTareas[Horas],94)/INDEX(TblTareas[Duracion],94),""))</f>
      </c>
      <c r="I101" s="64" t="str">
        <f>IF($A101="","",IF(AND(INDEX(TblTareas[Activa],94)=1,I$7&gt;=INDEX(TblTareas[Semana],94),I$7&lt;INDEX(TblTareas[Semana],94)+INDEX(TblTareas[Duracion],94)),INDEX(TblTareas[Horas],94)/INDEX(TblTareas[Duracion],94),""))</f>
      </c>
      <c r="J101" s="64" t="str">
        <f>IF($A101="","",IF(AND(INDEX(TblTareas[Activa],94)=1,J$7&gt;=INDEX(TblTareas[Semana],94),J$7&lt;INDEX(TblTareas[Semana],94)+INDEX(TblTareas[Duracion],94)),INDEX(TblTareas[Horas],94)/INDEX(TblTareas[Duracion],94),""))</f>
      </c>
      <c r="K101" s="64" t="str">
        <f>IF($A101="","",IF(AND(INDEX(TblTareas[Activa],94)=1,K$7&gt;=INDEX(TblTareas[Semana],94),K$7&lt;INDEX(TblTareas[Semana],94)+INDEX(TblTareas[Duracion],94)),INDEX(TblTareas[Horas],94)/INDEX(TblTareas[Duracion],94),""))</f>
      </c>
      <c r="L101" s="64" t="str">
        <f>IF($A101="","",IF(AND(INDEX(TblTareas[Activa],94)=1,L$7&gt;=INDEX(TblTareas[Semana],94),L$7&lt;INDEX(TblTareas[Semana],94)+INDEX(TblTareas[Duracion],94)),INDEX(TblTareas[Horas],94)/INDEX(TblTareas[Duracion],94),""))</f>
      </c>
      <c r="M101" s="64" t="str">
        <f>IF($A101="","",IF(AND(INDEX(TblTareas[Activa],94)=1,M$7&gt;=INDEX(TblTareas[Semana],94),M$7&lt;INDEX(TblTareas[Semana],94)+INDEX(TblTareas[Duracion],94)),INDEX(TblTareas[Horas],94)/INDEX(TblTareas[Duracion],94),""))</f>
      </c>
      <c r="N101" s="64" t="str">
        <f>IF($A101="","",IF(AND(INDEX(TblTareas[Activa],94)=1,N$7&gt;=INDEX(TblTareas[Semana],94),N$7&lt;INDEX(TblTareas[Semana],94)+INDEX(TblTareas[Duracion],94)),INDEX(TblTareas[Horas],94)/INDEX(TblTareas[Duracion],94),""))</f>
      </c>
      <c r="O101" s="64" t="str">
        <f>IF($A101="","",IF(AND(INDEX(TblTareas[Activa],94)=1,O$7&gt;=INDEX(TblTareas[Semana],94),O$7&lt;INDEX(TblTareas[Semana],94)+INDEX(TblTareas[Duracion],94)),INDEX(TblTareas[Horas],94)/INDEX(TblTareas[Duracion],94),""))</f>
      </c>
      <c r="P101" s="64" t="str">
        <f>IF($A101="","",IF(AND(INDEX(TblTareas[Activa],94)=1,P$7&gt;=INDEX(TblTareas[Semana],94),P$7&lt;INDEX(TblTareas[Semana],94)+INDEX(TblTareas[Duracion],94)),INDEX(TblTareas[Horas],94)/INDEX(TblTareas[Duracion],94),""))</f>
      </c>
      <c r="Q101" s="64" t="str">
        <f>IF($A101="","",IF(AND(INDEX(TblTareas[Activa],94)=1,Q$7&gt;=INDEX(TblTareas[Semana],94),Q$7&lt;INDEX(TblTareas[Semana],94)+INDEX(TblTareas[Duracion],94)),INDEX(TblTareas[Horas],94)/INDEX(TblTareas[Duracion],94),""))</f>
      </c>
      <c r="R101" s="64" t="str">
        <f>IF($A101="","",IF(AND(INDEX(TblTareas[Activa],94)=1,R$7&gt;=INDEX(TblTareas[Semana],94),R$7&lt;INDEX(TblTareas[Semana],94)+INDEX(TblTareas[Duracion],94)),INDEX(TblTareas[Horas],94)/INDEX(TblTareas[Duracion],94),""))</f>
      </c>
      <c r="S101" s="64" t="str">
        <f>IF($A101="","",IF(AND(INDEX(TblTareas[Activa],94)=1,S$7&gt;=INDEX(TblTareas[Semana],94),S$7&lt;INDEX(TblTareas[Semana],94)+INDEX(TblTareas[Duracion],94)),INDEX(TblTareas[Horas],94)/INDEX(TblTareas[Duracion],94),""))</f>
      </c>
      <c r="T101" s="64" t="str">
        <f>IF($A101="","",IF(AND(INDEX(TblTareas[Activa],94)=1,T$7&gt;=INDEX(TblTareas[Semana],94),T$7&lt;INDEX(TblTareas[Semana],94)+INDEX(TblTareas[Duracion],94)),INDEX(TblTareas[Horas],94)/INDEX(TblTareas[Duracion],94),""))</f>
      </c>
    </row>
    <row r="102" ht="34" customHeight="1">
      <c r="A102" s="62" t="str">
        <f>IFERROR(IF(INDEX(TblTareas[ID],95)="","",INDEX(TblTareas[ID],95)),"")</f>
      </c>
      <c r="B102" s="62" t="str">
        <f>IF($A102="","",IFERROR(INDEX(TblTareas[Responsable],95),""))</f>
      </c>
      <c r="C102" s="62" t="str">
        <f>IF($A102="","",IFERROR(INDEX(TblTareas[Trabajo],95),""))</f>
      </c>
      <c r="D102" s="62" t="str">
        <f>IF($A102="","",IFERROR(INDEX(TblTareas[Estado],95),""))</f>
      </c>
      <c r="E102" s="64" t="str">
        <f>IF($A102="","",IF(AND(INDEX(TblTareas[Activa],95)=1,E$7&gt;=INDEX(TblTareas[Semana],95),E$7&lt;INDEX(TblTareas[Semana],95)+INDEX(TblTareas[Duracion],95)),INDEX(TblTareas[Horas],95)/INDEX(TblTareas[Duracion],95),""))</f>
      </c>
      <c r="F102" s="64" t="str">
        <f>IF($A102="","",IF(AND(INDEX(TblTareas[Activa],95)=1,F$7&gt;=INDEX(TblTareas[Semana],95),F$7&lt;INDEX(TblTareas[Semana],95)+INDEX(TblTareas[Duracion],95)),INDEX(TblTareas[Horas],95)/INDEX(TblTareas[Duracion],95),""))</f>
      </c>
      <c r="G102" s="64" t="str">
        <f>IF($A102="","",IF(AND(INDEX(TblTareas[Activa],95)=1,G$7&gt;=INDEX(TblTareas[Semana],95),G$7&lt;INDEX(TblTareas[Semana],95)+INDEX(TblTareas[Duracion],95)),INDEX(TblTareas[Horas],95)/INDEX(TblTareas[Duracion],95),""))</f>
      </c>
      <c r="H102" s="64" t="str">
        <f>IF($A102="","",IF(AND(INDEX(TblTareas[Activa],95)=1,H$7&gt;=INDEX(TblTareas[Semana],95),H$7&lt;INDEX(TblTareas[Semana],95)+INDEX(TblTareas[Duracion],95)),INDEX(TblTareas[Horas],95)/INDEX(TblTareas[Duracion],95),""))</f>
      </c>
      <c r="I102" s="64" t="str">
        <f>IF($A102="","",IF(AND(INDEX(TblTareas[Activa],95)=1,I$7&gt;=INDEX(TblTareas[Semana],95),I$7&lt;INDEX(TblTareas[Semana],95)+INDEX(TblTareas[Duracion],95)),INDEX(TblTareas[Horas],95)/INDEX(TblTareas[Duracion],95),""))</f>
      </c>
      <c r="J102" s="64" t="str">
        <f>IF($A102="","",IF(AND(INDEX(TblTareas[Activa],95)=1,J$7&gt;=INDEX(TblTareas[Semana],95),J$7&lt;INDEX(TblTareas[Semana],95)+INDEX(TblTareas[Duracion],95)),INDEX(TblTareas[Horas],95)/INDEX(TblTareas[Duracion],95),""))</f>
      </c>
      <c r="K102" s="64" t="str">
        <f>IF($A102="","",IF(AND(INDEX(TblTareas[Activa],95)=1,K$7&gt;=INDEX(TblTareas[Semana],95),K$7&lt;INDEX(TblTareas[Semana],95)+INDEX(TblTareas[Duracion],95)),INDEX(TblTareas[Horas],95)/INDEX(TblTareas[Duracion],95),""))</f>
      </c>
      <c r="L102" s="64" t="str">
        <f>IF($A102="","",IF(AND(INDEX(TblTareas[Activa],95)=1,L$7&gt;=INDEX(TblTareas[Semana],95),L$7&lt;INDEX(TblTareas[Semana],95)+INDEX(TblTareas[Duracion],95)),INDEX(TblTareas[Horas],95)/INDEX(TblTareas[Duracion],95),""))</f>
      </c>
      <c r="M102" s="64" t="str">
        <f>IF($A102="","",IF(AND(INDEX(TblTareas[Activa],95)=1,M$7&gt;=INDEX(TblTareas[Semana],95),M$7&lt;INDEX(TblTareas[Semana],95)+INDEX(TblTareas[Duracion],95)),INDEX(TblTareas[Horas],95)/INDEX(TblTareas[Duracion],95),""))</f>
      </c>
      <c r="N102" s="64" t="str">
        <f>IF($A102="","",IF(AND(INDEX(TblTareas[Activa],95)=1,N$7&gt;=INDEX(TblTareas[Semana],95),N$7&lt;INDEX(TblTareas[Semana],95)+INDEX(TblTareas[Duracion],95)),INDEX(TblTareas[Horas],95)/INDEX(TblTareas[Duracion],95),""))</f>
      </c>
      <c r="O102" s="64" t="str">
        <f>IF($A102="","",IF(AND(INDEX(TblTareas[Activa],95)=1,O$7&gt;=INDEX(TblTareas[Semana],95),O$7&lt;INDEX(TblTareas[Semana],95)+INDEX(TblTareas[Duracion],95)),INDEX(TblTareas[Horas],95)/INDEX(TblTareas[Duracion],95),""))</f>
      </c>
      <c r="P102" s="64" t="str">
        <f>IF($A102="","",IF(AND(INDEX(TblTareas[Activa],95)=1,P$7&gt;=INDEX(TblTareas[Semana],95),P$7&lt;INDEX(TblTareas[Semana],95)+INDEX(TblTareas[Duracion],95)),INDEX(TblTareas[Horas],95)/INDEX(TblTareas[Duracion],95),""))</f>
      </c>
      <c r="Q102" s="64" t="str">
        <f>IF($A102="","",IF(AND(INDEX(TblTareas[Activa],95)=1,Q$7&gt;=INDEX(TblTareas[Semana],95),Q$7&lt;INDEX(TblTareas[Semana],95)+INDEX(TblTareas[Duracion],95)),INDEX(TblTareas[Horas],95)/INDEX(TblTareas[Duracion],95),""))</f>
      </c>
      <c r="R102" s="64" t="str">
        <f>IF($A102="","",IF(AND(INDEX(TblTareas[Activa],95)=1,R$7&gt;=INDEX(TblTareas[Semana],95),R$7&lt;INDEX(TblTareas[Semana],95)+INDEX(TblTareas[Duracion],95)),INDEX(TblTareas[Horas],95)/INDEX(TblTareas[Duracion],95),""))</f>
      </c>
      <c r="S102" s="64" t="str">
        <f>IF($A102="","",IF(AND(INDEX(TblTareas[Activa],95)=1,S$7&gt;=INDEX(TblTareas[Semana],95),S$7&lt;INDEX(TblTareas[Semana],95)+INDEX(TblTareas[Duracion],95)),INDEX(TblTareas[Horas],95)/INDEX(TblTareas[Duracion],95),""))</f>
      </c>
      <c r="T102" s="64" t="str">
        <f>IF($A102="","",IF(AND(INDEX(TblTareas[Activa],95)=1,T$7&gt;=INDEX(TblTareas[Semana],95),T$7&lt;INDEX(TblTareas[Semana],95)+INDEX(TblTareas[Duracion],95)),INDEX(TblTareas[Horas],95)/INDEX(TblTareas[Duracion],95),""))</f>
      </c>
    </row>
    <row r="103" ht="34" customHeight="1">
      <c r="A103" s="62" t="str">
        <f>IFERROR(IF(INDEX(TblTareas[ID],96)="","",INDEX(TblTareas[ID],96)),"")</f>
      </c>
      <c r="B103" s="62" t="str">
        <f>IF($A103="","",IFERROR(INDEX(TblTareas[Responsable],96),""))</f>
      </c>
      <c r="C103" s="62" t="str">
        <f>IF($A103="","",IFERROR(INDEX(TblTareas[Trabajo],96),""))</f>
      </c>
      <c r="D103" s="62" t="str">
        <f>IF($A103="","",IFERROR(INDEX(TblTareas[Estado],96),""))</f>
      </c>
      <c r="E103" s="64" t="str">
        <f>IF($A103="","",IF(AND(INDEX(TblTareas[Activa],96)=1,E$7&gt;=INDEX(TblTareas[Semana],96),E$7&lt;INDEX(TblTareas[Semana],96)+INDEX(TblTareas[Duracion],96)),INDEX(TblTareas[Horas],96)/INDEX(TblTareas[Duracion],96),""))</f>
      </c>
      <c r="F103" s="64" t="str">
        <f>IF($A103="","",IF(AND(INDEX(TblTareas[Activa],96)=1,F$7&gt;=INDEX(TblTareas[Semana],96),F$7&lt;INDEX(TblTareas[Semana],96)+INDEX(TblTareas[Duracion],96)),INDEX(TblTareas[Horas],96)/INDEX(TblTareas[Duracion],96),""))</f>
      </c>
      <c r="G103" s="64" t="str">
        <f>IF($A103="","",IF(AND(INDEX(TblTareas[Activa],96)=1,G$7&gt;=INDEX(TblTareas[Semana],96),G$7&lt;INDEX(TblTareas[Semana],96)+INDEX(TblTareas[Duracion],96)),INDEX(TblTareas[Horas],96)/INDEX(TblTareas[Duracion],96),""))</f>
      </c>
      <c r="H103" s="64" t="str">
        <f>IF($A103="","",IF(AND(INDEX(TblTareas[Activa],96)=1,H$7&gt;=INDEX(TblTareas[Semana],96),H$7&lt;INDEX(TblTareas[Semana],96)+INDEX(TblTareas[Duracion],96)),INDEX(TblTareas[Horas],96)/INDEX(TblTareas[Duracion],96),""))</f>
      </c>
      <c r="I103" s="64" t="str">
        <f>IF($A103="","",IF(AND(INDEX(TblTareas[Activa],96)=1,I$7&gt;=INDEX(TblTareas[Semana],96),I$7&lt;INDEX(TblTareas[Semana],96)+INDEX(TblTareas[Duracion],96)),INDEX(TblTareas[Horas],96)/INDEX(TblTareas[Duracion],96),""))</f>
      </c>
      <c r="J103" s="64" t="str">
        <f>IF($A103="","",IF(AND(INDEX(TblTareas[Activa],96)=1,J$7&gt;=INDEX(TblTareas[Semana],96),J$7&lt;INDEX(TblTareas[Semana],96)+INDEX(TblTareas[Duracion],96)),INDEX(TblTareas[Horas],96)/INDEX(TblTareas[Duracion],96),""))</f>
      </c>
      <c r="K103" s="64" t="str">
        <f>IF($A103="","",IF(AND(INDEX(TblTareas[Activa],96)=1,K$7&gt;=INDEX(TblTareas[Semana],96),K$7&lt;INDEX(TblTareas[Semana],96)+INDEX(TblTareas[Duracion],96)),INDEX(TblTareas[Horas],96)/INDEX(TblTareas[Duracion],96),""))</f>
      </c>
      <c r="L103" s="64" t="str">
        <f>IF($A103="","",IF(AND(INDEX(TblTareas[Activa],96)=1,L$7&gt;=INDEX(TblTareas[Semana],96),L$7&lt;INDEX(TblTareas[Semana],96)+INDEX(TblTareas[Duracion],96)),INDEX(TblTareas[Horas],96)/INDEX(TblTareas[Duracion],96),""))</f>
      </c>
      <c r="M103" s="64" t="str">
        <f>IF($A103="","",IF(AND(INDEX(TblTareas[Activa],96)=1,M$7&gt;=INDEX(TblTareas[Semana],96),M$7&lt;INDEX(TblTareas[Semana],96)+INDEX(TblTareas[Duracion],96)),INDEX(TblTareas[Horas],96)/INDEX(TblTareas[Duracion],96),""))</f>
      </c>
      <c r="N103" s="64" t="str">
        <f>IF($A103="","",IF(AND(INDEX(TblTareas[Activa],96)=1,N$7&gt;=INDEX(TblTareas[Semana],96),N$7&lt;INDEX(TblTareas[Semana],96)+INDEX(TblTareas[Duracion],96)),INDEX(TblTareas[Horas],96)/INDEX(TblTareas[Duracion],96),""))</f>
      </c>
      <c r="O103" s="64" t="str">
        <f>IF($A103="","",IF(AND(INDEX(TblTareas[Activa],96)=1,O$7&gt;=INDEX(TblTareas[Semana],96),O$7&lt;INDEX(TblTareas[Semana],96)+INDEX(TblTareas[Duracion],96)),INDEX(TblTareas[Horas],96)/INDEX(TblTareas[Duracion],96),""))</f>
      </c>
      <c r="P103" s="64" t="str">
        <f>IF($A103="","",IF(AND(INDEX(TblTareas[Activa],96)=1,P$7&gt;=INDEX(TblTareas[Semana],96),P$7&lt;INDEX(TblTareas[Semana],96)+INDEX(TblTareas[Duracion],96)),INDEX(TblTareas[Horas],96)/INDEX(TblTareas[Duracion],96),""))</f>
      </c>
      <c r="Q103" s="64" t="str">
        <f>IF($A103="","",IF(AND(INDEX(TblTareas[Activa],96)=1,Q$7&gt;=INDEX(TblTareas[Semana],96),Q$7&lt;INDEX(TblTareas[Semana],96)+INDEX(TblTareas[Duracion],96)),INDEX(TblTareas[Horas],96)/INDEX(TblTareas[Duracion],96),""))</f>
      </c>
      <c r="R103" s="64" t="str">
        <f>IF($A103="","",IF(AND(INDEX(TblTareas[Activa],96)=1,R$7&gt;=INDEX(TblTareas[Semana],96),R$7&lt;INDEX(TblTareas[Semana],96)+INDEX(TblTareas[Duracion],96)),INDEX(TblTareas[Horas],96)/INDEX(TblTareas[Duracion],96),""))</f>
      </c>
      <c r="S103" s="64" t="str">
        <f>IF($A103="","",IF(AND(INDEX(TblTareas[Activa],96)=1,S$7&gt;=INDEX(TblTareas[Semana],96),S$7&lt;INDEX(TblTareas[Semana],96)+INDEX(TblTareas[Duracion],96)),INDEX(TblTareas[Horas],96)/INDEX(TblTareas[Duracion],96),""))</f>
      </c>
      <c r="T103" s="64" t="str">
        <f>IF($A103="","",IF(AND(INDEX(TblTareas[Activa],96)=1,T$7&gt;=INDEX(TblTareas[Semana],96),T$7&lt;INDEX(TblTareas[Semana],96)+INDEX(TblTareas[Duracion],96)),INDEX(TblTareas[Horas],96)/INDEX(TblTareas[Duracion],96),""))</f>
      </c>
    </row>
    <row r="104" ht="34" customHeight="1">
      <c r="A104" s="62" t="str">
        <f>IFERROR(IF(INDEX(TblTareas[ID],97)="","",INDEX(TblTareas[ID],97)),"")</f>
      </c>
      <c r="B104" s="62" t="str">
        <f>IF($A104="","",IFERROR(INDEX(TblTareas[Responsable],97),""))</f>
      </c>
      <c r="C104" s="62" t="str">
        <f>IF($A104="","",IFERROR(INDEX(TblTareas[Trabajo],97),""))</f>
      </c>
      <c r="D104" s="62" t="str">
        <f>IF($A104="","",IFERROR(INDEX(TblTareas[Estado],97),""))</f>
      </c>
      <c r="E104" s="64" t="str">
        <f>IF($A104="","",IF(AND(INDEX(TblTareas[Activa],97)=1,E$7&gt;=INDEX(TblTareas[Semana],97),E$7&lt;INDEX(TblTareas[Semana],97)+INDEX(TblTareas[Duracion],97)),INDEX(TblTareas[Horas],97)/INDEX(TblTareas[Duracion],97),""))</f>
      </c>
      <c r="F104" s="64" t="str">
        <f>IF($A104="","",IF(AND(INDEX(TblTareas[Activa],97)=1,F$7&gt;=INDEX(TblTareas[Semana],97),F$7&lt;INDEX(TblTareas[Semana],97)+INDEX(TblTareas[Duracion],97)),INDEX(TblTareas[Horas],97)/INDEX(TblTareas[Duracion],97),""))</f>
      </c>
      <c r="G104" s="64" t="str">
        <f>IF($A104="","",IF(AND(INDEX(TblTareas[Activa],97)=1,G$7&gt;=INDEX(TblTareas[Semana],97),G$7&lt;INDEX(TblTareas[Semana],97)+INDEX(TblTareas[Duracion],97)),INDEX(TblTareas[Horas],97)/INDEX(TblTareas[Duracion],97),""))</f>
      </c>
      <c r="H104" s="64" t="str">
        <f>IF($A104="","",IF(AND(INDEX(TblTareas[Activa],97)=1,H$7&gt;=INDEX(TblTareas[Semana],97),H$7&lt;INDEX(TblTareas[Semana],97)+INDEX(TblTareas[Duracion],97)),INDEX(TblTareas[Horas],97)/INDEX(TblTareas[Duracion],97),""))</f>
      </c>
      <c r="I104" s="64" t="str">
        <f>IF($A104="","",IF(AND(INDEX(TblTareas[Activa],97)=1,I$7&gt;=INDEX(TblTareas[Semana],97),I$7&lt;INDEX(TblTareas[Semana],97)+INDEX(TblTareas[Duracion],97)),INDEX(TblTareas[Horas],97)/INDEX(TblTareas[Duracion],97),""))</f>
      </c>
      <c r="J104" s="64" t="str">
        <f>IF($A104="","",IF(AND(INDEX(TblTareas[Activa],97)=1,J$7&gt;=INDEX(TblTareas[Semana],97),J$7&lt;INDEX(TblTareas[Semana],97)+INDEX(TblTareas[Duracion],97)),INDEX(TblTareas[Horas],97)/INDEX(TblTareas[Duracion],97),""))</f>
      </c>
      <c r="K104" s="64" t="str">
        <f>IF($A104="","",IF(AND(INDEX(TblTareas[Activa],97)=1,K$7&gt;=INDEX(TblTareas[Semana],97),K$7&lt;INDEX(TblTareas[Semana],97)+INDEX(TblTareas[Duracion],97)),INDEX(TblTareas[Horas],97)/INDEX(TblTareas[Duracion],97),""))</f>
      </c>
      <c r="L104" s="64" t="str">
        <f>IF($A104="","",IF(AND(INDEX(TblTareas[Activa],97)=1,L$7&gt;=INDEX(TblTareas[Semana],97),L$7&lt;INDEX(TblTareas[Semana],97)+INDEX(TblTareas[Duracion],97)),INDEX(TblTareas[Horas],97)/INDEX(TblTareas[Duracion],97),""))</f>
      </c>
      <c r="M104" s="64" t="str">
        <f>IF($A104="","",IF(AND(INDEX(TblTareas[Activa],97)=1,M$7&gt;=INDEX(TblTareas[Semana],97),M$7&lt;INDEX(TblTareas[Semana],97)+INDEX(TblTareas[Duracion],97)),INDEX(TblTareas[Horas],97)/INDEX(TblTareas[Duracion],97),""))</f>
      </c>
      <c r="N104" s="64" t="str">
        <f>IF($A104="","",IF(AND(INDEX(TblTareas[Activa],97)=1,N$7&gt;=INDEX(TblTareas[Semana],97),N$7&lt;INDEX(TblTareas[Semana],97)+INDEX(TblTareas[Duracion],97)),INDEX(TblTareas[Horas],97)/INDEX(TblTareas[Duracion],97),""))</f>
      </c>
      <c r="O104" s="64" t="str">
        <f>IF($A104="","",IF(AND(INDEX(TblTareas[Activa],97)=1,O$7&gt;=INDEX(TblTareas[Semana],97),O$7&lt;INDEX(TblTareas[Semana],97)+INDEX(TblTareas[Duracion],97)),INDEX(TblTareas[Horas],97)/INDEX(TblTareas[Duracion],97),""))</f>
      </c>
      <c r="P104" s="64" t="str">
        <f>IF($A104="","",IF(AND(INDEX(TblTareas[Activa],97)=1,P$7&gt;=INDEX(TblTareas[Semana],97),P$7&lt;INDEX(TblTareas[Semana],97)+INDEX(TblTareas[Duracion],97)),INDEX(TblTareas[Horas],97)/INDEX(TblTareas[Duracion],97),""))</f>
      </c>
      <c r="Q104" s="64" t="str">
        <f>IF($A104="","",IF(AND(INDEX(TblTareas[Activa],97)=1,Q$7&gt;=INDEX(TblTareas[Semana],97),Q$7&lt;INDEX(TblTareas[Semana],97)+INDEX(TblTareas[Duracion],97)),INDEX(TblTareas[Horas],97)/INDEX(TblTareas[Duracion],97),""))</f>
      </c>
      <c r="R104" s="64" t="str">
        <f>IF($A104="","",IF(AND(INDEX(TblTareas[Activa],97)=1,R$7&gt;=INDEX(TblTareas[Semana],97),R$7&lt;INDEX(TblTareas[Semana],97)+INDEX(TblTareas[Duracion],97)),INDEX(TblTareas[Horas],97)/INDEX(TblTareas[Duracion],97),""))</f>
      </c>
      <c r="S104" s="64" t="str">
        <f>IF($A104="","",IF(AND(INDEX(TblTareas[Activa],97)=1,S$7&gt;=INDEX(TblTareas[Semana],97),S$7&lt;INDEX(TblTareas[Semana],97)+INDEX(TblTareas[Duracion],97)),INDEX(TblTareas[Horas],97)/INDEX(TblTareas[Duracion],97),""))</f>
      </c>
      <c r="T104" s="64" t="str">
        <f>IF($A104="","",IF(AND(INDEX(TblTareas[Activa],97)=1,T$7&gt;=INDEX(TblTareas[Semana],97),T$7&lt;INDEX(TblTareas[Semana],97)+INDEX(TblTareas[Duracion],97)),INDEX(TblTareas[Horas],97)/INDEX(TblTareas[Duracion],97),""))</f>
      </c>
    </row>
    <row r="105" ht="34" customHeight="1">
      <c r="A105" s="62" t="str">
        <f>IFERROR(IF(INDEX(TblTareas[ID],98)="","",INDEX(TblTareas[ID],98)),"")</f>
      </c>
      <c r="B105" s="62" t="str">
        <f>IF($A105="","",IFERROR(INDEX(TblTareas[Responsable],98),""))</f>
      </c>
      <c r="C105" s="62" t="str">
        <f>IF($A105="","",IFERROR(INDEX(TblTareas[Trabajo],98),""))</f>
      </c>
      <c r="D105" s="62" t="str">
        <f>IF($A105="","",IFERROR(INDEX(TblTareas[Estado],98),""))</f>
      </c>
      <c r="E105" s="64" t="str">
        <f>IF($A105="","",IF(AND(INDEX(TblTareas[Activa],98)=1,E$7&gt;=INDEX(TblTareas[Semana],98),E$7&lt;INDEX(TblTareas[Semana],98)+INDEX(TblTareas[Duracion],98)),INDEX(TblTareas[Horas],98)/INDEX(TblTareas[Duracion],98),""))</f>
      </c>
      <c r="F105" s="64" t="str">
        <f>IF($A105="","",IF(AND(INDEX(TblTareas[Activa],98)=1,F$7&gt;=INDEX(TblTareas[Semana],98),F$7&lt;INDEX(TblTareas[Semana],98)+INDEX(TblTareas[Duracion],98)),INDEX(TblTareas[Horas],98)/INDEX(TblTareas[Duracion],98),""))</f>
      </c>
      <c r="G105" s="64" t="str">
        <f>IF($A105="","",IF(AND(INDEX(TblTareas[Activa],98)=1,G$7&gt;=INDEX(TblTareas[Semana],98),G$7&lt;INDEX(TblTareas[Semana],98)+INDEX(TblTareas[Duracion],98)),INDEX(TblTareas[Horas],98)/INDEX(TblTareas[Duracion],98),""))</f>
      </c>
      <c r="H105" s="64" t="str">
        <f>IF($A105="","",IF(AND(INDEX(TblTareas[Activa],98)=1,H$7&gt;=INDEX(TblTareas[Semana],98),H$7&lt;INDEX(TblTareas[Semana],98)+INDEX(TblTareas[Duracion],98)),INDEX(TblTareas[Horas],98)/INDEX(TblTareas[Duracion],98),""))</f>
      </c>
      <c r="I105" s="64" t="str">
        <f>IF($A105="","",IF(AND(INDEX(TblTareas[Activa],98)=1,I$7&gt;=INDEX(TblTareas[Semana],98),I$7&lt;INDEX(TblTareas[Semana],98)+INDEX(TblTareas[Duracion],98)),INDEX(TblTareas[Horas],98)/INDEX(TblTareas[Duracion],98),""))</f>
      </c>
      <c r="J105" s="64" t="str">
        <f>IF($A105="","",IF(AND(INDEX(TblTareas[Activa],98)=1,J$7&gt;=INDEX(TblTareas[Semana],98),J$7&lt;INDEX(TblTareas[Semana],98)+INDEX(TblTareas[Duracion],98)),INDEX(TblTareas[Horas],98)/INDEX(TblTareas[Duracion],98),""))</f>
      </c>
      <c r="K105" s="64" t="str">
        <f>IF($A105="","",IF(AND(INDEX(TblTareas[Activa],98)=1,K$7&gt;=INDEX(TblTareas[Semana],98),K$7&lt;INDEX(TblTareas[Semana],98)+INDEX(TblTareas[Duracion],98)),INDEX(TblTareas[Horas],98)/INDEX(TblTareas[Duracion],98),""))</f>
      </c>
      <c r="L105" s="64" t="str">
        <f>IF($A105="","",IF(AND(INDEX(TblTareas[Activa],98)=1,L$7&gt;=INDEX(TblTareas[Semana],98),L$7&lt;INDEX(TblTareas[Semana],98)+INDEX(TblTareas[Duracion],98)),INDEX(TblTareas[Horas],98)/INDEX(TblTareas[Duracion],98),""))</f>
      </c>
      <c r="M105" s="64" t="str">
        <f>IF($A105="","",IF(AND(INDEX(TblTareas[Activa],98)=1,M$7&gt;=INDEX(TblTareas[Semana],98),M$7&lt;INDEX(TblTareas[Semana],98)+INDEX(TblTareas[Duracion],98)),INDEX(TblTareas[Horas],98)/INDEX(TblTareas[Duracion],98),""))</f>
      </c>
      <c r="N105" s="64" t="str">
        <f>IF($A105="","",IF(AND(INDEX(TblTareas[Activa],98)=1,N$7&gt;=INDEX(TblTareas[Semana],98),N$7&lt;INDEX(TblTareas[Semana],98)+INDEX(TblTareas[Duracion],98)),INDEX(TblTareas[Horas],98)/INDEX(TblTareas[Duracion],98),""))</f>
      </c>
      <c r="O105" s="64" t="str">
        <f>IF($A105="","",IF(AND(INDEX(TblTareas[Activa],98)=1,O$7&gt;=INDEX(TblTareas[Semana],98),O$7&lt;INDEX(TblTareas[Semana],98)+INDEX(TblTareas[Duracion],98)),INDEX(TblTareas[Horas],98)/INDEX(TblTareas[Duracion],98),""))</f>
      </c>
      <c r="P105" s="64" t="str">
        <f>IF($A105="","",IF(AND(INDEX(TblTareas[Activa],98)=1,P$7&gt;=INDEX(TblTareas[Semana],98),P$7&lt;INDEX(TblTareas[Semana],98)+INDEX(TblTareas[Duracion],98)),INDEX(TblTareas[Horas],98)/INDEX(TblTareas[Duracion],98),""))</f>
      </c>
      <c r="Q105" s="64" t="str">
        <f>IF($A105="","",IF(AND(INDEX(TblTareas[Activa],98)=1,Q$7&gt;=INDEX(TblTareas[Semana],98),Q$7&lt;INDEX(TblTareas[Semana],98)+INDEX(TblTareas[Duracion],98)),INDEX(TblTareas[Horas],98)/INDEX(TblTareas[Duracion],98),""))</f>
      </c>
      <c r="R105" s="64" t="str">
        <f>IF($A105="","",IF(AND(INDEX(TblTareas[Activa],98)=1,R$7&gt;=INDEX(TblTareas[Semana],98),R$7&lt;INDEX(TblTareas[Semana],98)+INDEX(TblTareas[Duracion],98)),INDEX(TblTareas[Horas],98)/INDEX(TblTareas[Duracion],98),""))</f>
      </c>
      <c r="S105" s="64" t="str">
        <f>IF($A105="","",IF(AND(INDEX(TblTareas[Activa],98)=1,S$7&gt;=INDEX(TblTareas[Semana],98),S$7&lt;INDEX(TblTareas[Semana],98)+INDEX(TblTareas[Duracion],98)),INDEX(TblTareas[Horas],98)/INDEX(TblTareas[Duracion],98),""))</f>
      </c>
      <c r="T105" s="64" t="str">
        <f>IF($A105="","",IF(AND(INDEX(TblTareas[Activa],98)=1,T$7&gt;=INDEX(TblTareas[Semana],98),T$7&lt;INDEX(TblTareas[Semana],98)+INDEX(TblTareas[Duracion],98)),INDEX(TblTareas[Horas],98)/INDEX(TblTareas[Duracion],98),""))</f>
      </c>
    </row>
    <row r="106" ht="34" customHeight="1">
      <c r="A106" s="62" t="str">
        <f>IFERROR(IF(INDEX(TblTareas[ID],99)="","",INDEX(TblTareas[ID],99)),"")</f>
      </c>
      <c r="B106" s="62" t="str">
        <f>IF($A106="","",IFERROR(INDEX(TblTareas[Responsable],99),""))</f>
      </c>
      <c r="C106" s="62" t="str">
        <f>IF($A106="","",IFERROR(INDEX(TblTareas[Trabajo],99),""))</f>
      </c>
      <c r="D106" s="62" t="str">
        <f>IF($A106="","",IFERROR(INDEX(TblTareas[Estado],99),""))</f>
      </c>
      <c r="E106" s="64" t="str">
        <f>IF($A106="","",IF(AND(INDEX(TblTareas[Activa],99)=1,E$7&gt;=INDEX(TblTareas[Semana],99),E$7&lt;INDEX(TblTareas[Semana],99)+INDEX(TblTareas[Duracion],99)),INDEX(TblTareas[Horas],99)/INDEX(TblTareas[Duracion],99),""))</f>
      </c>
      <c r="F106" s="64" t="str">
        <f>IF($A106="","",IF(AND(INDEX(TblTareas[Activa],99)=1,F$7&gt;=INDEX(TblTareas[Semana],99),F$7&lt;INDEX(TblTareas[Semana],99)+INDEX(TblTareas[Duracion],99)),INDEX(TblTareas[Horas],99)/INDEX(TblTareas[Duracion],99),""))</f>
      </c>
      <c r="G106" s="64" t="str">
        <f>IF($A106="","",IF(AND(INDEX(TblTareas[Activa],99)=1,G$7&gt;=INDEX(TblTareas[Semana],99),G$7&lt;INDEX(TblTareas[Semana],99)+INDEX(TblTareas[Duracion],99)),INDEX(TblTareas[Horas],99)/INDEX(TblTareas[Duracion],99),""))</f>
      </c>
      <c r="H106" s="64" t="str">
        <f>IF($A106="","",IF(AND(INDEX(TblTareas[Activa],99)=1,H$7&gt;=INDEX(TblTareas[Semana],99),H$7&lt;INDEX(TblTareas[Semana],99)+INDEX(TblTareas[Duracion],99)),INDEX(TblTareas[Horas],99)/INDEX(TblTareas[Duracion],99),""))</f>
      </c>
      <c r="I106" s="64" t="str">
        <f>IF($A106="","",IF(AND(INDEX(TblTareas[Activa],99)=1,I$7&gt;=INDEX(TblTareas[Semana],99),I$7&lt;INDEX(TblTareas[Semana],99)+INDEX(TblTareas[Duracion],99)),INDEX(TblTareas[Horas],99)/INDEX(TblTareas[Duracion],99),""))</f>
      </c>
      <c r="J106" s="64" t="str">
        <f>IF($A106="","",IF(AND(INDEX(TblTareas[Activa],99)=1,J$7&gt;=INDEX(TblTareas[Semana],99),J$7&lt;INDEX(TblTareas[Semana],99)+INDEX(TblTareas[Duracion],99)),INDEX(TblTareas[Horas],99)/INDEX(TblTareas[Duracion],99),""))</f>
      </c>
      <c r="K106" s="64" t="str">
        <f>IF($A106="","",IF(AND(INDEX(TblTareas[Activa],99)=1,K$7&gt;=INDEX(TblTareas[Semana],99),K$7&lt;INDEX(TblTareas[Semana],99)+INDEX(TblTareas[Duracion],99)),INDEX(TblTareas[Horas],99)/INDEX(TblTareas[Duracion],99),""))</f>
      </c>
      <c r="L106" s="64" t="str">
        <f>IF($A106="","",IF(AND(INDEX(TblTareas[Activa],99)=1,L$7&gt;=INDEX(TblTareas[Semana],99),L$7&lt;INDEX(TblTareas[Semana],99)+INDEX(TblTareas[Duracion],99)),INDEX(TblTareas[Horas],99)/INDEX(TblTareas[Duracion],99),""))</f>
      </c>
      <c r="M106" s="64" t="str">
        <f>IF($A106="","",IF(AND(INDEX(TblTareas[Activa],99)=1,M$7&gt;=INDEX(TblTareas[Semana],99),M$7&lt;INDEX(TblTareas[Semana],99)+INDEX(TblTareas[Duracion],99)),INDEX(TblTareas[Horas],99)/INDEX(TblTareas[Duracion],99),""))</f>
      </c>
      <c r="N106" s="64" t="str">
        <f>IF($A106="","",IF(AND(INDEX(TblTareas[Activa],99)=1,N$7&gt;=INDEX(TblTareas[Semana],99),N$7&lt;INDEX(TblTareas[Semana],99)+INDEX(TblTareas[Duracion],99)),INDEX(TblTareas[Horas],99)/INDEX(TblTareas[Duracion],99),""))</f>
      </c>
      <c r="O106" s="64" t="str">
        <f>IF($A106="","",IF(AND(INDEX(TblTareas[Activa],99)=1,O$7&gt;=INDEX(TblTareas[Semana],99),O$7&lt;INDEX(TblTareas[Semana],99)+INDEX(TblTareas[Duracion],99)),INDEX(TblTareas[Horas],99)/INDEX(TblTareas[Duracion],99),""))</f>
      </c>
      <c r="P106" s="64" t="str">
        <f>IF($A106="","",IF(AND(INDEX(TblTareas[Activa],99)=1,P$7&gt;=INDEX(TblTareas[Semana],99),P$7&lt;INDEX(TblTareas[Semana],99)+INDEX(TblTareas[Duracion],99)),INDEX(TblTareas[Horas],99)/INDEX(TblTareas[Duracion],99),""))</f>
      </c>
      <c r="Q106" s="64" t="str">
        <f>IF($A106="","",IF(AND(INDEX(TblTareas[Activa],99)=1,Q$7&gt;=INDEX(TblTareas[Semana],99),Q$7&lt;INDEX(TblTareas[Semana],99)+INDEX(TblTareas[Duracion],99)),INDEX(TblTareas[Horas],99)/INDEX(TblTareas[Duracion],99),""))</f>
      </c>
      <c r="R106" s="64" t="str">
        <f>IF($A106="","",IF(AND(INDEX(TblTareas[Activa],99)=1,R$7&gt;=INDEX(TblTareas[Semana],99),R$7&lt;INDEX(TblTareas[Semana],99)+INDEX(TblTareas[Duracion],99)),INDEX(TblTareas[Horas],99)/INDEX(TblTareas[Duracion],99),""))</f>
      </c>
      <c r="S106" s="64" t="str">
        <f>IF($A106="","",IF(AND(INDEX(TblTareas[Activa],99)=1,S$7&gt;=INDEX(TblTareas[Semana],99),S$7&lt;INDEX(TblTareas[Semana],99)+INDEX(TblTareas[Duracion],99)),INDEX(TblTareas[Horas],99)/INDEX(TblTareas[Duracion],99),""))</f>
      </c>
      <c r="T106" s="64" t="str">
        <f>IF($A106="","",IF(AND(INDEX(TblTareas[Activa],99)=1,T$7&gt;=INDEX(TblTareas[Semana],99),T$7&lt;INDEX(TblTareas[Semana],99)+INDEX(TblTareas[Duracion],99)),INDEX(TblTareas[Horas],99)/INDEX(TblTareas[Duracion],99),""))</f>
      </c>
    </row>
    <row r="107" ht="34" customHeight="1">
      <c r="A107" s="62" t="str">
        <f>IFERROR(IF(INDEX(TblTareas[ID],100)="","",INDEX(TblTareas[ID],100)),"")</f>
      </c>
      <c r="B107" s="62" t="str">
        <f>IF($A107="","",IFERROR(INDEX(TblTareas[Responsable],100),""))</f>
      </c>
      <c r="C107" s="62" t="str">
        <f>IF($A107="","",IFERROR(INDEX(TblTareas[Trabajo],100),""))</f>
      </c>
      <c r="D107" s="62" t="str">
        <f>IF($A107="","",IFERROR(INDEX(TblTareas[Estado],100),""))</f>
      </c>
      <c r="E107" s="64" t="str">
        <f>IF($A107="","",IF(AND(INDEX(TblTareas[Activa],100)=1,E$7&gt;=INDEX(TblTareas[Semana],100),E$7&lt;INDEX(TblTareas[Semana],100)+INDEX(TblTareas[Duracion],100)),INDEX(TblTareas[Horas],100)/INDEX(TblTareas[Duracion],100),""))</f>
      </c>
      <c r="F107" s="64" t="str">
        <f>IF($A107="","",IF(AND(INDEX(TblTareas[Activa],100)=1,F$7&gt;=INDEX(TblTareas[Semana],100),F$7&lt;INDEX(TblTareas[Semana],100)+INDEX(TblTareas[Duracion],100)),INDEX(TblTareas[Horas],100)/INDEX(TblTareas[Duracion],100),""))</f>
      </c>
      <c r="G107" s="64" t="str">
        <f>IF($A107="","",IF(AND(INDEX(TblTareas[Activa],100)=1,G$7&gt;=INDEX(TblTareas[Semana],100),G$7&lt;INDEX(TblTareas[Semana],100)+INDEX(TblTareas[Duracion],100)),INDEX(TblTareas[Horas],100)/INDEX(TblTareas[Duracion],100),""))</f>
      </c>
      <c r="H107" s="64" t="str">
        <f>IF($A107="","",IF(AND(INDEX(TblTareas[Activa],100)=1,H$7&gt;=INDEX(TblTareas[Semana],100),H$7&lt;INDEX(TblTareas[Semana],100)+INDEX(TblTareas[Duracion],100)),INDEX(TblTareas[Horas],100)/INDEX(TblTareas[Duracion],100),""))</f>
      </c>
      <c r="I107" s="64" t="str">
        <f>IF($A107="","",IF(AND(INDEX(TblTareas[Activa],100)=1,I$7&gt;=INDEX(TblTareas[Semana],100),I$7&lt;INDEX(TblTareas[Semana],100)+INDEX(TblTareas[Duracion],100)),INDEX(TblTareas[Horas],100)/INDEX(TblTareas[Duracion],100),""))</f>
      </c>
      <c r="J107" s="64" t="str">
        <f>IF($A107="","",IF(AND(INDEX(TblTareas[Activa],100)=1,J$7&gt;=INDEX(TblTareas[Semana],100),J$7&lt;INDEX(TblTareas[Semana],100)+INDEX(TblTareas[Duracion],100)),INDEX(TblTareas[Horas],100)/INDEX(TblTareas[Duracion],100),""))</f>
      </c>
      <c r="K107" s="64" t="str">
        <f>IF($A107="","",IF(AND(INDEX(TblTareas[Activa],100)=1,K$7&gt;=INDEX(TblTareas[Semana],100),K$7&lt;INDEX(TblTareas[Semana],100)+INDEX(TblTareas[Duracion],100)),INDEX(TblTareas[Horas],100)/INDEX(TblTareas[Duracion],100),""))</f>
      </c>
      <c r="L107" s="64" t="str">
        <f>IF($A107="","",IF(AND(INDEX(TblTareas[Activa],100)=1,L$7&gt;=INDEX(TblTareas[Semana],100),L$7&lt;INDEX(TblTareas[Semana],100)+INDEX(TblTareas[Duracion],100)),INDEX(TblTareas[Horas],100)/INDEX(TblTareas[Duracion],100),""))</f>
      </c>
      <c r="M107" s="64" t="str">
        <f>IF($A107="","",IF(AND(INDEX(TblTareas[Activa],100)=1,M$7&gt;=INDEX(TblTareas[Semana],100),M$7&lt;INDEX(TblTareas[Semana],100)+INDEX(TblTareas[Duracion],100)),INDEX(TblTareas[Horas],100)/INDEX(TblTareas[Duracion],100),""))</f>
      </c>
      <c r="N107" s="64" t="str">
        <f>IF($A107="","",IF(AND(INDEX(TblTareas[Activa],100)=1,N$7&gt;=INDEX(TblTareas[Semana],100),N$7&lt;INDEX(TblTareas[Semana],100)+INDEX(TblTareas[Duracion],100)),INDEX(TblTareas[Horas],100)/INDEX(TblTareas[Duracion],100),""))</f>
      </c>
      <c r="O107" s="64" t="str">
        <f>IF($A107="","",IF(AND(INDEX(TblTareas[Activa],100)=1,O$7&gt;=INDEX(TblTareas[Semana],100),O$7&lt;INDEX(TblTareas[Semana],100)+INDEX(TblTareas[Duracion],100)),INDEX(TblTareas[Horas],100)/INDEX(TblTareas[Duracion],100),""))</f>
      </c>
      <c r="P107" s="64" t="str">
        <f>IF($A107="","",IF(AND(INDEX(TblTareas[Activa],100)=1,P$7&gt;=INDEX(TblTareas[Semana],100),P$7&lt;INDEX(TblTareas[Semana],100)+INDEX(TblTareas[Duracion],100)),INDEX(TblTareas[Horas],100)/INDEX(TblTareas[Duracion],100),""))</f>
      </c>
      <c r="Q107" s="64" t="str">
        <f>IF($A107="","",IF(AND(INDEX(TblTareas[Activa],100)=1,Q$7&gt;=INDEX(TblTareas[Semana],100),Q$7&lt;INDEX(TblTareas[Semana],100)+INDEX(TblTareas[Duracion],100)),INDEX(TblTareas[Horas],100)/INDEX(TblTareas[Duracion],100),""))</f>
      </c>
      <c r="R107" s="64" t="str">
        <f>IF($A107="","",IF(AND(INDEX(TblTareas[Activa],100)=1,R$7&gt;=INDEX(TblTareas[Semana],100),R$7&lt;INDEX(TblTareas[Semana],100)+INDEX(TblTareas[Duracion],100)),INDEX(TblTareas[Horas],100)/INDEX(TblTareas[Duracion],100),""))</f>
      </c>
      <c r="S107" s="64" t="str">
        <f>IF($A107="","",IF(AND(INDEX(TblTareas[Activa],100)=1,S$7&gt;=INDEX(TblTareas[Semana],100),S$7&lt;INDEX(TblTareas[Semana],100)+INDEX(TblTareas[Duracion],100)),INDEX(TblTareas[Horas],100)/INDEX(TblTareas[Duracion],100),""))</f>
      </c>
      <c r="T107" s="64" t="str">
        <f>IF($A107="","",IF(AND(INDEX(TblTareas[Activa],100)=1,T$7&gt;=INDEX(TblTareas[Semana],100),T$7&lt;INDEX(TblTareas[Semana],100)+INDEX(TblTareas[Duracion],100)),INDEX(TblTareas[Horas],100)/INDEX(TblTareas[Duracion],100),""))</f>
      </c>
    </row>
    <row r="108" ht="34" customHeight="1">
      <c r="A108" s="62" t="str">
        <f>IFERROR(IF(INDEX(TblTareas[ID],101)="","",INDEX(TblTareas[ID],101)),"")</f>
      </c>
      <c r="B108" s="62" t="str">
        <f>IF($A108="","",IFERROR(INDEX(TblTareas[Responsable],101),""))</f>
      </c>
      <c r="C108" s="62" t="str">
        <f>IF($A108="","",IFERROR(INDEX(TblTareas[Trabajo],101),""))</f>
      </c>
      <c r="D108" s="62" t="str">
        <f>IF($A108="","",IFERROR(INDEX(TblTareas[Estado],101),""))</f>
      </c>
      <c r="E108" s="64" t="str">
        <f>IF($A108="","",IF(AND(INDEX(TblTareas[Activa],101)=1,E$7&gt;=INDEX(TblTareas[Semana],101),E$7&lt;INDEX(TblTareas[Semana],101)+INDEX(TblTareas[Duracion],101)),INDEX(TblTareas[Horas],101)/INDEX(TblTareas[Duracion],101),""))</f>
      </c>
      <c r="F108" s="64" t="str">
        <f>IF($A108="","",IF(AND(INDEX(TblTareas[Activa],101)=1,F$7&gt;=INDEX(TblTareas[Semana],101),F$7&lt;INDEX(TblTareas[Semana],101)+INDEX(TblTareas[Duracion],101)),INDEX(TblTareas[Horas],101)/INDEX(TblTareas[Duracion],101),""))</f>
      </c>
      <c r="G108" s="64" t="str">
        <f>IF($A108="","",IF(AND(INDEX(TblTareas[Activa],101)=1,G$7&gt;=INDEX(TblTareas[Semana],101),G$7&lt;INDEX(TblTareas[Semana],101)+INDEX(TblTareas[Duracion],101)),INDEX(TblTareas[Horas],101)/INDEX(TblTareas[Duracion],101),""))</f>
      </c>
      <c r="H108" s="64" t="str">
        <f>IF($A108="","",IF(AND(INDEX(TblTareas[Activa],101)=1,H$7&gt;=INDEX(TblTareas[Semana],101),H$7&lt;INDEX(TblTareas[Semana],101)+INDEX(TblTareas[Duracion],101)),INDEX(TblTareas[Horas],101)/INDEX(TblTareas[Duracion],101),""))</f>
      </c>
      <c r="I108" s="64" t="str">
        <f>IF($A108="","",IF(AND(INDEX(TblTareas[Activa],101)=1,I$7&gt;=INDEX(TblTareas[Semana],101),I$7&lt;INDEX(TblTareas[Semana],101)+INDEX(TblTareas[Duracion],101)),INDEX(TblTareas[Horas],101)/INDEX(TblTareas[Duracion],101),""))</f>
      </c>
      <c r="J108" s="64" t="str">
        <f>IF($A108="","",IF(AND(INDEX(TblTareas[Activa],101)=1,J$7&gt;=INDEX(TblTareas[Semana],101),J$7&lt;INDEX(TblTareas[Semana],101)+INDEX(TblTareas[Duracion],101)),INDEX(TblTareas[Horas],101)/INDEX(TblTareas[Duracion],101),""))</f>
      </c>
      <c r="K108" s="64" t="str">
        <f>IF($A108="","",IF(AND(INDEX(TblTareas[Activa],101)=1,K$7&gt;=INDEX(TblTareas[Semana],101),K$7&lt;INDEX(TblTareas[Semana],101)+INDEX(TblTareas[Duracion],101)),INDEX(TblTareas[Horas],101)/INDEX(TblTareas[Duracion],101),""))</f>
      </c>
      <c r="L108" s="64" t="str">
        <f>IF($A108="","",IF(AND(INDEX(TblTareas[Activa],101)=1,L$7&gt;=INDEX(TblTareas[Semana],101),L$7&lt;INDEX(TblTareas[Semana],101)+INDEX(TblTareas[Duracion],101)),INDEX(TblTareas[Horas],101)/INDEX(TblTareas[Duracion],101),""))</f>
      </c>
      <c r="M108" s="64" t="str">
        <f>IF($A108="","",IF(AND(INDEX(TblTareas[Activa],101)=1,M$7&gt;=INDEX(TblTareas[Semana],101),M$7&lt;INDEX(TblTareas[Semana],101)+INDEX(TblTareas[Duracion],101)),INDEX(TblTareas[Horas],101)/INDEX(TblTareas[Duracion],101),""))</f>
      </c>
      <c r="N108" s="64" t="str">
        <f>IF($A108="","",IF(AND(INDEX(TblTareas[Activa],101)=1,N$7&gt;=INDEX(TblTareas[Semana],101),N$7&lt;INDEX(TblTareas[Semana],101)+INDEX(TblTareas[Duracion],101)),INDEX(TblTareas[Horas],101)/INDEX(TblTareas[Duracion],101),""))</f>
      </c>
      <c r="O108" s="64" t="str">
        <f>IF($A108="","",IF(AND(INDEX(TblTareas[Activa],101)=1,O$7&gt;=INDEX(TblTareas[Semana],101),O$7&lt;INDEX(TblTareas[Semana],101)+INDEX(TblTareas[Duracion],101)),INDEX(TblTareas[Horas],101)/INDEX(TblTareas[Duracion],101),""))</f>
      </c>
      <c r="P108" s="64" t="str">
        <f>IF($A108="","",IF(AND(INDEX(TblTareas[Activa],101)=1,P$7&gt;=INDEX(TblTareas[Semana],101),P$7&lt;INDEX(TblTareas[Semana],101)+INDEX(TblTareas[Duracion],101)),INDEX(TblTareas[Horas],101)/INDEX(TblTareas[Duracion],101),""))</f>
      </c>
      <c r="Q108" s="64" t="str">
        <f>IF($A108="","",IF(AND(INDEX(TblTareas[Activa],101)=1,Q$7&gt;=INDEX(TblTareas[Semana],101),Q$7&lt;INDEX(TblTareas[Semana],101)+INDEX(TblTareas[Duracion],101)),INDEX(TblTareas[Horas],101)/INDEX(TblTareas[Duracion],101),""))</f>
      </c>
      <c r="R108" s="64" t="str">
        <f>IF($A108="","",IF(AND(INDEX(TblTareas[Activa],101)=1,R$7&gt;=INDEX(TblTareas[Semana],101),R$7&lt;INDEX(TblTareas[Semana],101)+INDEX(TblTareas[Duracion],101)),INDEX(TblTareas[Horas],101)/INDEX(TblTareas[Duracion],101),""))</f>
      </c>
      <c r="S108" s="64" t="str">
        <f>IF($A108="","",IF(AND(INDEX(TblTareas[Activa],101)=1,S$7&gt;=INDEX(TblTareas[Semana],101),S$7&lt;INDEX(TblTareas[Semana],101)+INDEX(TblTareas[Duracion],101)),INDEX(TblTareas[Horas],101)/INDEX(TblTareas[Duracion],101),""))</f>
      </c>
      <c r="T108" s="64" t="str">
        <f>IF($A108="","",IF(AND(INDEX(TblTareas[Activa],101)=1,T$7&gt;=INDEX(TblTareas[Semana],101),T$7&lt;INDEX(TblTareas[Semana],101)+INDEX(TblTareas[Duracion],101)),INDEX(TblTareas[Horas],101)/INDEX(TblTareas[Duracion],101),""))</f>
      </c>
    </row>
    <row r="109" ht="34" customHeight="1">
      <c r="A109" s="62" t="str">
        <f>IFERROR(IF(INDEX(TblTareas[ID],102)="","",INDEX(TblTareas[ID],102)),"")</f>
      </c>
      <c r="B109" s="62" t="str">
        <f>IF($A109="","",IFERROR(INDEX(TblTareas[Responsable],102),""))</f>
      </c>
      <c r="C109" s="62" t="str">
        <f>IF($A109="","",IFERROR(INDEX(TblTareas[Trabajo],102),""))</f>
      </c>
      <c r="D109" s="62" t="str">
        <f>IF($A109="","",IFERROR(INDEX(TblTareas[Estado],102),""))</f>
      </c>
      <c r="E109" s="64" t="str">
        <f>IF($A109="","",IF(AND(INDEX(TblTareas[Activa],102)=1,E$7&gt;=INDEX(TblTareas[Semana],102),E$7&lt;INDEX(TblTareas[Semana],102)+INDEX(TblTareas[Duracion],102)),INDEX(TblTareas[Horas],102)/INDEX(TblTareas[Duracion],102),""))</f>
      </c>
      <c r="F109" s="64" t="str">
        <f>IF($A109="","",IF(AND(INDEX(TblTareas[Activa],102)=1,F$7&gt;=INDEX(TblTareas[Semana],102),F$7&lt;INDEX(TblTareas[Semana],102)+INDEX(TblTareas[Duracion],102)),INDEX(TblTareas[Horas],102)/INDEX(TblTareas[Duracion],102),""))</f>
      </c>
      <c r="G109" s="64" t="str">
        <f>IF($A109="","",IF(AND(INDEX(TblTareas[Activa],102)=1,G$7&gt;=INDEX(TblTareas[Semana],102),G$7&lt;INDEX(TblTareas[Semana],102)+INDEX(TblTareas[Duracion],102)),INDEX(TblTareas[Horas],102)/INDEX(TblTareas[Duracion],102),""))</f>
      </c>
      <c r="H109" s="64" t="str">
        <f>IF($A109="","",IF(AND(INDEX(TblTareas[Activa],102)=1,H$7&gt;=INDEX(TblTareas[Semana],102),H$7&lt;INDEX(TblTareas[Semana],102)+INDEX(TblTareas[Duracion],102)),INDEX(TblTareas[Horas],102)/INDEX(TblTareas[Duracion],102),""))</f>
      </c>
      <c r="I109" s="64" t="str">
        <f>IF($A109="","",IF(AND(INDEX(TblTareas[Activa],102)=1,I$7&gt;=INDEX(TblTareas[Semana],102),I$7&lt;INDEX(TblTareas[Semana],102)+INDEX(TblTareas[Duracion],102)),INDEX(TblTareas[Horas],102)/INDEX(TblTareas[Duracion],102),""))</f>
      </c>
      <c r="J109" s="64" t="str">
        <f>IF($A109="","",IF(AND(INDEX(TblTareas[Activa],102)=1,J$7&gt;=INDEX(TblTareas[Semana],102),J$7&lt;INDEX(TblTareas[Semana],102)+INDEX(TblTareas[Duracion],102)),INDEX(TblTareas[Horas],102)/INDEX(TblTareas[Duracion],102),""))</f>
      </c>
      <c r="K109" s="64" t="str">
        <f>IF($A109="","",IF(AND(INDEX(TblTareas[Activa],102)=1,K$7&gt;=INDEX(TblTareas[Semana],102),K$7&lt;INDEX(TblTareas[Semana],102)+INDEX(TblTareas[Duracion],102)),INDEX(TblTareas[Horas],102)/INDEX(TblTareas[Duracion],102),""))</f>
      </c>
      <c r="L109" s="64" t="str">
        <f>IF($A109="","",IF(AND(INDEX(TblTareas[Activa],102)=1,L$7&gt;=INDEX(TblTareas[Semana],102),L$7&lt;INDEX(TblTareas[Semana],102)+INDEX(TblTareas[Duracion],102)),INDEX(TblTareas[Horas],102)/INDEX(TblTareas[Duracion],102),""))</f>
      </c>
      <c r="M109" s="64" t="str">
        <f>IF($A109="","",IF(AND(INDEX(TblTareas[Activa],102)=1,M$7&gt;=INDEX(TblTareas[Semana],102),M$7&lt;INDEX(TblTareas[Semana],102)+INDEX(TblTareas[Duracion],102)),INDEX(TblTareas[Horas],102)/INDEX(TblTareas[Duracion],102),""))</f>
      </c>
      <c r="N109" s="64" t="str">
        <f>IF($A109="","",IF(AND(INDEX(TblTareas[Activa],102)=1,N$7&gt;=INDEX(TblTareas[Semana],102),N$7&lt;INDEX(TblTareas[Semana],102)+INDEX(TblTareas[Duracion],102)),INDEX(TblTareas[Horas],102)/INDEX(TblTareas[Duracion],102),""))</f>
      </c>
      <c r="O109" s="64" t="str">
        <f>IF($A109="","",IF(AND(INDEX(TblTareas[Activa],102)=1,O$7&gt;=INDEX(TblTareas[Semana],102),O$7&lt;INDEX(TblTareas[Semana],102)+INDEX(TblTareas[Duracion],102)),INDEX(TblTareas[Horas],102)/INDEX(TblTareas[Duracion],102),""))</f>
      </c>
      <c r="P109" s="64" t="str">
        <f>IF($A109="","",IF(AND(INDEX(TblTareas[Activa],102)=1,P$7&gt;=INDEX(TblTareas[Semana],102),P$7&lt;INDEX(TblTareas[Semana],102)+INDEX(TblTareas[Duracion],102)),INDEX(TblTareas[Horas],102)/INDEX(TblTareas[Duracion],102),""))</f>
      </c>
      <c r="Q109" s="64" t="str">
        <f>IF($A109="","",IF(AND(INDEX(TblTareas[Activa],102)=1,Q$7&gt;=INDEX(TblTareas[Semana],102),Q$7&lt;INDEX(TblTareas[Semana],102)+INDEX(TblTareas[Duracion],102)),INDEX(TblTareas[Horas],102)/INDEX(TblTareas[Duracion],102),""))</f>
      </c>
      <c r="R109" s="64" t="str">
        <f>IF($A109="","",IF(AND(INDEX(TblTareas[Activa],102)=1,R$7&gt;=INDEX(TblTareas[Semana],102),R$7&lt;INDEX(TblTareas[Semana],102)+INDEX(TblTareas[Duracion],102)),INDEX(TblTareas[Horas],102)/INDEX(TblTareas[Duracion],102),""))</f>
      </c>
      <c r="S109" s="64" t="str">
        <f>IF($A109="","",IF(AND(INDEX(TblTareas[Activa],102)=1,S$7&gt;=INDEX(TblTareas[Semana],102),S$7&lt;INDEX(TblTareas[Semana],102)+INDEX(TblTareas[Duracion],102)),INDEX(TblTareas[Horas],102)/INDEX(TblTareas[Duracion],102),""))</f>
      </c>
      <c r="T109" s="64" t="str">
        <f>IF($A109="","",IF(AND(INDEX(TblTareas[Activa],102)=1,T$7&gt;=INDEX(TblTareas[Semana],102),T$7&lt;INDEX(TblTareas[Semana],102)+INDEX(TblTareas[Duracion],102)),INDEX(TblTareas[Horas],102)/INDEX(TblTareas[Duracion],102),""))</f>
      </c>
    </row>
    <row r="110" ht="34" customHeight="1">
      <c r="A110" s="62" t="str">
        <f>IFERROR(IF(INDEX(TblTareas[ID],103)="","",INDEX(TblTareas[ID],103)),"")</f>
      </c>
      <c r="B110" s="62" t="str">
        <f>IF($A110="","",IFERROR(INDEX(TblTareas[Responsable],103),""))</f>
      </c>
      <c r="C110" s="62" t="str">
        <f>IF($A110="","",IFERROR(INDEX(TblTareas[Trabajo],103),""))</f>
      </c>
      <c r="D110" s="62" t="str">
        <f>IF($A110="","",IFERROR(INDEX(TblTareas[Estado],103),""))</f>
      </c>
      <c r="E110" s="64" t="str">
        <f>IF($A110="","",IF(AND(INDEX(TblTareas[Activa],103)=1,E$7&gt;=INDEX(TblTareas[Semana],103),E$7&lt;INDEX(TblTareas[Semana],103)+INDEX(TblTareas[Duracion],103)),INDEX(TblTareas[Horas],103)/INDEX(TblTareas[Duracion],103),""))</f>
      </c>
      <c r="F110" s="64" t="str">
        <f>IF($A110="","",IF(AND(INDEX(TblTareas[Activa],103)=1,F$7&gt;=INDEX(TblTareas[Semana],103),F$7&lt;INDEX(TblTareas[Semana],103)+INDEX(TblTareas[Duracion],103)),INDEX(TblTareas[Horas],103)/INDEX(TblTareas[Duracion],103),""))</f>
      </c>
      <c r="G110" s="64" t="str">
        <f>IF($A110="","",IF(AND(INDEX(TblTareas[Activa],103)=1,G$7&gt;=INDEX(TblTareas[Semana],103),G$7&lt;INDEX(TblTareas[Semana],103)+INDEX(TblTareas[Duracion],103)),INDEX(TblTareas[Horas],103)/INDEX(TblTareas[Duracion],103),""))</f>
      </c>
      <c r="H110" s="64" t="str">
        <f>IF($A110="","",IF(AND(INDEX(TblTareas[Activa],103)=1,H$7&gt;=INDEX(TblTareas[Semana],103),H$7&lt;INDEX(TblTareas[Semana],103)+INDEX(TblTareas[Duracion],103)),INDEX(TblTareas[Horas],103)/INDEX(TblTareas[Duracion],103),""))</f>
      </c>
      <c r="I110" s="64" t="str">
        <f>IF($A110="","",IF(AND(INDEX(TblTareas[Activa],103)=1,I$7&gt;=INDEX(TblTareas[Semana],103),I$7&lt;INDEX(TblTareas[Semana],103)+INDEX(TblTareas[Duracion],103)),INDEX(TblTareas[Horas],103)/INDEX(TblTareas[Duracion],103),""))</f>
      </c>
      <c r="J110" s="64" t="str">
        <f>IF($A110="","",IF(AND(INDEX(TblTareas[Activa],103)=1,J$7&gt;=INDEX(TblTareas[Semana],103),J$7&lt;INDEX(TblTareas[Semana],103)+INDEX(TblTareas[Duracion],103)),INDEX(TblTareas[Horas],103)/INDEX(TblTareas[Duracion],103),""))</f>
      </c>
      <c r="K110" s="64" t="str">
        <f>IF($A110="","",IF(AND(INDEX(TblTareas[Activa],103)=1,K$7&gt;=INDEX(TblTareas[Semana],103),K$7&lt;INDEX(TblTareas[Semana],103)+INDEX(TblTareas[Duracion],103)),INDEX(TblTareas[Horas],103)/INDEX(TblTareas[Duracion],103),""))</f>
      </c>
      <c r="L110" s="64" t="str">
        <f>IF($A110="","",IF(AND(INDEX(TblTareas[Activa],103)=1,L$7&gt;=INDEX(TblTareas[Semana],103),L$7&lt;INDEX(TblTareas[Semana],103)+INDEX(TblTareas[Duracion],103)),INDEX(TblTareas[Horas],103)/INDEX(TblTareas[Duracion],103),""))</f>
      </c>
      <c r="M110" s="64" t="str">
        <f>IF($A110="","",IF(AND(INDEX(TblTareas[Activa],103)=1,M$7&gt;=INDEX(TblTareas[Semana],103),M$7&lt;INDEX(TblTareas[Semana],103)+INDEX(TblTareas[Duracion],103)),INDEX(TblTareas[Horas],103)/INDEX(TblTareas[Duracion],103),""))</f>
      </c>
      <c r="N110" s="64" t="str">
        <f>IF($A110="","",IF(AND(INDEX(TblTareas[Activa],103)=1,N$7&gt;=INDEX(TblTareas[Semana],103),N$7&lt;INDEX(TblTareas[Semana],103)+INDEX(TblTareas[Duracion],103)),INDEX(TblTareas[Horas],103)/INDEX(TblTareas[Duracion],103),""))</f>
      </c>
      <c r="O110" s="64" t="str">
        <f>IF($A110="","",IF(AND(INDEX(TblTareas[Activa],103)=1,O$7&gt;=INDEX(TblTareas[Semana],103),O$7&lt;INDEX(TblTareas[Semana],103)+INDEX(TblTareas[Duracion],103)),INDEX(TblTareas[Horas],103)/INDEX(TblTareas[Duracion],103),""))</f>
      </c>
      <c r="P110" s="64" t="str">
        <f>IF($A110="","",IF(AND(INDEX(TblTareas[Activa],103)=1,P$7&gt;=INDEX(TblTareas[Semana],103),P$7&lt;INDEX(TblTareas[Semana],103)+INDEX(TblTareas[Duracion],103)),INDEX(TblTareas[Horas],103)/INDEX(TblTareas[Duracion],103),""))</f>
      </c>
      <c r="Q110" s="64" t="str">
        <f>IF($A110="","",IF(AND(INDEX(TblTareas[Activa],103)=1,Q$7&gt;=INDEX(TblTareas[Semana],103),Q$7&lt;INDEX(TblTareas[Semana],103)+INDEX(TblTareas[Duracion],103)),INDEX(TblTareas[Horas],103)/INDEX(TblTareas[Duracion],103),""))</f>
      </c>
      <c r="R110" s="64" t="str">
        <f>IF($A110="","",IF(AND(INDEX(TblTareas[Activa],103)=1,R$7&gt;=INDEX(TblTareas[Semana],103),R$7&lt;INDEX(TblTareas[Semana],103)+INDEX(TblTareas[Duracion],103)),INDEX(TblTareas[Horas],103)/INDEX(TblTareas[Duracion],103),""))</f>
      </c>
      <c r="S110" s="64" t="str">
        <f>IF($A110="","",IF(AND(INDEX(TblTareas[Activa],103)=1,S$7&gt;=INDEX(TblTareas[Semana],103),S$7&lt;INDEX(TblTareas[Semana],103)+INDEX(TblTareas[Duracion],103)),INDEX(TblTareas[Horas],103)/INDEX(TblTareas[Duracion],103),""))</f>
      </c>
      <c r="T110" s="64" t="str">
        <f>IF($A110="","",IF(AND(INDEX(TblTareas[Activa],103)=1,T$7&gt;=INDEX(TblTareas[Semana],103),T$7&lt;INDEX(TblTareas[Semana],103)+INDEX(TblTareas[Duracion],103)),INDEX(TblTareas[Horas],103)/INDEX(TblTareas[Duracion],103),""))</f>
      </c>
    </row>
    <row r="111" ht="34" customHeight="1">
      <c r="A111" s="62" t="str">
        <f>IFERROR(IF(INDEX(TblTareas[ID],104)="","",INDEX(TblTareas[ID],104)),"")</f>
      </c>
      <c r="B111" s="62" t="str">
        <f>IF($A111="","",IFERROR(INDEX(TblTareas[Responsable],104),""))</f>
      </c>
      <c r="C111" s="62" t="str">
        <f>IF($A111="","",IFERROR(INDEX(TblTareas[Trabajo],104),""))</f>
      </c>
      <c r="D111" s="62" t="str">
        <f>IF($A111="","",IFERROR(INDEX(TblTareas[Estado],104),""))</f>
      </c>
      <c r="E111" s="64" t="str">
        <f>IF($A111="","",IF(AND(INDEX(TblTareas[Activa],104)=1,E$7&gt;=INDEX(TblTareas[Semana],104),E$7&lt;INDEX(TblTareas[Semana],104)+INDEX(TblTareas[Duracion],104)),INDEX(TblTareas[Horas],104)/INDEX(TblTareas[Duracion],104),""))</f>
      </c>
      <c r="F111" s="64" t="str">
        <f>IF($A111="","",IF(AND(INDEX(TblTareas[Activa],104)=1,F$7&gt;=INDEX(TblTareas[Semana],104),F$7&lt;INDEX(TblTareas[Semana],104)+INDEX(TblTareas[Duracion],104)),INDEX(TblTareas[Horas],104)/INDEX(TblTareas[Duracion],104),""))</f>
      </c>
      <c r="G111" s="64" t="str">
        <f>IF($A111="","",IF(AND(INDEX(TblTareas[Activa],104)=1,G$7&gt;=INDEX(TblTareas[Semana],104),G$7&lt;INDEX(TblTareas[Semana],104)+INDEX(TblTareas[Duracion],104)),INDEX(TblTareas[Horas],104)/INDEX(TblTareas[Duracion],104),""))</f>
      </c>
      <c r="H111" s="64" t="str">
        <f>IF($A111="","",IF(AND(INDEX(TblTareas[Activa],104)=1,H$7&gt;=INDEX(TblTareas[Semana],104),H$7&lt;INDEX(TblTareas[Semana],104)+INDEX(TblTareas[Duracion],104)),INDEX(TblTareas[Horas],104)/INDEX(TblTareas[Duracion],104),""))</f>
      </c>
      <c r="I111" s="64" t="str">
        <f>IF($A111="","",IF(AND(INDEX(TblTareas[Activa],104)=1,I$7&gt;=INDEX(TblTareas[Semana],104),I$7&lt;INDEX(TblTareas[Semana],104)+INDEX(TblTareas[Duracion],104)),INDEX(TblTareas[Horas],104)/INDEX(TblTareas[Duracion],104),""))</f>
      </c>
      <c r="J111" s="64" t="str">
        <f>IF($A111="","",IF(AND(INDEX(TblTareas[Activa],104)=1,J$7&gt;=INDEX(TblTareas[Semana],104),J$7&lt;INDEX(TblTareas[Semana],104)+INDEX(TblTareas[Duracion],104)),INDEX(TblTareas[Horas],104)/INDEX(TblTareas[Duracion],104),""))</f>
      </c>
      <c r="K111" s="64" t="str">
        <f>IF($A111="","",IF(AND(INDEX(TblTareas[Activa],104)=1,K$7&gt;=INDEX(TblTareas[Semana],104),K$7&lt;INDEX(TblTareas[Semana],104)+INDEX(TblTareas[Duracion],104)),INDEX(TblTareas[Horas],104)/INDEX(TblTareas[Duracion],104),""))</f>
      </c>
      <c r="L111" s="64" t="str">
        <f>IF($A111="","",IF(AND(INDEX(TblTareas[Activa],104)=1,L$7&gt;=INDEX(TblTareas[Semana],104),L$7&lt;INDEX(TblTareas[Semana],104)+INDEX(TblTareas[Duracion],104)),INDEX(TblTareas[Horas],104)/INDEX(TblTareas[Duracion],104),""))</f>
      </c>
      <c r="M111" s="64" t="str">
        <f>IF($A111="","",IF(AND(INDEX(TblTareas[Activa],104)=1,M$7&gt;=INDEX(TblTareas[Semana],104),M$7&lt;INDEX(TblTareas[Semana],104)+INDEX(TblTareas[Duracion],104)),INDEX(TblTareas[Horas],104)/INDEX(TblTareas[Duracion],104),""))</f>
      </c>
      <c r="N111" s="64" t="str">
        <f>IF($A111="","",IF(AND(INDEX(TblTareas[Activa],104)=1,N$7&gt;=INDEX(TblTareas[Semana],104),N$7&lt;INDEX(TblTareas[Semana],104)+INDEX(TblTareas[Duracion],104)),INDEX(TblTareas[Horas],104)/INDEX(TblTareas[Duracion],104),""))</f>
      </c>
      <c r="O111" s="64" t="str">
        <f>IF($A111="","",IF(AND(INDEX(TblTareas[Activa],104)=1,O$7&gt;=INDEX(TblTareas[Semana],104),O$7&lt;INDEX(TblTareas[Semana],104)+INDEX(TblTareas[Duracion],104)),INDEX(TblTareas[Horas],104)/INDEX(TblTareas[Duracion],104),""))</f>
      </c>
      <c r="P111" s="64" t="str">
        <f>IF($A111="","",IF(AND(INDEX(TblTareas[Activa],104)=1,P$7&gt;=INDEX(TblTareas[Semana],104),P$7&lt;INDEX(TblTareas[Semana],104)+INDEX(TblTareas[Duracion],104)),INDEX(TblTareas[Horas],104)/INDEX(TblTareas[Duracion],104),""))</f>
      </c>
      <c r="Q111" s="64" t="str">
        <f>IF($A111="","",IF(AND(INDEX(TblTareas[Activa],104)=1,Q$7&gt;=INDEX(TblTareas[Semana],104),Q$7&lt;INDEX(TblTareas[Semana],104)+INDEX(TblTareas[Duracion],104)),INDEX(TblTareas[Horas],104)/INDEX(TblTareas[Duracion],104),""))</f>
      </c>
      <c r="R111" s="64" t="str">
        <f>IF($A111="","",IF(AND(INDEX(TblTareas[Activa],104)=1,R$7&gt;=INDEX(TblTareas[Semana],104),R$7&lt;INDEX(TblTareas[Semana],104)+INDEX(TblTareas[Duracion],104)),INDEX(TblTareas[Horas],104)/INDEX(TblTareas[Duracion],104),""))</f>
      </c>
      <c r="S111" s="64" t="str">
        <f>IF($A111="","",IF(AND(INDEX(TblTareas[Activa],104)=1,S$7&gt;=INDEX(TblTareas[Semana],104),S$7&lt;INDEX(TblTareas[Semana],104)+INDEX(TblTareas[Duracion],104)),INDEX(TblTareas[Horas],104)/INDEX(TblTareas[Duracion],104),""))</f>
      </c>
      <c r="T111" s="64" t="str">
        <f>IF($A111="","",IF(AND(INDEX(TblTareas[Activa],104)=1,T$7&gt;=INDEX(TblTareas[Semana],104),T$7&lt;INDEX(TblTareas[Semana],104)+INDEX(TblTareas[Duracion],104)),INDEX(TblTareas[Horas],104)/INDEX(TblTareas[Duracion],104),""))</f>
      </c>
    </row>
    <row r="112" ht="34" customHeight="1">
      <c r="A112" s="62" t="str">
        <f>IFERROR(IF(INDEX(TblTareas[ID],105)="","",INDEX(TblTareas[ID],105)),"")</f>
      </c>
      <c r="B112" s="62" t="str">
        <f>IF($A112="","",IFERROR(INDEX(TblTareas[Responsable],105),""))</f>
      </c>
      <c r="C112" s="62" t="str">
        <f>IF($A112="","",IFERROR(INDEX(TblTareas[Trabajo],105),""))</f>
      </c>
      <c r="D112" s="62" t="str">
        <f>IF($A112="","",IFERROR(INDEX(TblTareas[Estado],105),""))</f>
      </c>
      <c r="E112" s="64" t="str">
        <f>IF($A112="","",IF(AND(INDEX(TblTareas[Activa],105)=1,E$7&gt;=INDEX(TblTareas[Semana],105),E$7&lt;INDEX(TblTareas[Semana],105)+INDEX(TblTareas[Duracion],105)),INDEX(TblTareas[Horas],105)/INDEX(TblTareas[Duracion],105),""))</f>
      </c>
      <c r="F112" s="64" t="str">
        <f>IF($A112="","",IF(AND(INDEX(TblTareas[Activa],105)=1,F$7&gt;=INDEX(TblTareas[Semana],105),F$7&lt;INDEX(TblTareas[Semana],105)+INDEX(TblTareas[Duracion],105)),INDEX(TblTareas[Horas],105)/INDEX(TblTareas[Duracion],105),""))</f>
      </c>
      <c r="G112" s="64" t="str">
        <f>IF($A112="","",IF(AND(INDEX(TblTareas[Activa],105)=1,G$7&gt;=INDEX(TblTareas[Semana],105),G$7&lt;INDEX(TblTareas[Semana],105)+INDEX(TblTareas[Duracion],105)),INDEX(TblTareas[Horas],105)/INDEX(TblTareas[Duracion],105),""))</f>
      </c>
      <c r="H112" s="64" t="str">
        <f>IF($A112="","",IF(AND(INDEX(TblTareas[Activa],105)=1,H$7&gt;=INDEX(TblTareas[Semana],105),H$7&lt;INDEX(TblTareas[Semana],105)+INDEX(TblTareas[Duracion],105)),INDEX(TblTareas[Horas],105)/INDEX(TblTareas[Duracion],105),""))</f>
      </c>
      <c r="I112" s="64" t="str">
        <f>IF($A112="","",IF(AND(INDEX(TblTareas[Activa],105)=1,I$7&gt;=INDEX(TblTareas[Semana],105),I$7&lt;INDEX(TblTareas[Semana],105)+INDEX(TblTareas[Duracion],105)),INDEX(TblTareas[Horas],105)/INDEX(TblTareas[Duracion],105),""))</f>
      </c>
      <c r="J112" s="64" t="str">
        <f>IF($A112="","",IF(AND(INDEX(TblTareas[Activa],105)=1,J$7&gt;=INDEX(TblTareas[Semana],105),J$7&lt;INDEX(TblTareas[Semana],105)+INDEX(TblTareas[Duracion],105)),INDEX(TblTareas[Horas],105)/INDEX(TblTareas[Duracion],105),""))</f>
      </c>
      <c r="K112" s="64" t="str">
        <f>IF($A112="","",IF(AND(INDEX(TblTareas[Activa],105)=1,K$7&gt;=INDEX(TblTareas[Semana],105),K$7&lt;INDEX(TblTareas[Semana],105)+INDEX(TblTareas[Duracion],105)),INDEX(TblTareas[Horas],105)/INDEX(TblTareas[Duracion],105),""))</f>
      </c>
      <c r="L112" s="64" t="str">
        <f>IF($A112="","",IF(AND(INDEX(TblTareas[Activa],105)=1,L$7&gt;=INDEX(TblTareas[Semana],105),L$7&lt;INDEX(TblTareas[Semana],105)+INDEX(TblTareas[Duracion],105)),INDEX(TblTareas[Horas],105)/INDEX(TblTareas[Duracion],105),""))</f>
      </c>
      <c r="M112" s="64" t="str">
        <f>IF($A112="","",IF(AND(INDEX(TblTareas[Activa],105)=1,M$7&gt;=INDEX(TblTareas[Semana],105),M$7&lt;INDEX(TblTareas[Semana],105)+INDEX(TblTareas[Duracion],105)),INDEX(TblTareas[Horas],105)/INDEX(TblTareas[Duracion],105),""))</f>
      </c>
      <c r="N112" s="64" t="str">
        <f>IF($A112="","",IF(AND(INDEX(TblTareas[Activa],105)=1,N$7&gt;=INDEX(TblTareas[Semana],105),N$7&lt;INDEX(TblTareas[Semana],105)+INDEX(TblTareas[Duracion],105)),INDEX(TblTareas[Horas],105)/INDEX(TblTareas[Duracion],105),""))</f>
      </c>
      <c r="O112" s="64" t="str">
        <f>IF($A112="","",IF(AND(INDEX(TblTareas[Activa],105)=1,O$7&gt;=INDEX(TblTareas[Semana],105),O$7&lt;INDEX(TblTareas[Semana],105)+INDEX(TblTareas[Duracion],105)),INDEX(TblTareas[Horas],105)/INDEX(TblTareas[Duracion],105),""))</f>
      </c>
      <c r="P112" s="64" t="str">
        <f>IF($A112="","",IF(AND(INDEX(TblTareas[Activa],105)=1,P$7&gt;=INDEX(TblTareas[Semana],105),P$7&lt;INDEX(TblTareas[Semana],105)+INDEX(TblTareas[Duracion],105)),INDEX(TblTareas[Horas],105)/INDEX(TblTareas[Duracion],105),""))</f>
      </c>
      <c r="Q112" s="64" t="str">
        <f>IF($A112="","",IF(AND(INDEX(TblTareas[Activa],105)=1,Q$7&gt;=INDEX(TblTareas[Semana],105),Q$7&lt;INDEX(TblTareas[Semana],105)+INDEX(TblTareas[Duracion],105)),INDEX(TblTareas[Horas],105)/INDEX(TblTareas[Duracion],105),""))</f>
      </c>
      <c r="R112" s="64" t="str">
        <f>IF($A112="","",IF(AND(INDEX(TblTareas[Activa],105)=1,R$7&gt;=INDEX(TblTareas[Semana],105),R$7&lt;INDEX(TblTareas[Semana],105)+INDEX(TblTareas[Duracion],105)),INDEX(TblTareas[Horas],105)/INDEX(TblTareas[Duracion],105),""))</f>
      </c>
      <c r="S112" s="64" t="str">
        <f>IF($A112="","",IF(AND(INDEX(TblTareas[Activa],105)=1,S$7&gt;=INDEX(TblTareas[Semana],105),S$7&lt;INDEX(TblTareas[Semana],105)+INDEX(TblTareas[Duracion],105)),INDEX(TblTareas[Horas],105)/INDEX(TblTareas[Duracion],105),""))</f>
      </c>
      <c r="T112" s="64" t="str">
        <f>IF($A112="","",IF(AND(INDEX(TblTareas[Activa],105)=1,T$7&gt;=INDEX(TblTareas[Semana],105),T$7&lt;INDEX(TblTareas[Semana],105)+INDEX(TblTareas[Duracion],105)),INDEX(TblTareas[Horas],105)/INDEX(TblTareas[Duracion],105),""))</f>
      </c>
    </row>
    <row r="113" ht="34" customHeight="1">
      <c r="A113" s="62" t="str">
        <f>IFERROR(IF(INDEX(TblTareas[ID],106)="","",INDEX(TblTareas[ID],106)),"")</f>
      </c>
      <c r="B113" s="62" t="str">
        <f>IF($A113="","",IFERROR(INDEX(TblTareas[Responsable],106),""))</f>
      </c>
      <c r="C113" s="62" t="str">
        <f>IF($A113="","",IFERROR(INDEX(TblTareas[Trabajo],106),""))</f>
      </c>
      <c r="D113" s="62" t="str">
        <f>IF($A113="","",IFERROR(INDEX(TblTareas[Estado],106),""))</f>
      </c>
      <c r="E113" s="64" t="str">
        <f>IF($A113="","",IF(AND(INDEX(TblTareas[Activa],106)=1,E$7&gt;=INDEX(TblTareas[Semana],106),E$7&lt;INDEX(TblTareas[Semana],106)+INDEX(TblTareas[Duracion],106)),INDEX(TblTareas[Horas],106)/INDEX(TblTareas[Duracion],106),""))</f>
      </c>
      <c r="F113" s="64" t="str">
        <f>IF($A113="","",IF(AND(INDEX(TblTareas[Activa],106)=1,F$7&gt;=INDEX(TblTareas[Semana],106),F$7&lt;INDEX(TblTareas[Semana],106)+INDEX(TblTareas[Duracion],106)),INDEX(TblTareas[Horas],106)/INDEX(TblTareas[Duracion],106),""))</f>
      </c>
      <c r="G113" s="64" t="str">
        <f>IF($A113="","",IF(AND(INDEX(TblTareas[Activa],106)=1,G$7&gt;=INDEX(TblTareas[Semana],106),G$7&lt;INDEX(TblTareas[Semana],106)+INDEX(TblTareas[Duracion],106)),INDEX(TblTareas[Horas],106)/INDEX(TblTareas[Duracion],106),""))</f>
      </c>
      <c r="H113" s="64" t="str">
        <f>IF($A113="","",IF(AND(INDEX(TblTareas[Activa],106)=1,H$7&gt;=INDEX(TblTareas[Semana],106),H$7&lt;INDEX(TblTareas[Semana],106)+INDEX(TblTareas[Duracion],106)),INDEX(TblTareas[Horas],106)/INDEX(TblTareas[Duracion],106),""))</f>
      </c>
      <c r="I113" s="64" t="str">
        <f>IF($A113="","",IF(AND(INDEX(TblTareas[Activa],106)=1,I$7&gt;=INDEX(TblTareas[Semana],106),I$7&lt;INDEX(TblTareas[Semana],106)+INDEX(TblTareas[Duracion],106)),INDEX(TblTareas[Horas],106)/INDEX(TblTareas[Duracion],106),""))</f>
      </c>
      <c r="J113" s="64" t="str">
        <f>IF($A113="","",IF(AND(INDEX(TblTareas[Activa],106)=1,J$7&gt;=INDEX(TblTareas[Semana],106),J$7&lt;INDEX(TblTareas[Semana],106)+INDEX(TblTareas[Duracion],106)),INDEX(TblTareas[Horas],106)/INDEX(TblTareas[Duracion],106),""))</f>
      </c>
      <c r="K113" s="64" t="str">
        <f>IF($A113="","",IF(AND(INDEX(TblTareas[Activa],106)=1,K$7&gt;=INDEX(TblTareas[Semana],106),K$7&lt;INDEX(TblTareas[Semana],106)+INDEX(TblTareas[Duracion],106)),INDEX(TblTareas[Horas],106)/INDEX(TblTareas[Duracion],106),""))</f>
      </c>
      <c r="L113" s="64" t="str">
        <f>IF($A113="","",IF(AND(INDEX(TblTareas[Activa],106)=1,L$7&gt;=INDEX(TblTareas[Semana],106),L$7&lt;INDEX(TblTareas[Semana],106)+INDEX(TblTareas[Duracion],106)),INDEX(TblTareas[Horas],106)/INDEX(TblTareas[Duracion],106),""))</f>
      </c>
      <c r="M113" s="64" t="str">
        <f>IF($A113="","",IF(AND(INDEX(TblTareas[Activa],106)=1,M$7&gt;=INDEX(TblTareas[Semana],106),M$7&lt;INDEX(TblTareas[Semana],106)+INDEX(TblTareas[Duracion],106)),INDEX(TblTareas[Horas],106)/INDEX(TblTareas[Duracion],106),""))</f>
      </c>
      <c r="N113" s="64" t="str">
        <f>IF($A113="","",IF(AND(INDEX(TblTareas[Activa],106)=1,N$7&gt;=INDEX(TblTareas[Semana],106),N$7&lt;INDEX(TblTareas[Semana],106)+INDEX(TblTareas[Duracion],106)),INDEX(TblTareas[Horas],106)/INDEX(TblTareas[Duracion],106),""))</f>
      </c>
      <c r="O113" s="64" t="str">
        <f>IF($A113="","",IF(AND(INDEX(TblTareas[Activa],106)=1,O$7&gt;=INDEX(TblTareas[Semana],106),O$7&lt;INDEX(TblTareas[Semana],106)+INDEX(TblTareas[Duracion],106)),INDEX(TblTareas[Horas],106)/INDEX(TblTareas[Duracion],106),""))</f>
      </c>
      <c r="P113" s="64" t="str">
        <f>IF($A113="","",IF(AND(INDEX(TblTareas[Activa],106)=1,P$7&gt;=INDEX(TblTareas[Semana],106),P$7&lt;INDEX(TblTareas[Semana],106)+INDEX(TblTareas[Duracion],106)),INDEX(TblTareas[Horas],106)/INDEX(TblTareas[Duracion],106),""))</f>
      </c>
      <c r="Q113" s="64" t="str">
        <f>IF($A113="","",IF(AND(INDEX(TblTareas[Activa],106)=1,Q$7&gt;=INDEX(TblTareas[Semana],106),Q$7&lt;INDEX(TblTareas[Semana],106)+INDEX(TblTareas[Duracion],106)),INDEX(TblTareas[Horas],106)/INDEX(TblTareas[Duracion],106),""))</f>
      </c>
      <c r="R113" s="64" t="str">
        <f>IF($A113="","",IF(AND(INDEX(TblTareas[Activa],106)=1,R$7&gt;=INDEX(TblTareas[Semana],106),R$7&lt;INDEX(TblTareas[Semana],106)+INDEX(TblTareas[Duracion],106)),INDEX(TblTareas[Horas],106)/INDEX(TblTareas[Duracion],106),""))</f>
      </c>
      <c r="S113" s="64" t="str">
        <f>IF($A113="","",IF(AND(INDEX(TblTareas[Activa],106)=1,S$7&gt;=INDEX(TblTareas[Semana],106),S$7&lt;INDEX(TblTareas[Semana],106)+INDEX(TblTareas[Duracion],106)),INDEX(TblTareas[Horas],106)/INDEX(TblTareas[Duracion],106),""))</f>
      </c>
      <c r="T113" s="64" t="str">
        <f>IF($A113="","",IF(AND(INDEX(TblTareas[Activa],106)=1,T$7&gt;=INDEX(TblTareas[Semana],106),T$7&lt;INDEX(TblTareas[Semana],106)+INDEX(TblTareas[Duracion],106)),INDEX(TblTareas[Horas],106)/INDEX(TblTareas[Duracion],106),""))</f>
      </c>
    </row>
    <row r="114" ht="34" customHeight="1">
      <c r="A114" s="62" t="str">
        <f>IFERROR(IF(INDEX(TblTareas[ID],107)="","",INDEX(TblTareas[ID],107)),"")</f>
      </c>
      <c r="B114" s="62" t="str">
        <f>IF($A114="","",IFERROR(INDEX(TblTareas[Responsable],107),""))</f>
      </c>
      <c r="C114" s="62" t="str">
        <f>IF($A114="","",IFERROR(INDEX(TblTareas[Trabajo],107),""))</f>
      </c>
      <c r="D114" s="62" t="str">
        <f>IF($A114="","",IFERROR(INDEX(TblTareas[Estado],107),""))</f>
      </c>
      <c r="E114" s="64" t="str">
        <f>IF($A114="","",IF(AND(INDEX(TblTareas[Activa],107)=1,E$7&gt;=INDEX(TblTareas[Semana],107),E$7&lt;INDEX(TblTareas[Semana],107)+INDEX(TblTareas[Duracion],107)),INDEX(TblTareas[Horas],107)/INDEX(TblTareas[Duracion],107),""))</f>
      </c>
      <c r="F114" s="64" t="str">
        <f>IF($A114="","",IF(AND(INDEX(TblTareas[Activa],107)=1,F$7&gt;=INDEX(TblTareas[Semana],107),F$7&lt;INDEX(TblTareas[Semana],107)+INDEX(TblTareas[Duracion],107)),INDEX(TblTareas[Horas],107)/INDEX(TblTareas[Duracion],107),""))</f>
      </c>
      <c r="G114" s="64" t="str">
        <f>IF($A114="","",IF(AND(INDEX(TblTareas[Activa],107)=1,G$7&gt;=INDEX(TblTareas[Semana],107),G$7&lt;INDEX(TblTareas[Semana],107)+INDEX(TblTareas[Duracion],107)),INDEX(TblTareas[Horas],107)/INDEX(TblTareas[Duracion],107),""))</f>
      </c>
      <c r="H114" s="64" t="str">
        <f>IF($A114="","",IF(AND(INDEX(TblTareas[Activa],107)=1,H$7&gt;=INDEX(TblTareas[Semana],107),H$7&lt;INDEX(TblTareas[Semana],107)+INDEX(TblTareas[Duracion],107)),INDEX(TblTareas[Horas],107)/INDEX(TblTareas[Duracion],107),""))</f>
      </c>
      <c r="I114" s="64" t="str">
        <f>IF($A114="","",IF(AND(INDEX(TblTareas[Activa],107)=1,I$7&gt;=INDEX(TblTareas[Semana],107),I$7&lt;INDEX(TblTareas[Semana],107)+INDEX(TblTareas[Duracion],107)),INDEX(TblTareas[Horas],107)/INDEX(TblTareas[Duracion],107),""))</f>
      </c>
      <c r="J114" s="64" t="str">
        <f>IF($A114="","",IF(AND(INDEX(TblTareas[Activa],107)=1,J$7&gt;=INDEX(TblTareas[Semana],107),J$7&lt;INDEX(TblTareas[Semana],107)+INDEX(TblTareas[Duracion],107)),INDEX(TblTareas[Horas],107)/INDEX(TblTareas[Duracion],107),""))</f>
      </c>
      <c r="K114" s="64" t="str">
        <f>IF($A114="","",IF(AND(INDEX(TblTareas[Activa],107)=1,K$7&gt;=INDEX(TblTareas[Semana],107),K$7&lt;INDEX(TblTareas[Semana],107)+INDEX(TblTareas[Duracion],107)),INDEX(TblTareas[Horas],107)/INDEX(TblTareas[Duracion],107),""))</f>
      </c>
      <c r="L114" s="64" t="str">
        <f>IF($A114="","",IF(AND(INDEX(TblTareas[Activa],107)=1,L$7&gt;=INDEX(TblTareas[Semana],107),L$7&lt;INDEX(TblTareas[Semana],107)+INDEX(TblTareas[Duracion],107)),INDEX(TblTareas[Horas],107)/INDEX(TblTareas[Duracion],107),""))</f>
      </c>
      <c r="M114" s="64" t="str">
        <f>IF($A114="","",IF(AND(INDEX(TblTareas[Activa],107)=1,M$7&gt;=INDEX(TblTareas[Semana],107),M$7&lt;INDEX(TblTareas[Semana],107)+INDEX(TblTareas[Duracion],107)),INDEX(TblTareas[Horas],107)/INDEX(TblTareas[Duracion],107),""))</f>
      </c>
      <c r="N114" s="64" t="str">
        <f>IF($A114="","",IF(AND(INDEX(TblTareas[Activa],107)=1,N$7&gt;=INDEX(TblTareas[Semana],107),N$7&lt;INDEX(TblTareas[Semana],107)+INDEX(TblTareas[Duracion],107)),INDEX(TblTareas[Horas],107)/INDEX(TblTareas[Duracion],107),""))</f>
      </c>
      <c r="O114" s="64" t="str">
        <f>IF($A114="","",IF(AND(INDEX(TblTareas[Activa],107)=1,O$7&gt;=INDEX(TblTareas[Semana],107),O$7&lt;INDEX(TblTareas[Semana],107)+INDEX(TblTareas[Duracion],107)),INDEX(TblTareas[Horas],107)/INDEX(TblTareas[Duracion],107),""))</f>
      </c>
      <c r="P114" s="64" t="str">
        <f>IF($A114="","",IF(AND(INDEX(TblTareas[Activa],107)=1,P$7&gt;=INDEX(TblTareas[Semana],107),P$7&lt;INDEX(TblTareas[Semana],107)+INDEX(TblTareas[Duracion],107)),INDEX(TblTareas[Horas],107)/INDEX(TblTareas[Duracion],107),""))</f>
      </c>
      <c r="Q114" s="64" t="str">
        <f>IF($A114="","",IF(AND(INDEX(TblTareas[Activa],107)=1,Q$7&gt;=INDEX(TblTareas[Semana],107),Q$7&lt;INDEX(TblTareas[Semana],107)+INDEX(TblTareas[Duracion],107)),INDEX(TblTareas[Horas],107)/INDEX(TblTareas[Duracion],107),""))</f>
      </c>
      <c r="R114" s="64" t="str">
        <f>IF($A114="","",IF(AND(INDEX(TblTareas[Activa],107)=1,R$7&gt;=INDEX(TblTareas[Semana],107),R$7&lt;INDEX(TblTareas[Semana],107)+INDEX(TblTareas[Duracion],107)),INDEX(TblTareas[Horas],107)/INDEX(TblTareas[Duracion],107),""))</f>
      </c>
      <c r="S114" s="64" t="str">
        <f>IF($A114="","",IF(AND(INDEX(TblTareas[Activa],107)=1,S$7&gt;=INDEX(TblTareas[Semana],107),S$7&lt;INDEX(TblTareas[Semana],107)+INDEX(TblTareas[Duracion],107)),INDEX(TblTareas[Horas],107)/INDEX(TblTareas[Duracion],107),""))</f>
      </c>
      <c r="T114" s="64" t="str">
        <f>IF($A114="","",IF(AND(INDEX(TblTareas[Activa],107)=1,T$7&gt;=INDEX(TblTareas[Semana],107),T$7&lt;INDEX(TblTareas[Semana],107)+INDEX(TblTareas[Duracion],107)),INDEX(TblTareas[Horas],107)/INDEX(TblTareas[Duracion],107),""))</f>
      </c>
    </row>
    <row r="115" ht="34" customHeight="1">
      <c r="A115" s="62" t="str">
        <f>IFERROR(IF(INDEX(TblTareas[ID],108)="","",INDEX(TblTareas[ID],108)),"")</f>
      </c>
      <c r="B115" s="62" t="str">
        <f>IF($A115="","",IFERROR(INDEX(TblTareas[Responsable],108),""))</f>
      </c>
      <c r="C115" s="62" t="str">
        <f>IF($A115="","",IFERROR(INDEX(TblTareas[Trabajo],108),""))</f>
      </c>
      <c r="D115" s="62" t="str">
        <f>IF($A115="","",IFERROR(INDEX(TblTareas[Estado],108),""))</f>
      </c>
      <c r="E115" s="64" t="str">
        <f>IF($A115="","",IF(AND(INDEX(TblTareas[Activa],108)=1,E$7&gt;=INDEX(TblTareas[Semana],108),E$7&lt;INDEX(TblTareas[Semana],108)+INDEX(TblTareas[Duracion],108)),INDEX(TblTareas[Horas],108)/INDEX(TblTareas[Duracion],108),""))</f>
      </c>
      <c r="F115" s="64" t="str">
        <f>IF($A115="","",IF(AND(INDEX(TblTareas[Activa],108)=1,F$7&gt;=INDEX(TblTareas[Semana],108),F$7&lt;INDEX(TblTareas[Semana],108)+INDEX(TblTareas[Duracion],108)),INDEX(TblTareas[Horas],108)/INDEX(TblTareas[Duracion],108),""))</f>
      </c>
      <c r="G115" s="64" t="str">
        <f>IF($A115="","",IF(AND(INDEX(TblTareas[Activa],108)=1,G$7&gt;=INDEX(TblTareas[Semana],108),G$7&lt;INDEX(TblTareas[Semana],108)+INDEX(TblTareas[Duracion],108)),INDEX(TblTareas[Horas],108)/INDEX(TblTareas[Duracion],108),""))</f>
      </c>
      <c r="H115" s="64" t="str">
        <f>IF($A115="","",IF(AND(INDEX(TblTareas[Activa],108)=1,H$7&gt;=INDEX(TblTareas[Semana],108),H$7&lt;INDEX(TblTareas[Semana],108)+INDEX(TblTareas[Duracion],108)),INDEX(TblTareas[Horas],108)/INDEX(TblTareas[Duracion],108),""))</f>
      </c>
      <c r="I115" s="64" t="str">
        <f>IF($A115="","",IF(AND(INDEX(TblTareas[Activa],108)=1,I$7&gt;=INDEX(TblTareas[Semana],108),I$7&lt;INDEX(TblTareas[Semana],108)+INDEX(TblTareas[Duracion],108)),INDEX(TblTareas[Horas],108)/INDEX(TblTareas[Duracion],108),""))</f>
      </c>
      <c r="J115" s="64" t="str">
        <f>IF($A115="","",IF(AND(INDEX(TblTareas[Activa],108)=1,J$7&gt;=INDEX(TblTareas[Semana],108),J$7&lt;INDEX(TblTareas[Semana],108)+INDEX(TblTareas[Duracion],108)),INDEX(TblTareas[Horas],108)/INDEX(TblTareas[Duracion],108),""))</f>
      </c>
      <c r="K115" s="64" t="str">
        <f>IF($A115="","",IF(AND(INDEX(TblTareas[Activa],108)=1,K$7&gt;=INDEX(TblTareas[Semana],108),K$7&lt;INDEX(TblTareas[Semana],108)+INDEX(TblTareas[Duracion],108)),INDEX(TblTareas[Horas],108)/INDEX(TblTareas[Duracion],108),""))</f>
      </c>
      <c r="L115" s="64" t="str">
        <f>IF($A115="","",IF(AND(INDEX(TblTareas[Activa],108)=1,L$7&gt;=INDEX(TblTareas[Semana],108),L$7&lt;INDEX(TblTareas[Semana],108)+INDEX(TblTareas[Duracion],108)),INDEX(TblTareas[Horas],108)/INDEX(TblTareas[Duracion],108),""))</f>
      </c>
      <c r="M115" s="64" t="str">
        <f>IF($A115="","",IF(AND(INDEX(TblTareas[Activa],108)=1,M$7&gt;=INDEX(TblTareas[Semana],108),M$7&lt;INDEX(TblTareas[Semana],108)+INDEX(TblTareas[Duracion],108)),INDEX(TblTareas[Horas],108)/INDEX(TblTareas[Duracion],108),""))</f>
      </c>
      <c r="N115" s="64" t="str">
        <f>IF($A115="","",IF(AND(INDEX(TblTareas[Activa],108)=1,N$7&gt;=INDEX(TblTareas[Semana],108),N$7&lt;INDEX(TblTareas[Semana],108)+INDEX(TblTareas[Duracion],108)),INDEX(TblTareas[Horas],108)/INDEX(TblTareas[Duracion],108),""))</f>
      </c>
      <c r="O115" s="64" t="str">
        <f>IF($A115="","",IF(AND(INDEX(TblTareas[Activa],108)=1,O$7&gt;=INDEX(TblTareas[Semana],108),O$7&lt;INDEX(TblTareas[Semana],108)+INDEX(TblTareas[Duracion],108)),INDEX(TblTareas[Horas],108)/INDEX(TblTareas[Duracion],108),""))</f>
      </c>
      <c r="P115" s="64" t="str">
        <f>IF($A115="","",IF(AND(INDEX(TblTareas[Activa],108)=1,P$7&gt;=INDEX(TblTareas[Semana],108),P$7&lt;INDEX(TblTareas[Semana],108)+INDEX(TblTareas[Duracion],108)),INDEX(TblTareas[Horas],108)/INDEX(TblTareas[Duracion],108),""))</f>
      </c>
      <c r="Q115" s="64" t="str">
        <f>IF($A115="","",IF(AND(INDEX(TblTareas[Activa],108)=1,Q$7&gt;=INDEX(TblTareas[Semana],108),Q$7&lt;INDEX(TblTareas[Semana],108)+INDEX(TblTareas[Duracion],108)),INDEX(TblTareas[Horas],108)/INDEX(TblTareas[Duracion],108),""))</f>
      </c>
      <c r="R115" s="64" t="str">
        <f>IF($A115="","",IF(AND(INDEX(TblTareas[Activa],108)=1,R$7&gt;=INDEX(TblTareas[Semana],108),R$7&lt;INDEX(TblTareas[Semana],108)+INDEX(TblTareas[Duracion],108)),INDEX(TblTareas[Horas],108)/INDEX(TblTareas[Duracion],108),""))</f>
      </c>
      <c r="S115" s="64" t="str">
        <f>IF($A115="","",IF(AND(INDEX(TblTareas[Activa],108)=1,S$7&gt;=INDEX(TblTareas[Semana],108),S$7&lt;INDEX(TblTareas[Semana],108)+INDEX(TblTareas[Duracion],108)),INDEX(TblTareas[Horas],108)/INDEX(TblTareas[Duracion],108),""))</f>
      </c>
      <c r="T115" s="64" t="str">
        <f>IF($A115="","",IF(AND(INDEX(TblTareas[Activa],108)=1,T$7&gt;=INDEX(TblTareas[Semana],108),T$7&lt;INDEX(TblTareas[Semana],108)+INDEX(TblTareas[Duracion],108)),INDEX(TblTareas[Horas],108)/INDEX(TblTareas[Duracion],108),""))</f>
      </c>
    </row>
    <row r="116" ht="34" customHeight="1">
      <c r="A116" s="62" t="str">
        <f>IFERROR(IF(INDEX(TblTareas[ID],109)="","",INDEX(TblTareas[ID],109)),"")</f>
      </c>
      <c r="B116" s="62" t="str">
        <f>IF($A116="","",IFERROR(INDEX(TblTareas[Responsable],109),""))</f>
      </c>
      <c r="C116" s="62" t="str">
        <f>IF($A116="","",IFERROR(INDEX(TblTareas[Trabajo],109),""))</f>
      </c>
      <c r="D116" s="62" t="str">
        <f>IF($A116="","",IFERROR(INDEX(TblTareas[Estado],109),""))</f>
      </c>
      <c r="E116" s="64" t="str">
        <f>IF($A116="","",IF(AND(INDEX(TblTareas[Activa],109)=1,E$7&gt;=INDEX(TblTareas[Semana],109),E$7&lt;INDEX(TblTareas[Semana],109)+INDEX(TblTareas[Duracion],109)),INDEX(TblTareas[Horas],109)/INDEX(TblTareas[Duracion],109),""))</f>
      </c>
      <c r="F116" s="64" t="str">
        <f>IF($A116="","",IF(AND(INDEX(TblTareas[Activa],109)=1,F$7&gt;=INDEX(TblTareas[Semana],109),F$7&lt;INDEX(TblTareas[Semana],109)+INDEX(TblTareas[Duracion],109)),INDEX(TblTareas[Horas],109)/INDEX(TblTareas[Duracion],109),""))</f>
      </c>
      <c r="G116" s="64" t="str">
        <f>IF($A116="","",IF(AND(INDEX(TblTareas[Activa],109)=1,G$7&gt;=INDEX(TblTareas[Semana],109),G$7&lt;INDEX(TblTareas[Semana],109)+INDEX(TblTareas[Duracion],109)),INDEX(TblTareas[Horas],109)/INDEX(TblTareas[Duracion],109),""))</f>
      </c>
      <c r="H116" s="64" t="str">
        <f>IF($A116="","",IF(AND(INDEX(TblTareas[Activa],109)=1,H$7&gt;=INDEX(TblTareas[Semana],109),H$7&lt;INDEX(TblTareas[Semana],109)+INDEX(TblTareas[Duracion],109)),INDEX(TblTareas[Horas],109)/INDEX(TblTareas[Duracion],109),""))</f>
      </c>
      <c r="I116" s="64" t="str">
        <f>IF($A116="","",IF(AND(INDEX(TblTareas[Activa],109)=1,I$7&gt;=INDEX(TblTareas[Semana],109),I$7&lt;INDEX(TblTareas[Semana],109)+INDEX(TblTareas[Duracion],109)),INDEX(TblTareas[Horas],109)/INDEX(TblTareas[Duracion],109),""))</f>
      </c>
      <c r="J116" s="64" t="str">
        <f>IF($A116="","",IF(AND(INDEX(TblTareas[Activa],109)=1,J$7&gt;=INDEX(TblTareas[Semana],109),J$7&lt;INDEX(TblTareas[Semana],109)+INDEX(TblTareas[Duracion],109)),INDEX(TblTareas[Horas],109)/INDEX(TblTareas[Duracion],109),""))</f>
      </c>
      <c r="K116" s="64" t="str">
        <f>IF($A116="","",IF(AND(INDEX(TblTareas[Activa],109)=1,K$7&gt;=INDEX(TblTareas[Semana],109),K$7&lt;INDEX(TblTareas[Semana],109)+INDEX(TblTareas[Duracion],109)),INDEX(TblTareas[Horas],109)/INDEX(TblTareas[Duracion],109),""))</f>
      </c>
      <c r="L116" s="64" t="str">
        <f>IF($A116="","",IF(AND(INDEX(TblTareas[Activa],109)=1,L$7&gt;=INDEX(TblTareas[Semana],109),L$7&lt;INDEX(TblTareas[Semana],109)+INDEX(TblTareas[Duracion],109)),INDEX(TblTareas[Horas],109)/INDEX(TblTareas[Duracion],109),""))</f>
      </c>
      <c r="M116" s="64" t="str">
        <f>IF($A116="","",IF(AND(INDEX(TblTareas[Activa],109)=1,M$7&gt;=INDEX(TblTareas[Semana],109),M$7&lt;INDEX(TblTareas[Semana],109)+INDEX(TblTareas[Duracion],109)),INDEX(TblTareas[Horas],109)/INDEX(TblTareas[Duracion],109),""))</f>
      </c>
      <c r="N116" s="64" t="str">
        <f>IF($A116="","",IF(AND(INDEX(TblTareas[Activa],109)=1,N$7&gt;=INDEX(TblTareas[Semana],109),N$7&lt;INDEX(TblTareas[Semana],109)+INDEX(TblTareas[Duracion],109)),INDEX(TblTareas[Horas],109)/INDEX(TblTareas[Duracion],109),""))</f>
      </c>
      <c r="O116" s="64" t="str">
        <f>IF($A116="","",IF(AND(INDEX(TblTareas[Activa],109)=1,O$7&gt;=INDEX(TblTareas[Semana],109),O$7&lt;INDEX(TblTareas[Semana],109)+INDEX(TblTareas[Duracion],109)),INDEX(TblTareas[Horas],109)/INDEX(TblTareas[Duracion],109),""))</f>
      </c>
      <c r="P116" s="64" t="str">
        <f>IF($A116="","",IF(AND(INDEX(TblTareas[Activa],109)=1,P$7&gt;=INDEX(TblTareas[Semana],109),P$7&lt;INDEX(TblTareas[Semana],109)+INDEX(TblTareas[Duracion],109)),INDEX(TblTareas[Horas],109)/INDEX(TblTareas[Duracion],109),""))</f>
      </c>
      <c r="Q116" s="64" t="str">
        <f>IF($A116="","",IF(AND(INDEX(TblTareas[Activa],109)=1,Q$7&gt;=INDEX(TblTareas[Semana],109),Q$7&lt;INDEX(TblTareas[Semana],109)+INDEX(TblTareas[Duracion],109)),INDEX(TblTareas[Horas],109)/INDEX(TblTareas[Duracion],109),""))</f>
      </c>
      <c r="R116" s="64" t="str">
        <f>IF($A116="","",IF(AND(INDEX(TblTareas[Activa],109)=1,R$7&gt;=INDEX(TblTareas[Semana],109),R$7&lt;INDEX(TblTareas[Semana],109)+INDEX(TblTareas[Duracion],109)),INDEX(TblTareas[Horas],109)/INDEX(TblTareas[Duracion],109),""))</f>
      </c>
      <c r="S116" s="64" t="str">
        <f>IF($A116="","",IF(AND(INDEX(TblTareas[Activa],109)=1,S$7&gt;=INDEX(TblTareas[Semana],109),S$7&lt;INDEX(TblTareas[Semana],109)+INDEX(TblTareas[Duracion],109)),INDEX(TblTareas[Horas],109)/INDEX(TblTareas[Duracion],109),""))</f>
      </c>
      <c r="T116" s="64" t="str">
        <f>IF($A116="","",IF(AND(INDEX(TblTareas[Activa],109)=1,T$7&gt;=INDEX(TblTareas[Semana],109),T$7&lt;INDEX(TblTareas[Semana],109)+INDEX(TblTareas[Duracion],109)),INDEX(TblTareas[Horas],109)/INDEX(TblTareas[Duracion],109),""))</f>
      </c>
    </row>
    <row r="117" ht="34" customHeight="1">
      <c r="A117" s="62" t="str">
        <f>IFERROR(IF(INDEX(TblTareas[ID],110)="","",INDEX(TblTareas[ID],110)),"")</f>
      </c>
      <c r="B117" s="62" t="str">
        <f>IF($A117="","",IFERROR(INDEX(TblTareas[Responsable],110),""))</f>
      </c>
      <c r="C117" s="62" t="str">
        <f>IF($A117="","",IFERROR(INDEX(TblTareas[Trabajo],110),""))</f>
      </c>
      <c r="D117" s="62" t="str">
        <f>IF($A117="","",IFERROR(INDEX(TblTareas[Estado],110),""))</f>
      </c>
      <c r="E117" s="64" t="str">
        <f>IF($A117="","",IF(AND(INDEX(TblTareas[Activa],110)=1,E$7&gt;=INDEX(TblTareas[Semana],110),E$7&lt;INDEX(TblTareas[Semana],110)+INDEX(TblTareas[Duracion],110)),INDEX(TblTareas[Horas],110)/INDEX(TblTareas[Duracion],110),""))</f>
      </c>
      <c r="F117" s="64" t="str">
        <f>IF($A117="","",IF(AND(INDEX(TblTareas[Activa],110)=1,F$7&gt;=INDEX(TblTareas[Semana],110),F$7&lt;INDEX(TblTareas[Semana],110)+INDEX(TblTareas[Duracion],110)),INDEX(TblTareas[Horas],110)/INDEX(TblTareas[Duracion],110),""))</f>
      </c>
      <c r="G117" s="64" t="str">
        <f>IF($A117="","",IF(AND(INDEX(TblTareas[Activa],110)=1,G$7&gt;=INDEX(TblTareas[Semana],110),G$7&lt;INDEX(TblTareas[Semana],110)+INDEX(TblTareas[Duracion],110)),INDEX(TblTareas[Horas],110)/INDEX(TblTareas[Duracion],110),""))</f>
      </c>
      <c r="H117" s="64" t="str">
        <f>IF($A117="","",IF(AND(INDEX(TblTareas[Activa],110)=1,H$7&gt;=INDEX(TblTareas[Semana],110),H$7&lt;INDEX(TblTareas[Semana],110)+INDEX(TblTareas[Duracion],110)),INDEX(TblTareas[Horas],110)/INDEX(TblTareas[Duracion],110),""))</f>
      </c>
      <c r="I117" s="64" t="str">
        <f>IF($A117="","",IF(AND(INDEX(TblTareas[Activa],110)=1,I$7&gt;=INDEX(TblTareas[Semana],110),I$7&lt;INDEX(TblTareas[Semana],110)+INDEX(TblTareas[Duracion],110)),INDEX(TblTareas[Horas],110)/INDEX(TblTareas[Duracion],110),""))</f>
      </c>
      <c r="J117" s="64" t="str">
        <f>IF($A117="","",IF(AND(INDEX(TblTareas[Activa],110)=1,J$7&gt;=INDEX(TblTareas[Semana],110),J$7&lt;INDEX(TblTareas[Semana],110)+INDEX(TblTareas[Duracion],110)),INDEX(TblTareas[Horas],110)/INDEX(TblTareas[Duracion],110),""))</f>
      </c>
      <c r="K117" s="64" t="str">
        <f>IF($A117="","",IF(AND(INDEX(TblTareas[Activa],110)=1,K$7&gt;=INDEX(TblTareas[Semana],110),K$7&lt;INDEX(TblTareas[Semana],110)+INDEX(TblTareas[Duracion],110)),INDEX(TblTareas[Horas],110)/INDEX(TblTareas[Duracion],110),""))</f>
      </c>
      <c r="L117" s="64" t="str">
        <f>IF($A117="","",IF(AND(INDEX(TblTareas[Activa],110)=1,L$7&gt;=INDEX(TblTareas[Semana],110),L$7&lt;INDEX(TblTareas[Semana],110)+INDEX(TblTareas[Duracion],110)),INDEX(TblTareas[Horas],110)/INDEX(TblTareas[Duracion],110),""))</f>
      </c>
      <c r="M117" s="64" t="str">
        <f>IF($A117="","",IF(AND(INDEX(TblTareas[Activa],110)=1,M$7&gt;=INDEX(TblTareas[Semana],110),M$7&lt;INDEX(TblTareas[Semana],110)+INDEX(TblTareas[Duracion],110)),INDEX(TblTareas[Horas],110)/INDEX(TblTareas[Duracion],110),""))</f>
      </c>
      <c r="N117" s="64" t="str">
        <f>IF($A117="","",IF(AND(INDEX(TblTareas[Activa],110)=1,N$7&gt;=INDEX(TblTareas[Semana],110),N$7&lt;INDEX(TblTareas[Semana],110)+INDEX(TblTareas[Duracion],110)),INDEX(TblTareas[Horas],110)/INDEX(TblTareas[Duracion],110),""))</f>
      </c>
      <c r="O117" s="64" t="str">
        <f>IF($A117="","",IF(AND(INDEX(TblTareas[Activa],110)=1,O$7&gt;=INDEX(TblTareas[Semana],110),O$7&lt;INDEX(TblTareas[Semana],110)+INDEX(TblTareas[Duracion],110)),INDEX(TblTareas[Horas],110)/INDEX(TblTareas[Duracion],110),""))</f>
      </c>
      <c r="P117" s="64" t="str">
        <f>IF($A117="","",IF(AND(INDEX(TblTareas[Activa],110)=1,P$7&gt;=INDEX(TblTareas[Semana],110),P$7&lt;INDEX(TblTareas[Semana],110)+INDEX(TblTareas[Duracion],110)),INDEX(TblTareas[Horas],110)/INDEX(TblTareas[Duracion],110),""))</f>
      </c>
      <c r="Q117" s="64" t="str">
        <f>IF($A117="","",IF(AND(INDEX(TblTareas[Activa],110)=1,Q$7&gt;=INDEX(TblTareas[Semana],110),Q$7&lt;INDEX(TblTareas[Semana],110)+INDEX(TblTareas[Duracion],110)),INDEX(TblTareas[Horas],110)/INDEX(TblTareas[Duracion],110),""))</f>
      </c>
      <c r="R117" s="64" t="str">
        <f>IF($A117="","",IF(AND(INDEX(TblTareas[Activa],110)=1,R$7&gt;=INDEX(TblTareas[Semana],110),R$7&lt;INDEX(TblTareas[Semana],110)+INDEX(TblTareas[Duracion],110)),INDEX(TblTareas[Horas],110)/INDEX(TblTareas[Duracion],110),""))</f>
      </c>
      <c r="S117" s="64" t="str">
        <f>IF($A117="","",IF(AND(INDEX(TblTareas[Activa],110)=1,S$7&gt;=INDEX(TblTareas[Semana],110),S$7&lt;INDEX(TblTareas[Semana],110)+INDEX(TblTareas[Duracion],110)),INDEX(TblTareas[Horas],110)/INDEX(TblTareas[Duracion],110),""))</f>
      </c>
      <c r="T117" s="64" t="str">
        <f>IF($A117="","",IF(AND(INDEX(TblTareas[Activa],110)=1,T$7&gt;=INDEX(TblTareas[Semana],110),T$7&lt;INDEX(TblTareas[Semana],110)+INDEX(TblTareas[Duracion],110)),INDEX(TblTareas[Horas],110)/INDEX(TblTareas[Duracion],110),""))</f>
      </c>
    </row>
    <row r="118" ht="34" customHeight="1">
      <c r="A118" s="62" t="str">
        <f>IFERROR(IF(INDEX(TblTareas[ID],111)="","",INDEX(TblTareas[ID],111)),"")</f>
      </c>
      <c r="B118" s="62" t="str">
        <f>IF($A118="","",IFERROR(INDEX(TblTareas[Responsable],111),""))</f>
      </c>
      <c r="C118" s="62" t="str">
        <f>IF($A118="","",IFERROR(INDEX(TblTareas[Trabajo],111),""))</f>
      </c>
      <c r="D118" s="62" t="str">
        <f>IF($A118="","",IFERROR(INDEX(TblTareas[Estado],111),""))</f>
      </c>
      <c r="E118" s="64" t="str">
        <f>IF($A118="","",IF(AND(INDEX(TblTareas[Activa],111)=1,E$7&gt;=INDEX(TblTareas[Semana],111),E$7&lt;INDEX(TblTareas[Semana],111)+INDEX(TblTareas[Duracion],111)),INDEX(TblTareas[Horas],111)/INDEX(TblTareas[Duracion],111),""))</f>
      </c>
      <c r="F118" s="64" t="str">
        <f>IF($A118="","",IF(AND(INDEX(TblTareas[Activa],111)=1,F$7&gt;=INDEX(TblTareas[Semana],111),F$7&lt;INDEX(TblTareas[Semana],111)+INDEX(TblTareas[Duracion],111)),INDEX(TblTareas[Horas],111)/INDEX(TblTareas[Duracion],111),""))</f>
      </c>
      <c r="G118" s="64" t="str">
        <f>IF($A118="","",IF(AND(INDEX(TblTareas[Activa],111)=1,G$7&gt;=INDEX(TblTareas[Semana],111),G$7&lt;INDEX(TblTareas[Semana],111)+INDEX(TblTareas[Duracion],111)),INDEX(TblTareas[Horas],111)/INDEX(TblTareas[Duracion],111),""))</f>
      </c>
      <c r="H118" s="64" t="str">
        <f>IF($A118="","",IF(AND(INDEX(TblTareas[Activa],111)=1,H$7&gt;=INDEX(TblTareas[Semana],111),H$7&lt;INDEX(TblTareas[Semana],111)+INDEX(TblTareas[Duracion],111)),INDEX(TblTareas[Horas],111)/INDEX(TblTareas[Duracion],111),""))</f>
      </c>
      <c r="I118" s="64" t="str">
        <f>IF($A118="","",IF(AND(INDEX(TblTareas[Activa],111)=1,I$7&gt;=INDEX(TblTareas[Semana],111),I$7&lt;INDEX(TblTareas[Semana],111)+INDEX(TblTareas[Duracion],111)),INDEX(TblTareas[Horas],111)/INDEX(TblTareas[Duracion],111),""))</f>
      </c>
      <c r="J118" s="64" t="str">
        <f>IF($A118="","",IF(AND(INDEX(TblTareas[Activa],111)=1,J$7&gt;=INDEX(TblTareas[Semana],111),J$7&lt;INDEX(TblTareas[Semana],111)+INDEX(TblTareas[Duracion],111)),INDEX(TblTareas[Horas],111)/INDEX(TblTareas[Duracion],111),""))</f>
      </c>
      <c r="K118" s="64" t="str">
        <f>IF($A118="","",IF(AND(INDEX(TblTareas[Activa],111)=1,K$7&gt;=INDEX(TblTareas[Semana],111),K$7&lt;INDEX(TblTareas[Semana],111)+INDEX(TblTareas[Duracion],111)),INDEX(TblTareas[Horas],111)/INDEX(TblTareas[Duracion],111),""))</f>
      </c>
      <c r="L118" s="64" t="str">
        <f>IF($A118="","",IF(AND(INDEX(TblTareas[Activa],111)=1,L$7&gt;=INDEX(TblTareas[Semana],111),L$7&lt;INDEX(TblTareas[Semana],111)+INDEX(TblTareas[Duracion],111)),INDEX(TblTareas[Horas],111)/INDEX(TblTareas[Duracion],111),""))</f>
      </c>
      <c r="M118" s="64" t="str">
        <f>IF($A118="","",IF(AND(INDEX(TblTareas[Activa],111)=1,M$7&gt;=INDEX(TblTareas[Semana],111),M$7&lt;INDEX(TblTareas[Semana],111)+INDEX(TblTareas[Duracion],111)),INDEX(TblTareas[Horas],111)/INDEX(TblTareas[Duracion],111),""))</f>
      </c>
      <c r="N118" s="64" t="str">
        <f>IF($A118="","",IF(AND(INDEX(TblTareas[Activa],111)=1,N$7&gt;=INDEX(TblTareas[Semana],111),N$7&lt;INDEX(TblTareas[Semana],111)+INDEX(TblTareas[Duracion],111)),INDEX(TblTareas[Horas],111)/INDEX(TblTareas[Duracion],111),""))</f>
      </c>
      <c r="O118" s="64" t="str">
        <f>IF($A118="","",IF(AND(INDEX(TblTareas[Activa],111)=1,O$7&gt;=INDEX(TblTareas[Semana],111),O$7&lt;INDEX(TblTareas[Semana],111)+INDEX(TblTareas[Duracion],111)),INDEX(TblTareas[Horas],111)/INDEX(TblTareas[Duracion],111),""))</f>
      </c>
      <c r="P118" s="64" t="str">
        <f>IF($A118="","",IF(AND(INDEX(TblTareas[Activa],111)=1,P$7&gt;=INDEX(TblTareas[Semana],111),P$7&lt;INDEX(TblTareas[Semana],111)+INDEX(TblTareas[Duracion],111)),INDEX(TblTareas[Horas],111)/INDEX(TblTareas[Duracion],111),""))</f>
      </c>
      <c r="Q118" s="64" t="str">
        <f>IF($A118="","",IF(AND(INDEX(TblTareas[Activa],111)=1,Q$7&gt;=INDEX(TblTareas[Semana],111),Q$7&lt;INDEX(TblTareas[Semana],111)+INDEX(TblTareas[Duracion],111)),INDEX(TblTareas[Horas],111)/INDEX(TblTareas[Duracion],111),""))</f>
      </c>
      <c r="R118" s="64" t="str">
        <f>IF($A118="","",IF(AND(INDEX(TblTareas[Activa],111)=1,R$7&gt;=INDEX(TblTareas[Semana],111),R$7&lt;INDEX(TblTareas[Semana],111)+INDEX(TblTareas[Duracion],111)),INDEX(TblTareas[Horas],111)/INDEX(TblTareas[Duracion],111),""))</f>
      </c>
      <c r="S118" s="64" t="str">
        <f>IF($A118="","",IF(AND(INDEX(TblTareas[Activa],111)=1,S$7&gt;=INDEX(TblTareas[Semana],111),S$7&lt;INDEX(TblTareas[Semana],111)+INDEX(TblTareas[Duracion],111)),INDEX(TblTareas[Horas],111)/INDEX(TblTareas[Duracion],111),""))</f>
      </c>
      <c r="T118" s="64" t="str">
        <f>IF($A118="","",IF(AND(INDEX(TblTareas[Activa],111)=1,T$7&gt;=INDEX(TblTareas[Semana],111),T$7&lt;INDEX(TblTareas[Semana],111)+INDEX(TblTareas[Duracion],111)),INDEX(TblTareas[Horas],111)/INDEX(TblTareas[Duracion],111),""))</f>
      </c>
    </row>
    <row r="119" ht="34" customHeight="1">
      <c r="A119" s="62" t="str">
        <f>IFERROR(IF(INDEX(TblTareas[ID],112)="","",INDEX(TblTareas[ID],112)),"")</f>
      </c>
      <c r="B119" s="62" t="str">
        <f>IF($A119="","",IFERROR(INDEX(TblTareas[Responsable],112),""))</f>
      </c>
      <c r="C119" s="62" t="str">
        <f>IF($A119="","",IFERROR(INDEX(TblTareas[Trabajo],112),""))</f>
      </c>
      <c r="D119" s="62" t="str">
        <f>IF($A119="","",IFERROR(INDEX(TblTareas[Estado],112),""))</f>
      </c>
      <c r="E119" s="64" t="str">
        <f>IF($A119="","",IF(AND(INDEX(TblTareas[Activa],112)=1,E$7&gt;=INDEX(TblTareas[Semana],112),E$7&lt;INDEX(TblTareas[Semana],112)+INDEX(TblTareas[Duracion],112)),INDEX(TblTareas[Horas],112)/INDEX(TblTareas[Duracion],112),""))</f>
      </c>
      <c r="F119" s="64" t="str">
        <f>IF($A119="","",IF(AND(INDEX(TblTareas[Activa],112)=1,F$7&gt;=INDEX(TblTareas[Semana],112),F$7&lt;INDEX(TblTareas[Semana],112)+INDEX(TblTareas[Duracion],112)),INDEX(TblTareas[Horas],112)/INDEX(TblTareas[Duracion],112),""))</f>
      </c>
      <c r="G119" s="64" t="str">
        <f>IF($A119="","",IF(AND(INDEX(TblTareas[Activa],112)=1,G$7&gt;=INDEX(TblTareas[Semana],112),G$7&lt;INDEX(TblTareas[Semana],112)+INDEX(TblTareas[Duracion],112)),INDEX(TblTareas[Horas],112)/INDEX(TblTareas[Duracion],112),""))</f>
      </c>
      <c r="H119" s="64" t="str">
        <f>IF($A119="","",IF(AND(INDEX(TblTareas[Activa],112)=1,H$7&gt;=INDEX(TblTareas[Semana],112),H$7&lt;INDEX(TblTareas[Semana],112)+INDEX(TblTareas[Duracion],112)),INDEX(TblTareas[Horas],112)/INDEX(TblTareas[Duracion],112),""))</f>
      </c>
      <c r="I119" s="64" t="str">
        <f>IF($A119="","",IF(AND(INDEX(TblTareas[Activa],112)=1,I$7&gt;=INDEX(TblTareas[Semana],112),I$7&lt;INDEX(TblTareas[Semana],112)+INDEX(TblTareas[Duracion],112)),INDEX(TblTareas[Horas],112)/INDEX(TblTareas[Duracion],112),""))</f>
      </c>
      <c r="J119" s="64" t="str">
        <f>IF($A119="","",IF(AND(INDEX(TblTareas[Activa],112)=1,J$7&gt;=INDEX(TblTareas[Semana],112),J$7&lt;INDEX(TblTareas[Semana],112)+INDEX(TblTareas[Duracion],112)),INDEX(TblTareas[Horas],112)/INDEX(TblTareas[Duracion],112),""))</f>
      </c>
      <c r="K119" s="64" t="str">
        <f>IF($A119="","",IF(AND(INDEX(TblTareas[Activa],112)=1,K$7&gt;=INDEX(TblTareas[Semana],112),K$7&lt;INDEX(TblTareas[Semana],112)+INDEX(TblTareas[Duracion],112)),INDEX(TblTareas[Horas],112)/INDEX(TblTareas[Duracion],112),""))</f>
      </c>
      <c r="L119" s="64" t="str">
        <f>IF($A119="","",IF(AND(INDEX(TblTareas[Activa],112)=1,L$7&gt;=INDEX(TblTareas[Semana],112),L$7&lt;INDEX(TblTareas[Semana],112)+INDEX(TblTareas[Duracion],112)),INDEX(TblTareas[Horas],112)/INDEX(TblTareas[Duracion],112),""))</f>
      </c>
      <c r="M119" s="64" t="str">
        <f>IF($A119="","",IF(AND(INDEX(TblTareas[Activa],112)=1,M$7&gt;=INDEX(TblTareas[Semana],112),M$7&lt;INDEX(TblTareas[Semana],112)+INDEX(TblTareas[Duracion],112)),INDEX(TblTareas[Horas],112)/INDEX(TblTareas[Duracion],112),""))</f>
      </c>
      <c r="N119" s="64" t="str">
        <f>IF($A119="","",IF(AND(INDEX(TblTareas[Activa],112)=1,N$7&gt;=INDEX(TblTareas[Semana],112),N$7&lt;INDEX(TblTareas[Semana],112)+INDEX(TblTareas[Duracion],112)),INDEX(TblTareas[Horas],112)/INDEX(TblTareas[Duracion],112),""))</f>
      </c>
      <c r="O119" s="64" t="str">
        <f>IF($A119="","",IF(AND(INDEX(TblTareas[Activa],112)=1,O$7&gt;=INDEX(TblTareas[Semana],112),O$7&lt;INDEX(TblTareas[Semana],112)+INDEX(TblTareas[Duracion],112)),INDEX(TblTareas[Horas],112)/INDEX(TblTareas[Duracion],112),""))</f>
      </c>
      <c r="P119" s="64" t="str">
        <f>IF($A119="","",IF(AND(INDEX(TblTareas[Activa],112)=1,P$7&gt;=INDEX(TblTareas[Semana],112),P$7&lt;INDEX(TblTareas[Semana],112)+INDEX(TblTareas[Duracion],112)),INDEX(TblTareas[Horas],112)/INDEX(TblTareas[Duracion],112),""))</f>
      </c>
      <c r="Q119" s="64" t="str">
        <f>IF($A119="","",IF(AND(INDEX(TblTareas[Activa],112)=1,Q$7&gt;=INDEX(TblTareas[Semana],112),Q$7&lt;INDEX(TblTareas[Semana],112)+INDEX(TblTareas[Duracion],112)),INDEX(TblTareas[Horas],112)/INDEX(TblTareas[Duracion],112),""))</f>
      </c>
      <c r="R119" s="64" t="str">
        <f>IF($A119="","",IF(AND(INDEX(TblTareas[Activa],112)=1,R$7&gt;=INDEX(TblTareas[Semana],112),R$7&lt;INDEX(TblTareas[Semana],112)+INDEX(TblTareas[Duracion],112)),INDEX(TblTareas[Horas],112)/INDEX(TblTareas[Duracion],112),""))</f>
      </c>
      <c r="S119" s="64" t="str">
        <f>IF($A119="","",IF(AND(INDEX(TblTareas[Activa],112)=1,S$7&gt;=INDEX(TblTareas[Semana],112),S$7&lt;INDEX(TblTareas[Semana],112)+INDEX(TblTareas[Duracion],112)),INDEX(TblTareas[Horas],112)/INDEX(TblTareas[Duracion],112),""))</f>
      </c>
      <c r="T119" s="64" t="str">
        <f>IF($A119="","",IF(AND(INDEX(TblTareas[Activa],112)=1,T$7&gt;=INDEX(TblTareas[Semana],112),T$7&lt;INDEX(TblTareas[Semana],112)+INDEX(TblTareas[Duracion],112)),INDEX(TblTareas[Horas],112)/INDEX(TblTareas[Duracion],112),""))</f>
      </c>
    </row>
    <row r="120" ht="34" customHeight="1">
      <c r="A120" s="62" t="str">
        <f>IFERROR(IF(INDEX(TblTareas[ID],113)="","",INDEX(TblTareas[ID],113)),"")</f>
      </c>
      <c r="B120" s="62" t="str">
        <f>IF($A120="","",IFERROR(INDEX(TblTareas[Responsable],113),""))</f>
      </c>
      <c r="C120" s="62" t="str">
        <f>IF($A120="","",IFERROR(INDEX(TblTareas[Trabajo],113),""))</f>
      </c>
      <c r="D120" s="62" t="str">
        <f>IF($A120="","",IFERROR(INDEX(TblTareas[Estado],113),""))</f>
      </c>
      <c r="E120" s="64" t="str">
        <f>IF($A120="","",IF(AND(INDEX(TblTareas[Activa],113)=1,E$7&gt;=INDEX(TblTareas[Semana],113),E$7&lt;INDEX(TblTareas[Semana],113)+INDEX(TblTareas[Duracion],113)),INDEX(TblTareas[Horas],113)/INDEX(TblTareas[Duracion],113),""))</f>
      </c>
      <c r="F120" s="64" t="str">
        <f>IF($A120="","",IF(AND(INDEX(TblTareas[Activa],113)=1,F$7&gt;=INDEX(TblTareas[Semana],113),F$7&lt;INDEX(TblTareas[Semana],113)+INDEX(TblTareas[Duracion],113)),INDEX(TblTareas[Horas],113)/INDEX(TblTareas[Duracion],113),""))</f>
      </c>
      <c r="G120" s="64" t="str">
        <f>IF($A120="","",IF(AND(INDEX(TblTareas[Activa],113)=1,G$7&gt;=INDEX(TblTareas[Semana],113),G$7&lt;INDEX(TblTareas[Semana],113)+INDEX(TblTareas[Duracion],113)),INDEX(TblTareas[Horas],113)/INDEX(TblTareas[Duracion],113),""))</f>
      </c>
      <c r="H120" s="64" t="str">
        <f>IF($A120="","",IF(AND(INDEX(TblTareas[Activa],113)=1,H$7&gt;=INDEX(TblTareas[Semana],113),H$7&lt;INDEX(TblTareas[Semana],113)+INDEX(TblTareas[Duracion],113)),INDEX(TblTareas[Horas],113)/INDEX(TblTareas[Duracion],113),""))</f>
      </c>
      <c r="I120" s="64" t="str">
        <f>IF($A120="","",IF(AND(INDEX(TblTareas[Activa],113)=1,I$7&gt;=INDEX(TblTareas[Semana],113),I$7&lt;INDEX(TblTareas[Semana],113)+INDEX(TblTareas[Duracion],113)),INDEX(TblTareas[Horas],113)/INDEX(TblTareas[Duracion],113),""))</f>
      </c>
      <c r="J120" s="64" t="str">
        <f>IF($A120="","",IF(AND(INDEX(TblTareas[Activa],113)=1,J$7&gt;=INDEX(TblTareas[Semana],113),J$7&lt;INDEX(TblTareas[Semana],113)+INDEX(TblTareas[Duracion],113)),INDEX(TblTareas[Horas],113)/INDEX(TblTareas[Duracion],113),""))</f>
      </c>
      <c r="K120" s="64" t="str">
        <f>IF($A120="","",IF(AND(INDEX(TblTareas[Activa],113)=1,K$7&gt;=INDEX(TblTareas[Semana],113),K$7&lt;INDEX(TblTareas[Semana],113)+INDEX(TblTareas[Duracion],113)),INDEX(TblTareas[Horas],113)/INDEX(TblTareas[Duracion],113),""))</f>
      </c>
      <c r="L120" s="64" t="str">
        <f>IF($A120="","",IF(AND(INDEX(TblTareas[Activa],113)=1,L$7&gt;=INDEX(TblTareas[Semana],113),L$7&lt;INDEX(TblTareas[Semana],113)+INDEX(TblTareas[Duracion],113)),INDEX(TblTareas[Horas],113)/INDEX(TblTareas[Duracion],113),""))</f>
      </c>
      <c r="M120" s="64" t="str">
        <f>IF($A120="","",IF(AND(INDEX(TblTareas[Activa],113)=1,M$7&gt;=INDEX(TblTareas[Semana],113),M$7&lt;INDEX(TblTareas[Semana],113)+INDEX(TblTareas[Duracion],113)),INDEX(TblTareas[Horas],113)/INDEX(TblTareas[Duracion],113),""))</f>
      </c>
      <c r="N120" s="64" t="str">
        <f>IF($A120="","",IF(AND(INDEX(TblTareas[Activa],113)=1,N$7&gt;=INDEX(TblTareas[Semana],113),N$7&lt;INDEX(TblTareas[Semana],113)+INDEX(TblTareas[Duracion],113)),INDEX(TblTareas[Horas],113)/INDEX(TblTareas[Duracion],113),""))</f>
      </c>
      <c r="O120" s="64" t="str">
        <f>IF($A120="","",IF(AND(INDEX(TblTareas[Activa],113)=1,O$7&gt;=INDEX(TblTareas[Semana],113),O$7&lt;INDEX(TblTareas[Semana],113)+INDEX(TblTareas[Duracion],113)),INDEX(TblTareas[Horas],113)/INDEX(TblTareas[Duracion],113),""))</f>
      </c>
      <c r="P120" s="64" t="str">
        <f>IF($A120="","",IF(AND(INDEX(TblTareas[Activa],113)=1,P$7&gt;=INDEX(TblTareas[Semana],113),P$7&lt;INDEX(TblTareas[Semana],113)+INDEX(TblTareas[Duracion],113)),INDEX(TblTareas[Horas],113)/INDEX(TblTareas[Duracion],113),""))</f>
      </c>
      <c r="Q120" s="64" t="str">
        <f>IF($A120="","",IF(AND(INDEX(TblTareas[Activa],113)=1,Q$7&gt;=INDEX(TblTareas[Semana],113),Q$7&lt;INDEX(TblTareas[Semana],113)+INDEX(TblTareas[Duracion],113)),INDEX(TblTareas[Horas],113)/INDEX(TblTareas[Duracion],113),""))</f>
      </c>
      <c r="R120" s="64" t="str">
        <f>IF($A120="","",IF(AND(INDEX(TblTareas[Activa],113)=1,R$7&gt;=INDEX(TblTareas[Semana],113),R$7&lt;INDEX(TblTareas[Semana],113)+INDEX(TblTareas[Duracion],113)),INDEX(TblTareas[Horas],113)/INDEX(TblTareas[Duracion],113),""))</f>
      </c>
      <c r="S120" s="64" t="str">
        <f>IF($A120="","",IF(AND(INDEX(TblTareas[Activa],113)=1,S$7&gt;=INDEX(TblTareas[Semana],113),S$7&lt;INDEX(TblTareas[Semana],113)+INDEX(TblTareas[Duracion],113)),INDEX(TblTareas[Horas],113)/INDEX(TblTareas[Duracion],113),""))</f>
      </c>
      <c r="T120" s="64" t="str">
        <f>IF($A120="","",IF(AND(INDEX(TblTareas[Activa],113)=1,T$7&gt;=INDEX(TblTareas[Semana],113),T$7&lt;INDEX(TblTareas[Semana],113)+INDEX(TblTareas[Duracion],113)),INDEX(TblTareas[Horas],113)/INDEX(TblTareas[Duracion],113),""))</f>
      </c>
    </row>
    <row r="121" ht="34" customHeight="1">
      <c r="A121" s="62" t="str">
        <f>IFERROR(IF(INDEX(TblTareas[ID],114)="","",INDEX(TblTareas[ID],114)),"")</f>
      </c>
      <c r="B121" s="62" t="str">
        <f>IF($A121="","",IFERROR(INDEX(TblTareas[Responsable],114),""))</f>
      </c>
      <c r="C121" s="62" t="str">
        <f>IF($A121="","",IFERROR(INDEX(TblTareas[Trabajo],114),""))</f>
      </c>
      <c r="D121" s="62" t="str">
        <f>IF($A121="","",IFERROR(INDEX(TblTareas[Estado],114),""))</f>
      </c>
      <c r="E121" s="64" t="str">
        <f>IF($A121="","",IF(AND(INDEX(TblTareas[Activa],114)=1,E$7&gt;=INDEX(TblTareas[Semana],114),E$7&lt;INDEX(TblTareas[Semana],114)+INDEX(TblTareas[Duracion],114)),INDEX(TblTareas[Horas],114)/INDEX(TblTareas[Duracion],114),""))</f>
      </c>
      <c r="F121" s="64" t="str">
        <f>IF($A121="","",IF(AND(INDEX(TblTareas[Activa],114)=1,F$7&gt;=INDEX(TblTareas[Semana],114),F$7&lt;INDEX(TblTareas[Semana],114)+INDEX(TblTareas[Duracion],114)),INDEX(TblTareas[Horas],114)/INDEX(TblTareas[Duracion],114),""))</f>
      </c>
      <c r="G121" s="64" t="str">
        <f>IF($A121="","",IF(AND(INDEX(TblTareas[Activa],114)=1,G$7&gt;=INDEX(TblTareas[Semana],114),G$7&lt;INDEX(TblTareas[Semana],114)+INDEX(TblTareas[Duracion],114)),INDEX(TblTareas[Horas],114)/INDEX(TblTareas[Duracion],114),""))</f>
      </c>
      <c r="H121" s="64" t="str">
        <f>IF($A121="","",IF(AND(INDEX(TblTareas[Activa],114)=1,H$7&gt;=INDEX(TblTareas[Semana],114),H$7&lt;INDEX(TblTareas[Semana],114)+INDEX(TblTareas[Duracion],114)),INDEX(TblTareas[Horas],114)/INDEX(TblTareas[Duracion],114),""))</f>
      </c>
      <c r="I121" s="64" t="str">
        <f>IF($A121="","",IF(AND(INDEX(TblTareas[Activa],114)=1,I$7&gt;=INDEX(TblTareas[Semana],114),I$7&lt;INDEX(TblTareas[Semana],114)+INDEX(TblTareas[Duracion],114)),INDEX(TblTareas[Horas],114)/INDEX(TblTareas[Duracion],114),""))</f>
      </c>
      <c r="J121" s="64" t="str">
        <f>IF($A121="","",IF(AND(INDEX(TblTareas[Activa],114)=1,J$7&gt;=INDEX(TblTareas[Semana],114),J$7&lt;INDEX(TblTareas[Semana],114)+INDEX(TblTareas[Duracion],114)),INDEX(TblTareas[Horas],114)/INDEX(TblTareas[Duracion],114),""))</f>
      </c>
      <c r="K121" s="64" t="str">
        <f>IF($A121="","",IF(AND(INDEX(TblTareas[Activa],114)=1,K$7&gt;=INDEX(TblTareas[Semana],114),K$7&lt;INDEX(TblTareas[Semana],114)+INDEX(TblTareas[Duracion],114)),INDEX(TblTareas[Horas],114)/INDEX(TblTareas[Duracion],114),""))</f>
      </c>
      <c r="L121" s="64" t="str">
        <f>IF($A121="","",IF(AND(INDEX(TblTareas[Activa],114)=1,L$7&gt;=INDEX(TblTareas[Semana],114),L$7&lt;INDEX(TblTareas[Semana],114)+INDEX(TblTareas[Duracion],114)),INDEX(TblTareas[Horas],114)/INDEX(TblTareas[Duracion],114),""))</f>
      </c>
      <c r="M121" s="64" t="str">
        <f>IF($A121="","",IF(AND(INDEX(TblTareas[Activa],114)=1,M$7&gt;=INDEX(TblTareas[Semana],114),M$7&lt;INDEX(TblTareas[Semana],114)+INDEX(TblTareas[Duracion],114)),INDEX(TblTareas[Horas],114)/INDEX(TblTareas[Duracion],114),""))</f>
      </c>
      <c r="N121" s="64" t="str">
        <f>IF($A121="","",IF(AND(INDEX(TblTareas[Activa],114)=1,N$7&gt;=INDEX(TblTareas[Semana],114),N$7&lt;INDEX(TblTareas[Semana],114)+INDEX(TblTareas[Duracion],114)),INDEX(TblTareas[Horas],114)/INDEX(TblTareas[Duracion],114),""))</f>
      </c>
      <c r="O121" s="64" t="str">
        <f>IF($A121="","",IF(AND(INDEX(TblTareas[Activa],114)=1,O$7&gt;=INDEX(TblTareas[Semana],114),O$7&lt;INDEX(TblTareas[Semana],114)+INDEX(TblTareas[Duracion],114)),INDEX(TblTareas[Horas],114)/INDEX(TblTareas[Duracion],114),""))</f>
      </c>
      <c r="P121" s="64" t="str">
        <f>IF($A121="","",IF(AND(INDEX(TblTareas[Activa],114)=1,P$7&gt;=INDEX(TblTareas[Semana],114),P$7&lt;INDEX(TblTareas[Semana],114)+INDEX(TblTareas[Duracion],114)),INDEX(TblTareas[Horas],114)/INDEX(TblTareas[Duracion],114),""))</f>
      </c>
      <c r="Q121" s="64" t="str">
        <f>IF($A121="","",IF(AND(INDEX(TblTareas[Activa],114)=1,Q$7&gt;=INDEX(TblTareas[Semana],114),Q$7&lt;INDEX(TblTareas[Semana],114)+INDEX(TblTareas[Duracion],114)),INDEX(TblTareas[Horas],114)/INDEX(TblTareas[Duracion],114),""))</f>
      </c>
      <c r="R121" s="64" t="str">
        <f>IF($A121="","",IF(AND(INDEX(TblTareas[Activa],114)=1,R$7&gt;=INDEX(TblTareas[Semana],114),R$7&lt;INDEX(TblTareas[Semana],114)+INDEX(TblTareas[Duracion],114)),INDEX(TblTareas[Horas],114)/INDEX(TblTareas[Duracion],114),""))</f>
      </c>
      <c r="S121" s="64" t="str">
        <f>IF($A121="","",IF(AND(INDEX(TblTareas[Activa],114)=1,S$7&gt;=INDEX(TblTareas[Semana],114),S$7&lt;INDEX(TblTareas[Semana],114)+INDEX(TblTareas[Duracion],114)),INDEX(TblTareas[Horas],114)/INDEX(TblTareas[Duracion],114),""))</f>
      </c>
      <c r="T121" s="64" t="str">
        <f>IF($A121="","",IF(AND(INDEX(TblTareas[Activa],114)=1,T$7&gt;=INDEX(TblTareas[Semana],114),T$7&lt;INDEX(TblTareas[Semana],114)+INDEX(TblTareas[Duracion],114)),INDEX(TblTareas[Horas],114)/INDEX(TblTareas[Duracion],114),""))</f>
      </c>
    </row>
    <row r="122" ht="34" customHeight="1">
      <c r="A122" s="62" t="str">
        <f>IFERROR(IF(INDEX(TblTareas[ID],115)="","",INDEX(TblTareas[ID],115)),"")</f>
      </c>
      <c r="B122" s="62" t="str">
        <f>IF($A122="","",IFERROR(INDEX(TblTareas[Responsable],115),""))</f>
      </c>
      <c r="C122" s="62" t="str">
        <f>IF($A122="","",IFERROR(INDEX(TblTareas[Trabajo],115),""))</f>
      </c>
      <c r="D122" s="62" t="str">
        <f>IF($A122="","",IFERROR(INDEX(TblTareas[Estado],115),""))</f>
      </c>
      <c r="E122" s="64" t="str">
        <f>IF($A122="","",IF(AND(INDEX(TblTareas[Activa],115)=1,E$7&gt;=INDEX(TblTareas[Semana],115),E$7&lt;INDEX(TblTareas[Semana],115)+INDEX(TblTareas[Duracion],115)),INDEX(TblTareas[Horas],115)/INDEX(TblTareas[Duracion],115),""))</f>
      </c>
      <c r="F122" s="64" t="str">
        <f>IF($A122="","",IF(AND(INDEX(TblTareas[Activa],115)=1,F$7&gt;=INDEX(TblTareas[Semana],115),F$7&lt;INDEX(TblTareas[Semana],115)+INDEX(TblTareas[Duracion],115)),INDEX(TblTareas[Horas],115)/INDEX(TblTareas[Duracion],115),""))</f>
      </c>
      <c r="G122" s="64" t="str">
        <f>IF($A122="","",IF(AND(INDEX(TblTareas[Activa],115)=1,G$7&gt;=INDEX(TblTareas[Semana],115),G$7&lt;INDEX(TblTareas[Semana],115)+INDEX(TblTareas[Duracion],115)),INDEX(TblTareas[Horas],115)/INDEX(TblTareas[Duracion],115),""))</f>
      </c>
      <c r="H122" s="64" t="str">
        <f>IF($A122="","",IF(AND(INDEX(TblTareas[Activa],115)=1,H$7&gt;=INDEX(TblTareas[Semana],115),H$7&lt;INDEX(TblTareas[Semana],115)+INDEX(TblTareas[Duracion],115)),INDEX(TblTareas[Horas],115)/INDEX(TblTareas[Duracion],115),""))</f>
      </c>
      <c r="I122" s="64" t="str">
        <f>IF($A122="","",IF(AND(INDEX(TblTareas[Activa],115)=1,I$7&gt;=INDEX(TblTareas[Semana],115),I$7&lt;INDEX(TblTareas[Semana],115)+INDEX(TblTareas[Duracion],115)),INDEX(TblTareas[Horas],115)/INDEX(TblTareas[Duracion],115),""))</f>
      </c>
      <c r="J122" s="64" t="str">
        <f>IF($A122="","",IF(AND(INDEX(TblTareas[Activa],115)=1,J$7&gt;=INDEX(TblTareas[Semana],115),J$7&lt;INDEX(TblTareas[Semana],115)+INDEX(TblTareas[Duracion],115)),INDEX(TblTareas[Horas],115)/INDEX(TblTareas[Duracion],115),""))</f>
      </c>
      <c r="K122" s="64" t="str">
        <f>IF($A122="","",IF(AND(INDEX(TblTareas[Activa],115)=1,K$7&gt;=INDEX(TblTareas[Semana],115),K$7&lt;INDEX(TblTareas[Semana],115)+INDEX(TblTareas[Duracion],115)),INDEX(TblTareas[Horas],115)/INDEX(TblTareas[Duracion],115),""))</f>
      </c>
      <c r="L122" s="64" t="str">
        <f>IF($A122="","",IF(AND(INDEX(TblTareas[Activa],115)=1,L$7&gt;=INDEX(TblTareas[Semana],115),L$7&lt;INDEX(TblTareas[Semana],115)+INDEX(TblTareas[Duracion],115)),INDEX(TblTareas[Horas],115)/INDEX(TblTareas[Duracion],115),""))</f>
      </c>
      <c r="M122" s="64" t="str">
        <f>IF($A122="","",IF(AND(INDEX(TblTareas[Activa],115)=1,M$7&gt;=INDEX(TblTareas[Semana],115),M$7&lt;INDEX(TblTareas[Semana],115)+INDEX(TblTareas[Duracion],115)),INDEX(TblTareas[Horas],115)/INDEX(TblTareas[Duracion],115),""))</f>
      </c>
      <c r="N122" s="64" t="str">
        <f>IF($A122="","",IF(AND(INDEX(TblTareas[Activa],115)=1,N$7&gt;=INDEX(TblTareas[Semana],115),N$7&lt;INDEX(TblTareas[Semana],115)+INDEX(TblTareas[Duracion],115)),INDEX(TblTareas[Horas],115)/INDEX(TblTareas[Duracion],115),""))</f>
      </c>
      <c r="O122" s="64" t="str">
        <f>IF($A122="","",IF(AND(INDEX(TblTareas[Activa],115)=1,O$7&gt;=INDEX(TblTareas[Semana],115),O$7&lt;INDEX(TblTareas[Semana],115)+INDEX(TblTareas[Duracion],115)),INDEX(TblTareas[Horas],115)/INDEX(TblTareas[Duracion],115),""))</f>
      </c>
      <c r="P122" s="64" t="str">
        <f>IF($A122="","",IF(AND(INDEX(TblTareas[Activa],115)=1,P$7&gt;=INDEX(TblTareas[Semana],115),P$7&lt;INDEX(TblTareas[Semana],115)+INDEX(TblTareas[Duracion],115)),INDEX(TblTareas[Horas],115)/INDEX(TblTareas[Duracion],115),""))</f>
      </c>
      <c r="Q122" s="64" t="str">
        <f>IF($A122="","",IF(AND(INDEX(TblTareas[Activa],115)=1,Q$7&gt;=INDEX(TblTareas[Semana],115),Q$7&lt;INDEX(TblTareas[Semana],115)+INDEX(TblTareas[Duracion],115)),INDEX(TblTareas[Horas],115)/INDEX(TblTareas[Duracion],115),""))</f>
      </c>
      <c r="R122" s="64" t="str">
        <f>IF($A122="","",IF(AND(INDEX(TblTareas[Activa],115)=1,R$7&gt;=INDEX(TblTareas[Semana],115),R$7&lt;INDEX(TblTareas[Semana],115)+INDEX(TblTareas[Duracion],115)),INDEX(TblTareas[Horas],115)/INDEX(TblTareas[Duracion],115),""))</f>
      </c>
      <c r="S122" s="64" t="str">
        <f>IF($A122="","",IF(AND(INDEX(TblTareas[Activa],115)=1,S$7&gt;=INDEX(TblTareas[Semana],115),S$7&lt;INDEX(TblTareas[Semana],115)+INDEX(TblTareas[Duracion],115)),INDEX(TblTareas[Horas],115)/INDEX(TblTareas[Duracion],115),""))</f>
      </c>
      <c r="T122" s="64" t="str">
        <f>IF($A122="","",IF(AND(INDEX(TblTareas[Activa],115)=1,T$7&gt;=INDEX(TblTareas[Semana],115),T$7&lt;INDEX(TblTareas[Semana],115)+INDEX(TblTareas[Duracion],115)),INDEX(TblTareas[Horas],115)/INDEX(TblTareas[Duracion],115),""))</f>
      </c>
    </row>
    <row r="123" ht="34" customHeight="1">
      <c r="A123" s="62" t="str">
        <f>IFERROR(IF(INDEX(TblTareas[ID],116)="","",INDEX(TblTareas[ID],116)),"")</f>
      </c>
      <c r="B123" s="62" t="str">
        <f>IF($A123="","",IFERROR(INDEX(TblTareas[Responsable],116),""))</f>
      </c>
      <c r="C123" s="62" t="str">
        <f>IF($A123="","",IFERROR(INDEX(TblTareas[Trabajo],116),""))</f>
      </c>
      <c r="D123" s="62" t="str">
        <f>IF($A123="","",IFERROR(INDEX(TblTareas[Estado],116),""))</f>
      </c>
      <c r="E123" s="64" t="str">
        <f>IF($A123="","",IF(AND(INDEX(TblTareas[Activa],116)=1,E$7&gt;=INDEX(TblTareas[Semana],116),E$7&lt;INDEX(TblTareas[Semana],116)+INDEX(TblTareas[Duracion],116)),INDEX(TblTareas[Horas],116)/INDEX(TblTareas[Duracion],116),""))</f>
      </c>
      <c r="F123" s="64" t="str">
        <f>IF($A123="","",IF(AND(INDEX(TblTareas[Activa],116)=1,F$7&gt;=INDEX(TblTareas[Semana],116),F$7&lt;INDEX(TblTareas[Semana],116)+INDEX(TblTareas[Duracion],116)),INDEX(TblTareas[Horas],116)/INDEX(TblTareas[Duracion],116),""))</f>
      </c>
      <c r="G123" s="64" t="str">
        <f>IF($A123="","",IF(AND(INDEX(TblTareas[Activa],116)=1,G$7&gt;=INDEX(TblTareas[Semana],116),G$7&lt;INDEX(TblTareas[Semana],116)+INDEX(TblTareas[Duracion],116)),INDEX(TblTareas[Horas],116)/INDEX(TblTareas[Duracion],116),""))</f>
      </c>
      <c r="H123" s="64" t="str">
        <f>IF($A123="","",IF(AND(INDEX(TblTareas[Activa],116)=1,H$7&gt;=INDEX(TblTareas[Semana],116),H$7&lt;INDEX(TblTareas[Semana],116)+INDEX(TblTareas[Duracion],116)),INDEX(TblTareas[Horas],116)/INDEX(TblTareas[Duracion],116),""))</f>
      </c>
      <c r="I123" s="64" t="str">
        <f>IF($A123="","",IF(AND(INDEX(TblTareas[Activa],116)=1,I$7&gt;=INDEX(TblTareas[Semana],116),I$7&lt;INDEX(TblTareas[Semana],116)+INDEX(TblTareas[Duracion],116)),INDEX(TblTareas[Horas],116)/INDEX(TblTareas[Duracion],116),""))</f>
      </c>
      <c r="J123" s="64" t="str">
        <f>IF($A123="","",IF(AND(INDEX(TblTareas[Activa],116)=1,J$7&gt;=INDEX(TblTareas[Semana],116),J$7&lt;INDEX(TblTareas[Semana],116)+INDEX(TblTareas[Duracion],116)),INDEX(TblTareas[Horas],116)/INDEX(TblTareas[Duracion],116),""))</f>
      </c>
      <c r="K123" s="64" t="str">
        <f>IF($A123="","",IF(AND(INDEX(TblTareas[Activa],116)=1,K$7&gt;=INDEX(TblTareas[Semana],116),K$7&lt;INDEX(TblTareas[Semana],116)+INDEX(TblTareas[Duracion],116)),INDEX(TblTareas[Horas],116)/INDEX(TblTareas[Duracion],116),""))</f>
      </c>
      <c r="L123" s="64" t="str">
        <f>IF($A123="","",IF(AND(INDEX(TblTareas[Activa],116)=1,L$7&gt;=INDEX(TblTareas[Semana],116),L$7&lt;INDEX(TblTareas[Semana],116)+INDEX(TblTareas[Duracion],116)),INDEX(TblTareas[Horas],116)/INDEX(TblTareas[Duracion],116),""))</f>
      </c>
      <c r="M123" s="64" t="str">
        <f>IF($A123="","",IF(AND(INDEX(TblTareas[Activa],116)=1,M$7&gt;=INDEX(TblTareas[Semana],116),M$7&lt;INDEX(TblTareas[Semana],116)+INDEX(TblTareas[Duracion],116)),INDEX(TblTareas[Horas],116)/INDEX(TblTareas[Duracion],116),""))</f>
      </c>
      <c r="N123" s="64" t="str">
        <f>IF($A123="","",IF(AND(INDEX(TblTareas[Activa],116)=1,N$7&gt;=INDEX(TblTareas[Semana],116),N$7&lt;INDEX(TblTareas[Semana],116)+INDEX(TblTareas[Duracion],116)),INDEX(TblTareas[Horas],116)/INDEX(TblTareas[Duracion],116),""))</f>
      </c>
      <c r="O123" s="64" t="str">
        <f>IF($A123="","",IF(AND(INDEX(TblTareas[Activa],116)=1,O$7&gt;=INDEX(TblTareas[Semana],116),O$7&lt;INDEX(TblTareas[Semana],116)+INDEX(TblTareas[Duracion],116)),INDEX(TblTareas[Horas],116)/INDEX(TblTareas[Duracion],116),""))</f>
      </c>
      <c r="P123" s="64" t="str">
        <f>IF($A123="","",IF(AND(INDEX(TblTareas[Activa],116)=1,P$7&gt;=INDEX(TblTareas[Semana],116),P$7&lt;INDEX(TblTareas[Semana],116)+INDEX(TblTareas[Duracion],116)),INDEX(TblTareas[Horas],116)/INDEX(TblTareas[Duracion],116),""))</f>
      </c>
      <c r="Q123" s="64" t="str">
        <f>IF($A123="","",IF(AND(INDEX(TblTareas[Activa],116)=1,Q$7&gt;=INDEX(TblTareas[Semana],116),Q$7&lt;INDEX(TblTareas[Semana],116)+INDEX(TblTareas[Duracion],116)),INDEX(TblTareas[Horas],116)/INDEX(TblTareas[Duracion],116),""))</f>
      </c>
      <c r="R123" s="64" t="str">
        <f>IF($A123="","",IF(AND(INDEX(TblTareas[Activa],116)=1,R$7&gt;=INDEX(TblTareas[Semana],116),R$7&lt;INDEX(TblTareas[Semana],116)+INDEX(TblTareas[Duracion],116)),INDEX(TblTareas[Horas],116)/INDEX(TblTareas[Duracion],116),""))</f>
      </c>
      <c r="S123" s="64" t="str">
        <f>IF($A123="","",IF(AND(INDEX(TblTareas[Activa],116)=1,S$7&gt;=INDEX(TblTareas[Semana],116),S$7&lt;INDEX(TblTareas[Semana],116)+INDEX(TblTareas[Duracion],116)),INDEX(TblTareas[Horas],116)/INDEX(TblTareas[Duracion],116),""))</f>
      </c>
      <c r="T123" s="64" t="str">
        <f>IF($A123="","",IF(AND(INDEX(TblTareas[Activa],116)=1,T$7&gt;=INDEX(TblTareas[Semana],116),T$7&lt;INDEX(TblTareas[Semana],116)+INDEX(TblTareas[Duracion],116)),INDEX(TblTareas[Horas],116)/INDEX(TblTareas[Duracion],116),""))</f>
      </c>
    </row>
    <row r="124" ht="34" customHeight="1">
      <c r="A124" s="62" t="str">
        <f>IFERROR(IF(INDEX(TblTareas[ID],117)="","",INDEX(TblTareas[ID],117)),"")</f>
      </c>
      <c r="B124" s="62" t="str">
        <f>IF($A124="","",IFERROR(INDEX(TblTareas[Responsable],117),""))</f>
      </c>
      <c r="C124" s="62" t="str">
        <f>IF($A124="","",IFERROR(INDEX(TblTareas[Trabajo],117),""))</f>
      </c>
      <c r="D124" s="62" t="str">
        <f>IF($A124="","",IFERROR(INDEX(TblTareas[Estado],117),""))</f>
      </c>
      <c r="E124" s="64" t="str">
        <f>IF($A124="","",IF(AND(INDEX(TblTareas[Activa],117)=1,E$7&gt;=INDEX(TblTareas[Semana],117),E$7&lt;INDEX(TblTareas[Semana],117)+INDEX(TblTareas[Duracion],117)),INDEX(TblTareas[Horas],117)/INDEX(TblTareas[Duracion],117),""))</f>
      </c>
      <c r="F124" s="64" t="str">
        <f>IF($A124="","",IF(AND(INDEX(TblTareas[Activa],117)=1,F$7&gt;=INDEX(TblTareas[Semana],117),F$7&lt;INDEX(TblTareas[Semana],117)+INDEX(TblTareas[Duracion],117)),INDEX(TblTareas[Horas],117)/INDEX(TblTareas[Duracion],117),""))</f>
      </c>
      <c r="G124" s="64" t="str">
        <f>IF($A124="","",IF(AND(INDEX(TblTareas[Activa],117)=1,G$7&gt;=INDEX(TblTareas[Semana],117),G$7&lt;INDEX(TblTareas[Semana],117)+INDEX(TblTareas[Duracion],117)),INDEX(TblTareas[Horas],117)/INDEX(TblTareas[Duracion],117),""))</f>
      </c>
      <c r="H124" s="64" t="str">
        <f>IF($A124="","",IF(AND(INDEX(TblTareas[Activa],117)=1,H$7&gt;=INDEX(TblTareas[Semana],117),H$7&lt;INDEX(TblTareas[Semana],117)+INDEX(TblTareas[Duracion],117)),INDEX(TblTareas[Horas],117)/INDEX(TblTareas[Duracion],117),""))</f>
      </c>
      <c r="I124" s="64" t="str">
        <f>IF($A124="","",IF(AND(INDEX(TblTareas[Activa],117)=1,I$7&gt;=INDEX(TblTareas[Semana],117),I$7&lt;INDEX(TblTareas[Semana],117)+INDEX(TblTareas[Duracion],117)),INDEX(TblTareas[Horas],117)/INDEX(TblTareas[Duracion],117),""))</f>
      </c>
      <c r="J124" s="64" t="str">
        <f>IF($A124="","",IF(AND(INDEX(TblTareas[Activa],117)=1,J$7&gt;=INDEX(TblTareas[Semana],117),J$7&lt;INDEX(TblTareas[Semana],117)+INDEX(TblTareas[Duracion],117)),INDEX(TblTareas[Horas],117)/INDEX(TblTareas[Duracion],117),""))</f>
      </c>
      <c r="K124" s="64" t="str">
        <f>IF($A124="","",IF(AND(INDEX(TblTareas[Activa],117)=1,K$7&gt;=INDEX(TblTareas[Semana],117),K$7&lt;INDEX(TblTareas[Semana],117)+INDEX(TblTareas[Duracion],117)),INDEX(TblTareas[Horas],117)/INDEX(TblTareas[Duracion],117),""))</f>
      </c>
      <c r="L124" s="64" t="str">
        <f>IF($A124="","",IF(AND(INDEX(TblTareas[Activa],117)=1,L$7&gt;=INDEX(TblTareas[Semana],117),L$7&lt;INDEX(TblTareas[Semana],117)+INDEX(TblTareas[Duracion],117)),INDEX(TblTareas[Horas],117)/INDEX(TblTareas[Duracion],117),""))</f>
      </c>
      <c r="M124" s="64" t="str">
        <f>IF($A124="","",IF(AND(INDEX(TblTareas[Activa],117)=1,M$7&gt;=INDEX(TblTareas[Semana],117),M$7&lt;INDEX(TblTareas[Semana],117)+INDEX(TblTareas[Duracion],117)),INDEX(TblTareas[Horas],117)/INDEX(TblTareas[Duracion],117),""))</f>
      </c>
      <c r="N124" s="64" t="str">
        <f>IF($A124="","",IF(AND(INDEX(TblTareas[Activa],117)=1,N$7&gt;=INDEX(TblTareas[Semana],117),N$7&lt;INDEX(TblTareas[Semana],117)+INDEX(TblTareas[Duracion],117)),INDEX(TblTareas[Horas],117)/INDEX(TblTareas[Duracion],117),""))</f>
      </c>
      <c r="O124" s="64" t="str">
        <f>IF($A124="","",IF(AND(INDEX(TblTareas[Activa],117)=1,O$7&gt;=INDEX(TblTareas[Semana],117),O$7&lt;INDEX(TblTareas[Semana],117)+INDEX(TblTareas[Duracion],117)),INDEX(TblTareas[Horas],117)/INDEX(TblTareas[Duracion],117),""))</f>
      </c>
      <c r="P124" s="64" t="str">
        <f>IF($A124="","",IF(AND(INDEX(TblTareas[Activa],117)=1,P$7&gt;=INDEX(TblTareas[Semana],117),P$7&lt;INDEX(TblTareas[Semana],117)+INDEX(TblTareas[Duracion],117)),INDEX(TblTareas[Horas],117)/INDEX(TblTareas[Duracion],117),""))</f>
      </c>
      <c r="Q124" s="64" t="str">
        <f>IF($A124="","",IF(AND(INDEX(TblTareas[Activa],117)=1,Q$7&gt;=INDEX(TblTareas[Semana],117),Q$7&lt;INDEX(TblTareas[Semana],117)+INDEX(TblTareas[Duracion],117)),INDEX(TblTareas[Horas],117)/INDEX(TblTareas[Duracion],117),""))</f>
      </c>
      <c r="R124" s="64" t="str">
        <f>IF($A124="","",IF(AND(INDEX(TblTareas[Activa],117)=1,R$7&gt;=INDEX(TblTareas[Semana],117),R$7&lt;INDEX(TblTareas[Semana],117)+INDEX(TblTareas[Duracion],117)),INDEX(TblTareas[Horas],117)/INDEX(TblTareas[Duracion],117),""))</f>
      </c>
      <c r="S124" s="64" t="str">
        <f>IF($A124="","",IF(AND(INDEX(TblTareas[Activa],117)=1,S$7&gt;=INDEX(TblTareas[Semana],117),S$7&lt;INDEX(TblTareas[Semana],117)+INDEX(TblTareas[Duracion],117)),INDEX(TblTareas[Horas],117)/INDEX(TblTareas[Duracion],117),""))</f>
      </c>
      <c r="T124" s="64" t="str">
        <f>IF($A124="","",IF(AND(INDEX(TblTareas[Activa],117)=1,T$7&gt;=INDEX(TblTareas[Semana],117),T$7&lt;INDEX(TblTareas[Semana],117)+INDEX(TblTareas[Duracion],117)),INDEX(TblTareas[Horas],117)/INDEX(TblTareas[Duracion],117),""))</f>
      </c>
    </row>
    <row r="125" ht="34" customHeight="1">
      <c r="A125" s="62" t="str">
        <f>IFERROR(IF(INDEX(TblTareas[ID],118)="","",INDEX(TblTareas[ID],118)),"")</f>
      </c>
      <c r="B125" s="62" t="str">
        <f>IF($A125="","",IFERROR(INDEX(TblTareas[Responsable],118),""))</f>
      </c>
      <c r="C125" s="62" t="str">
        <f>IF($A125="","",IFERROR(INDEX(TblTareas[Trabajo],118),""))</f>
      </c>
      <c r="D125" s="62" t="str">
        <f>IF($A125="","",IFERROR(INDEX(TblTareas[Estado],118),""))</f>
      </c>
      <c r="E125" s="64" t="str">
        <f>IF($A125="","",IF(AND(INDEX(TblTareas[Activa],118)=1,E$7&gt;=INDEX(TblTareas[Semana],118),E$7&lt;INDEX(TblTareas[Semana],118)+INDEX(TblTareas[Duracion],118)),INDEX(TblTareas[Horas],118)/INDEX(TblTareas[Duracion],118),""))</f>
      </c>
      <c r="F125" s="64" t="str">
        <f>IF($A125="","",IF(AND(INDEX(TblTareas[Activa],118)=1,F$7&gt;=INDEX(TblTareas[Semana],118),F$7&lt;INDEX(TblTareas[Semana],118)+INDEX(TblTareas[Duracion],118)),INDEX(TblTareas[Horas],118)/INDEX(TblTareas[Duracion],118),""))</f>
      </c>
      <c r="G125" s="64" t="str">
        <f>IF($A125="","",IF(AND(INDEX(TblTareas[Activa],118)=1,G$7&gt;=INDEX(TblTareas[Semana],118),G$7&lt;INDEX(TblTareas[Semana],118)+INDEX(TblTareas[Duracion],118)),INDEX(TblTareas[Horas],118)/INDEX(TblTareas[Duracion],118),""))</f>
      </c>
      <c r="H125" s="64" t="str">
        <f>IF($A125="","",IF(AND(INDEX(TblTareas[Activa],118)=1,H$7&gt;=INDEX(TblTareas[Semana],118),H$7&lt;INDEX(TblTareas[Semana],118)+INDEX(TblTareas[Duracion],118)),INDEX(TblTareas[Horas],118)/INDEX(TblTareas[Duracion],118),""))</f>
      </c>
      <c r="I125" s="64" t="str">
        <f>IF($A125="","",IF(AND(INDEX(TblTareas[Activa],118)=1,I$7&gt;=INDEX(TblTareas[Semana],118),I$7&lt;INDEX(TblTareas[Semana],118)+INDEX(TblTareas[Duracion],118)),INDEX(TblTareas[Horas],118)/INDEX(TblTareas[Duracion],118),""))</f>
      </c>
      <c r="J125" s="64" t="str">
        <f>IF($A125="","",IF(AND(INDEX(TblTareas[Activa],118)=1,J$7&gt;=INDEX(TblTareas[Semana],118),J$7&lt;INDEX(TblTareas[Semana],118)+INDEX(TblTareas[Duracion],118)),INDEX(TblTareas[Horas],118)/INDEX(TblTareas[Duracion],118),""))</f>
      </c>
      <c r="K125" s="64" t="str">
        <f>IF($A125="","",IF(AND(INDEX(TblTareas[Activa],118)=1,K$7&gt;=INDEX(TblTareas[Semana],118),K$7&lt;INDEX(TblTareas[Semana],118)+INDEX(TblTareas[Duracion],118)),INDEX(TblTareas[Horas],118)/INDEX(TblTareas[Duracion],118),""))</f>
      </c>
      <c r="L125" s="64" t="str">
        <f>IF($A125="","",IF(AND(INDEX(TblTareas[Activa],118)=1,L$7&gt;=INDEX(TblTareas[Semana],118),L$7&lt;INDEX(TblTareas[Semana],118)+INDEX(TblTareas[Duracion],118)),INDEX(TblTareas[Horas],118)/INDEX(TblTareas[Duracion],118),""))</f>
      </c>
      <c r="M125" s="64" t="str">
        <f>IF($A125="","",IF(AND(INDEX(TblTareas[Activa],118)=1,M$7&gt;=INDEX(TblTareas[Semana],118),M$7&lt;INDEX(TblTareas[Semana],118)+INDEX(TblTareas[Duracion],118)),INDEX(TblTareas[Horas],118)/INDEX(TblTareas[Duracion],118),""))</f>
      </c>
      <c r="N125" s="64" t="str">
        <f>IF($A125="","",IF(AND(INDEX(TblTareas[Activa],118)=1,N$7&gt;=INDEX(TblTareas[Semana],118),N$7&lt;INDEX(TblTareas[Semana],118)+INDEX(TblTareas[Duracion],118)),INDEX(TblTareas[Horas],118)/INDEX(TblTareas[Duracion],118),""))</f>
      </c>
      <c r="O125" s="64" t="str">
        <f>IF($A125="","",IF(AND(INDEX(TblTareas[Activa],118)=1,O$7&gt;=INDEX(TblTareas[Semana],118),O$7&lt;INDEX(TblTareas[Semana],118)+INDEX(TblTareas[Duracion],118)),INDEX(TblTareas[Horas],118)/INDEX(TblTareas[Duracion],118),""))</f>
      </c>
      <c r="P125" s="64" t="str">
        <f>IF($A125="","",IF(AND(INDEX(TblTareas[Activa],118)=1,P$7&gt;=INDEX(TblTareas[Semana],118),P$7&lt;INDEX(TblTareas[Semana],118)+INDEX(TblTareas[Duracion],118)),INDEX(TblTareas[Horas],118)/INDEX(TblTareas[Duracion],118),""))</f>
      </c>
      <c r="Q125" s="64" t="str">
        <f>IF($A125="","",IF(AND(INDEX(TblTareas[Activa],118)=1,Q$7&gt;=INDEX(TblTareas[Semana],118),Q$7&lt;INDEX(TblTareas[Semana],118)+INDEX(TblTareas[Duracion],118)),INDEX(TblTareas[Horas],118)/INDEX(TblTareas[Duracion],118),""))</f>
      </c>
      <c r="R125" s="64" t="str">
        <f>IF($A125="","",IF(AND(INDEX(TblTareas[Activa],118)=1,R$7&gt;=INDEX(TblTareas[Semana],118),R$7&lt;INDEX(TblTareas[Semana],118)+INDEX(TblTareas[Duracion],118)),INDEX(TblTareas[Horas],118)/INDEX(TblTareas[Duracion],118),""))</f>
      </c>
      <c r="S125" s="64" t="str">
        <f>IF($A125="","",IF(AND(INDEX(TblTareas[Activa],118)=1,S$7&gt;=INDEX(TblTareas[Semana],118),S$7&lt;INDEX(TblTareas[Semana],118)+INDEX(TblTareas[Duracion],118)),INDEX(TblTareas[Horas],118)/INDEX(TblTareas[Duracion],118),""))</f>
      </c>
      <c r="T125" s="64" t="str">
        <f>IF($A125="","",IF(AND(INDEX(TblTareas[Activa],118)=1,T$7&gt;=INDEX(TblTareas[Semana],118),T$7&lt;INDEX(TblTareas[Semana],118)+INDEX(TblTareas[Duracion],118)),INDEX(TblTareas[Horas],118)/INDEX(TblTareas[Duracion],118),""))</f>
      </c>
    </row>
    <row r="126" ht="34" customHeight="1">
      <c r="A126" s="62" t="str">
        <f>IFERROR(IF(INDEX(TblTareas[ID],119)="","",INDEX(TblTareas[ID],119)),"")</f>
      </c>
      <c r="B126" s="62" t="str">
        <f>IF($A126="","",IFERROR(INDEX(TblTareas[Responsable],119),""))</f>
      </c>
      <c r="C126" s="62" t="str">
        <f>IF($A126="","",IFERROR(INDEX(TblTareas[Trabajo],119),""))</f>
      </c>
      <c r="D126" s="62" t="str">
        <f>IF($A126="","",IFERROR(INDEX(TblTareas[Estado],119),""))</f>
      </c>
      <c r="E126" s="64" t="str">
        <f>IF($A126="","",IF(AND(INDEX(TblTareas[Activa],119)=1,E$7&gt;=INDEX(TblTareas[Semana],119),E$7&lt;INDEX(TblTareas[Semana],119)+INDEX(TblTareas[Duracion],119)),INDEX(TblTareas[Horas],119)/INDEX(TblTareas[Duracion],119),""))</f>
      </c>
      <c r="F126" s="64" t="str">
        <f>IF($A126="","",IF(AND(INDEX(TblTareas[Activa],119)=1,F$7&gt;=INDEX(TblTareas[Semana],119),F$7&lt;INDEX(TblTareas[Semana],119)+INDEX(TblTareas[Duracion],119)),INDEX(TblTareas[Horas],119)/INDEX(TblTareas[Duracion],119),""))</f>
      </c>
      <c r="G126" s="64" t="str">
        <f>IF($A126="","",IF(AND(INDEX(TblTareas[Activa],119)=1,G$7&gt;=INDEX(TblTareas[Semana],119),G$7&lt;INDEX(TblTareas[Semana],119)+INDEX(TblTareas[Duracion],119)),INDEX(TblTareas[Horas],119)/INDEX(TblTareas[Duracion],119),""))</f>
      </c>
      <c r="H126" s="64" t="str">
        <f>IF($A126="","",IF(AND(INDEX(TblTareas[Activa],119)=1,H$7&gt;=INDEX(TblTareas[Semana],119),H$7&lt;INDEX(TblTareas[Semana],119)+INDEX(TblTareas[Duracion],119)),INDEX(TblTareas[Horas],119)/INDEX(TblTareas[Duracion],119),""))</f>
      </c>
      <c r="I126" s="64" t="str">
        <f>IF($A126="","",IF(AND(INDEX(TblTareas[Activa],119)=1,I$7&gt;=INDEX(TblTareas[Semana],119),I$7&lt;INDEX(TblTareas[Semana],119)+INDEX(TblTareas[Duracion],119)),INDEX(TblTareas[Horas],119)/INDEX(TblTareas[Duracion],119),""))</f>
      </c>
      <c r="J126" s="64" t="str">
        <f>IF($A126="","",IF(AND(INDEX(TblTareas[Activa],119)=1,J$7&gt;=INDEX(TblTareas[Semana],119),J$7&lt;INDEX(TblTareas[Semana],119)+INDEX(TblTareas[Duracion],119)),INDEX(TblTareas[Horas],119)/INDEX(TblTareas[Duracion],119),""))</f>
      </c>
      <c r="K126" s="64" t="str">
        <f>IF($A126="","",IF(AND(INDEX(TblTareas[Activa],119)=1,K$7&gt;=INDEX(TblTareas[Semana],119),K$7&lt;INDEX(TblTareas[Semana],119)+INDEX(TblTareas[Duracion],119)),INDEX(TblTareas[Horas],119)/INDEX(TblTareas[Duracion],119),""))</f>
      </c>
      <c r="L126" s="64" t="str">
        <f>IF($A126="","",IF(AND(INDEX(TblTareas[Activa],119)=1,L$7&gt;=INDEX(TblTareas[Semana],119),L$7&lt;INDEX(TblTareas[Semana],119)+INDEX(TblTareas[Duracion],119)),INDEX(TblTareas[Horas],119)/INDEX(TblTareas[Duracion],119),""))</f>
      </c>
      <c r="M126" s="64" t="str">
        <f>IF($A126="","",IF(AND(INDEX(TblTareas[Activa],119)=1,M$7&gt;=INDEX(TblTareas[Semana],119),M$7&lt;INDEX(TblTareas[Semana],119)+INDEX(TblTareas[Duracion],119)),INDEX(TblTareas[Horas],119)/INDEX(TblTareas[Duracion],119),""))</f>
      </c>
      <c r="N126" s="64" t="str">
        <f>IF($A126="","",IF(AND(INDEX(TblTareas[Activa],119)=1,N$7&gt;=INDEX(TblTareas[Semana],119),N$7&lt;INDEX(TblTareas[Semana],119)+INDEX(TblTareas[Duracion],119)),INDEX(TblTareas[Horas],119)/INDEX(TblTareas[Duracion],119),""))</f>
      </c>
      <c r="O126" s="64" t="str">
        <f>IF($A126="","",IF(AND(INDEX(TblTareas[Activa],119)=1,O$7&gt;=INDEX(TblTareas[Semana],119),O$7&lt;INDEX(TblTareas[Semana],119)+INDEX(TblTareas[Duracion],119)),INDEX(TblTareas[Horas],119)/INDEX(TblTareas[Duracion],119),""))</f>
      </c>
      <c r="P126" s="64" t="str">
        <f>IF($A126="","",IF(AND(INDEX(TblTareas[Activa],119)=1,P$7&gt;=INDEX(TblTareas[Semana],119),P$7&lt;INDEX(TblTareas[Semana],119)+INDEX(TblTareas[Duracion],119)),INDEX(TblTareas[Horas],119)/INDEX(TblTareas[Duracion],119),""))</f>
      </c>
      <c r="Q126" s="64" t="str">
        <f>IF($A126="","",IF(AND(INDEX(TblTareas[Activa],119)=1,Q$7&gt;=INDEX(TblTareas[Semana],119),Q$7&lt;INDEX(TblTareas[Semana],119)+INDEX(TblTareas[Duracion],119)),INDEX(TblTareas[Horas],119)/INDEX(TblTareas[Duracion],119),""))</f>
      </c>
      <c r="R126" s="64" t="str">
        <f>IF($A126="","",IF(AND(INDEX(TblTareas[Activa],119)=1,R$7&gt;=INDEX(TblTareas[Semana],119),R$7&lt;INDEX(TblTareas[Semana],119)+INDEX(TblTareas[Duracion],119)),INDEX(TblTareas[Horas],119)/INDEX(TblTareas[Duracion],119),""))</f>
      </c>
      <c r="S126" s="64" t="str">
        <f>IF($A126="","",IF(AND(INDEX(TblTareas[Activa],119)=1,S$7&gt;=INDEX(TblTareas[Semana],119),S$7&lt;INDEX(TblTareas[Semana],119)+INDEX(TblTareas[Duracion],119)),INDEX(TblTareas[Horas],119)/INDEX(TblTareas[Duracion],119),""))</f>
      </c>
      <c r="T126" s="64" t="str">
        <f>IF($A126="","",IF(AND(INDEX(TblTareas[Activa],119)=1,T$7&gt;=INDEX(TblTareas[Semana],119),T$7&lt;INDEX(TblTareas[Semana],119)+INDEX(TblTareas[Duracion],119)),INDEX(TblTareas[Horas],119)/INDEX(TblTareas[Duracion],119),""))</f>
      </c>
    </row>
    <row r="127" ht="34" customHeight="1">
      <c r="A127" s="62" t="str">
        <f>IFERROR(IF(INDEX(TblTareas[ID],120)="","",INDEX(TblTareas[ID],120)),"")</f>
      </c>
      <c r="B127" s="62" t="str">
        <f>IF($A127="","",IFERROR(INDEX(TblTareas[Responsable],120),""))</f>
      </c>
      <c r="C127" s="62" t="str">
        <f>IF($A127="","",IFERROR(INDEX(TblTareas[Trabajo],120),""))</f>
      </c>
      <c r="D127" s="62" t="str">
        <f>IF($A127="","",IFERROR(INDEX(TblTareas[Estado],120),""))</f>
      </c>
      <c r="E127" s="64" t="str">
        <f>IF($A127="","",IF(AND(INDEX(TblTareas[Activa],120)=1,E$7&gt;=INDEX(TblTareas[Semana],120),E$7&lt;INDEX(TblTareas[Semana],120)+INDEX(TblTareas[Duracion],120)),INDEX(TblTareas[Horas],120)/INDEX(TblTareas[Duracion],120),""))</f>
      </c>
      <c r="F127" s="64" t="str">
        <f>IF($A127="","",IF(AND(INDEX(TblTareas[Activa],120)=1,F$7&gt;=INDEX(TblTareas[Semana],120),F$7&lt;INDEX(TblTareas[Semana],120)+INDEX(TblTareas[Duracion],120)),INDEX(TblTareas[Horas],120)/INDEX(TblTareas[Duracion],120),""))</f>
      </c>
      <c r="G127" s="64" t="str">
        <f>IF($A127="","",IF(AND(INDEX(TblTareas[Activa],120)=1,G$7&gt;=INDEX(TblTareas[Semana],120),G$7&lt;INDEX(TblTareas[Semana],120)+INDEX(TblTareas[Duracion],120)),INDEX(TblTareas[Horas],120)/INDEX(TblTareas[Duracion],120),""))</f>
      </c>
      <c r="H127" s="64" t="str">
        <f>IF($A127="","",IF(AND(INDEX(TblTareas[Activa],120)=1,H$7&gt;=INDEX(TblTareas[Semana],120),H$7&lt;INDEX(TblTareas[Semana],120)+INDEX(TblTareas[Duracion],120)),INDEX(TblTareas[Horas],120)/INDEX(TblTareas[Duracion],120),""))</f>
      </c>
      <c r="I127" s="64" t="str">
        <f>IF($A127="","",IF(AND(INDEX(TblTareas[Activa],120)=1,I$7&gt;=INDEX(TblTareas[Semana],120),I$7&lt;INDEX(TblTareas[Semana],120)+INDEX(TblTareas[Duracion],120)),INDEX(TblTareas[Horas],120)/INDEX(TblTareas[Duracion],120),""))</f>
      </c>
      <c r="J127" s="64" t="str">
        <f>IF($A127="","",IF(AND(INDEX(TblTareas[Activa],120)=1,J$7&gt;=INDEX(TblTareas[Semana],120),J$7&lt;INDEX(TblTareas[Semana],120)+INDEX(TblTareas[Duracion],120)),INDEX(TblTareas[Horas],120)/INDEX(TblTareas[Duracion],120),""))</f>
      </c>
      <c r="K127" s="64" t="str">
        <f>IF($A127="","",IF(AND(INDEX(TblTareas[Activa],120)=1,K$7&gt;=INDEX(TblTareas[Semana],120),K$7&lt;INDEX(TblTareas[Semana],120)+INDEX(TblTareas[Duracion],120)),INDEX(TblTareas[Horas],120)/INDEX(TblTareas[Duracion],120),""))</f>
      </c>
      <c r="L127" s="64" t="str">
        <f>IF($A127="","",IF(AND(INDEX(TblTareas[Activa],120)=1,L$7&gt;=INDEX(TblTareas[Semana],120),L$7&lt;INDEX(TblTareas[Semana],120)+INDEX(TblTareas[Duracion],120)),INDEX(TblTareas[Horas],120)/INDEX(TblTareas[Duracion],120),""))</f>
      </c>
      <c r="M127" s="64" t="str">
        <f>IF($A127="","",IF(AND(INDEX(TblTareas[Activa],120)=1,M$7&gt;=INDEX(TblTareas[Semana],120),M$7&lt;INDEX(TblTareas[Semana],120)+INDEX(TblTareas[Duracion],120)),INDEX(TblTareas[Horas],120)/INDEX(TblTareas[Duracion],120),""))</f>
      </c>
      <c r="N127" s="64" t="str">
        <f>IF($A127="","",IF(AND(INDEX(TblTareas[Activa],120)=1,N$7&gt;=INDEX(TblTareas[Semana],120),N$7&lt;INDEX(TblTareas[Semana],120)+INDEX(TblTareas[Duracion],120)),INDEX(TblTareas[Horas],120)/INDEX(TblTareas[Duracion],120),""))</f>
      </c>
      <c r="O127" s="64" t="str">
        <f>IF($A127="","",IF(AND(INDEX(TblTareas[Activa],120)=1,O$7&gt;=INDEX(TblTareas[Semana],120),O$7&lt;INDEX(TblTareas[Semana],120)+INDEX(TblTareas[Duracion],120)),INDEX(TblTareas[Horas],120)/INDEX(TblTareas[Duracion],120),""))</f>
      </c>
      <c r="P127" s="64" t="str">
        <f>IF($A127="","",IF(AND(INDEX(TblTareas[Activa],120)=1,P$7&gt;=INDEX(TblTareas[Semana],120),P$7&lt;INDEX(TblTareas[Semana],120)+INDEX(TblTareas[Duracion],120)),INDEX(TblTareas[Horas],120)/INDEX(TblTareas[Duracion],120),""))</f>
      </c>
      <c r="Q127" s="64" t="str">
        <f>IF($A127="","",IF(AND(INDEX(TblTareas[Activa],120)=1,Q$7&gt;=INDEX(TblTareas[Semana],120),Q$7&lt;INDEX(TblTareas[Semana],120)+INDEX(TblTareas[Duracion],120)),INDEX(TblTareas[Horas],120)/INDEX(TblTareas[Duracion],120),""))</f>
      </c>
      <c r="R127" s="64" t="str">
        <f>IF($A127="","",IF(AND(INDEX(TblTareas[Activa],120)=1,R$7&gt;=INDEX(TblTareas[Semana],120),R$7&lt;INDEX(TblTareas[Semana],120)+INDEX(TblTareas[Duracion],120)),INDEX(TblTareas[Horas],120)/INDEX(TblTareas[Duracion],120),""))</f>
      </c>
      <c r="S127" s="64" t="str">
        <f>IF($A127="","",IF(AND(INDEX(TblTareas[Activa],120)=1,S$7&gt;=INDEX(TblTareas[Semana],120),S$7&lt;INDEX(TblTareas[Semana],120)+INDEX(TblTareas[Duracion],120)),INDEX(TblTareas[Horas],120)/INDEX(TblTareas[Duracion],120),""))</f>
      </c>
      <c r="T127" s="64" t="str">
        <f>IF($A127="","",IF(AND(INDEX(TblTareas[Activa],120)=1,T$7&gt;=INDEX(TblTareas[Semana],120),T$7&lt;INDEX(TblTareas[Semana],120)+INDEX(TblTareas[Duracion],120)),INDEX(TblTareas[Horas],120)/INDEX(TblTareas[Duracion],120),""))</f>
      </c>
    </row>
    <row r="128" ht="34" customHeight="1">
      <c r="A128" s="62" t="str">
        <f>IFERROR(IF(INDEX(TblTareas[ID],121)="","",INDEX(TblTareas[ID],121)),"")</f>
      </c>
      <c r="B128" s="62" t="str">
        <f>IF($A128="","",IFERROR(INDEX(TblTareas[Responsable],121),""))</f>
      </c>
      <c r="C128" s="62" t="str">
        <f>IF($A128="","",IFERROR(INDEX(TblTareas[Trabajo],121),""))</f>
      </c>
      <c r="D128" s="62" t="str">
        <f>IF($A128="","",IFERROR(INDEX(TblTareas[Estado],121),""))</f>
      </c>
      <c r="E128" s="64" t="str">
        <f>IF($A128="","",IF(AND(INDEX(TblTareas[Activa],121)=1,E$7&gt;=INDEX(TblTareas[Semana],121),E$7&lt;INDEX(TblTareas[Semana],121)+INDEX(TblTareas[Duracion],121)),INDEX(TblTareas[Horas],121)/INDEX(TblTareas[Duracion],121),""))</f>
      </c>
      <c r="F128" s="64" t="str">
        <f>IF($A128="","",IF(AND(INDEX(TblTareas[Activa],121)=1,F$7&gt;=INDEX(TblTareas[Semana],121),F$7&lt;INDEX(TblTareas[Semana],121)+INDEX(TblTareas[Duracion],121)),INDEX(TblTareas[Horas],121)/INDEX(TblTareas[Duracion],121),""))</f>
      </c>
      <c r="G128" s="64" t="str">
        <f>IF($A128="","",IF(AND(INDEX(TblTareas[Activa],121)=1,G$7&gt;=INDEX(TblTareas[Semana],121),G$7&lt;INDEX(TblTareas[Semana],121)+INDEX(TblTareas[Duracion],121)),INDEX(TblTareas[Horas],121)/INDEX(TblTareas[Duracion],121),""))</f>
      </c>
      <c r="H128" s="64" t="str">
        <f>IF($A128="","",IF(AND(INDEX(TblTareas[Activa],121)=1,H$7&gt;=INDEX(TblTareas[Semana],121),H$7&lt;INDEX(TblTareas[Semana],121)+INDEX(TblTareas[Duracion],121)),INDEX(TblTareas[Horas],121)/INDEX(TblTareas[Duracion],121),""))</f>
      </c>
      <c r="I128" s="64" t="str">
        <f>IF($A128="","",IF(AND(INDEX(TblTareas[Activa],121)=1,I$7&gt;=INDEX(TblTareas[Semana],121),I$7&lt;INDEX(TblTareas[Semana],121)+INDEX(TblTareas[Duracion],121)),INDEX(TblTareas[Horas],121)/INDEX(TblTareas[Duracion],121),""))</f>
      </c>
      <c r="J128" s="64" t="str">
        <f>IF($A128="","",IF(AND(INDEX(TblTareas[Activa],121)=1,J$7&gt;=INDEX(TblTareas[Semana],121),J$7&lt;INDEX(TblTareas[Semana],121)+INDEX(TblTareas[Duracion],121)),INDEX(TblTareas[Horas],121)/INDEX(TblTareas[Duracion],121),""))</f>
      </c>
      <c r="K128" s="64" t="str">
        <f>IF($A128="","",IF(AND(INDEX(TblTareas[Activa],121)=1,K$7&gt;=INDEX(TblTareas[Semana],121),K$7&lt;INDEX(TblTareas[Semana],121)+INDEX(TblTareas[Duracion],121)),INDEX(TblTareas[Horas],121)/INDEX(TblTareas[Duracion],121),""))</f>
      </c>
      <c r="L128" s="64" t="str">
        <f>IF($A128="","",IF(AND(INDEX(TblTareas[Activa],121)=1,L$7&gt;=INDEX(TblTareas[Semana],121),L$7&lt;INDEX(TblTareas[Semana],121)+INDEX(TblTareas[Duracion],121)),INDEX(TblTareas[Horas],121)/INDEX(TblTareas[Duracion],121),""))</f>
      </c>
      <c r="M128" s="64" t="str">
        <f>IF($A128="","",IF(AND(INDEX(TblTareas[Activa],121)=1,M$7&gt;=INDEX(TblTareas[Semana],121),M$7&lt;INDEX(TblTareas[Semana],121)+INDEX(TblTareas[Duracion],121)),INDEX(TblTareas[Horas],121)/INDEX(TblTareas[Duracion],121),""))</f>
      </c>
      <c r="N128" s="64" t="str">
        <f>IF($A128="","",IF(AND(INDEX(TblTareas[Activa],121)=1,N$7&gt;=INDEX(TblTareas[Semana],121),N$7&lt;INDEX(TblTareas[Semana],121)+INDEX(TblTareas[Duracion],121)),INDEX(TblTareas[Horas],121)/INDEX(TblTareas[Duracion],121),""))</f>
      </c>
      <c r="O128" s="64" t="str">
        <f>IF($A128="","",IF(AND(INDEX(TblTareas[Activa],121)=1,O$7&gt;=INDEX(TblTareas[Semana],121),O$7&lt;INDEX(TblTareas[Semana],121)+INDEX(TblTareas[Duracion],121)),INDEX(TblTareas[Horas],121)/INDEX(TblTareas[Duracion],121),""))</f>
      </c>
      <c r="P128" s="64" t="str">
        <f>IF($A128="","",IF(AND(INDEX(TblTareas[Activa],121)=1,P$7&gt;=INDEX(TblTareas[Semana],121),P$7&lt;INDEX(TblTareas[Semana],121)+INDEX(TblTareas[Duracion],121)),INDEX(TblTareas[Horas],121)/INDEX(TblTareas[Duracion],121),""))</f>
      </c>
      <c r="Q128" s="64" t="str">
        <f>IF($A128="","",IF(AND(INDEX(TblTareas[Activa],121)=1,Q$7&gt;=INDEX(TblTareas[Semana],121),Q$7&lt;INDEX(TblTareas[Semana],121)+INDEX(TblTareas[Duracion],121)),INDEX(TblTareas[Horas],121)/INDEX(TblTareas[Duracion],121),""))</f>
      </c>
      <c r="R128" s="64" t="str">
        <f>IF($A128="","",IF(AND(INDEX(TblTareas[Activa],121)=1,R$7&gt;=INDEX(TblTareas[Semana],121),R$7&lt;INDEX(TblTareas[Semana],121)+INDEX(TblTareas[Duracion],121)),INDEX(TblTareas[Horas],121)/INDEX(TblTareas[Duracion],121),""))</f>
      </c>
      <c r="S128" s="64" t="str">
        <f>IF($A128="","",IF(AND(INDEX(TblTareas[Activa],121)=1,S$7&gt;=INDEX(TblTareas[Semana],121),S$7&lt;INDEX(TblTareas[Semana],121)+INDEX(TblTareas[Duracion],121)),INDEX(TblTareas[Horas],121)/INDEX(TblTareas[Duracion],121),""))</f>
      </c>
      <c r="T128" s="64" t="str">
        <f>IF($A128="","",IF(AND(INDEX(TblTareas[Activa],121)=1,T$7&gt;=INDEX(TblTareas[Semana],121),T$7&lt;INDEX(TblTareas[Semana],121)+INDEX(TblTareas[Duracion],121)),INDEX(TblTareas[Horas],121)/INDEX(TblTareas[Duracion],121),""))</f>
      </c>
    </row>
    <row r="129" ht="34" customHeight="1">
      <c r="A129" s="62" t="str">
        <f>IFERROR(IF(INDEX(TblTareas[ID],122)="","",INDEX(TblTareas[ID],122)),"")</f>
      </c>
      <c r="B129" s="62" t="str">
        <f>IF($A129="","",IFERROR(INDEX(TblTareas[Responsable],122),""))</f>
      </c>
      <c r="C129" s="62" t="str">
        <f>IF($A129="","",IFERROR(INDEX(TblTareas[Trabajo],122),""))</f>
      </c>
      <c r="D129" s="62" t="str">
        <f>IF($A129="","",IFERROR(INDEX(TblTareas[Estado],122),""))</f>
      </c>
      <c r="E129" s="64" t="str">
        <f>IF($A129="","",IF(AND(INDEX(TblTareas[Activa],122)=1,E$7&gt;=INDEX(TblTareas[Semana],122),E$7&lt;INDEX(TblTareas[Semana],122)+INDEX(TblTareas[Duracion],122)),INDEX(TblTareas[Horas],122)/INDEX(TblTareas[Duracion],122),""))</f>
      </c>
      <c r="F129" s="64" t="str">
        <f>IF($A129="","",IF(AND(INDEX(TblTareas[Activa],122)=1,F$7&gt;=INDEX(TblTareas[Semana],122),F$7&lt;INDEX(TblTareas[Semana],122)+INDEX(TblTareas[Duracion],122)),INDEX(TblTareas[Horas],122)/INDEX(TblTareas[Duracion],122),""))</f>
      </c>
      <c r="G129" s="64" t="str">
        <f>IF($A129="","",IF(AND(INDEX(TblTareas[Activa],122)=1,G$7&gt;=INDEX(TblTareas[Semana],122),G$7&lt;INDEX(TblTareas[Semana],122)+INDEX(TblTareas[Duracion],122)),INDEX(TblTareas[Horas],122)/INDEX(TblTareas[Duracion],122),""))</f>
      </c>
      <c r="H129" s="64" t="str">
        <f>IF($A129="","",IF(AND(INDEX(TblTareas[Activa],122)=1,H$7&gt;=INDEX(TblTareas[Semana],122),H$7&lt;INDEX(TblTareas[Semana],122)+INDEX(TblTareas[Duracion],122)),INDEX(TblTareas[Horas],122)/INDEX(TblTareas[Duracion],122),""))</f>
      </c>
      <c r="I129" s="64" t="str">
        <f>IF($A129="","",IF(AND(INDEX(TblTareas[Activa],122)=1,I$7&gt;=INDEX(TblTareas[Semana],122),I$7&lt;INDEX(TblTareas[Semana],122)+INDEX(TblTareas[Duracion],122)),INDEX(TblTareas[Horas],122)/INDEX(TblTareas[Duracion],122),""))</f>
      </c>
      <c r="J129" s="64" t="str">
        <f>IF($A129="","",IF(AND(INDEX(TblTareas[Activa],122)=1,J$7&gt;=INDEX(TblTareas[Semana],122),J$7&lt;INDEX(TblTareas[Semana],122)+INDEX(TblTareas[Duracion],122)),INDEX(TblTareas[Horas],122)/INDEX(TblTareas[Duracion],122),""))</f>
      </c>
      <c r="K129" s="64" t="str">
        <f>IF($A129="","",IF(AND(INDEX(TblTareas[Activa],122)=1,K$7&gt;=INDEX(TblTareas[Semana],122),K$7&lt;INDEX(TblTareas[Semana],122)+INDEX(TblTareas[Duracion],122)),INDEX(TblTareas[Horas],122)/INDEX(TblTareas[Duracion],122),""))</f>
      </c>
      <c r="L129" s="64" t="str">
        <f>IF($A129="","",IF(AND(INDEX(TblTareas[Activa],122)=1,L$7&gt;=INDEX(TblTareas[Semana],122),L$7&lt;INDEX(TblTareas[Semana],122)+INDEX(TblTareas[Duracion],122)),INDEX(TblTareas[Horas],122)/INDEX(TblTareas[Duracion],122),""))</f>
      </c>
      <c r="M129" s="64" t="str">
        <f>IF($A129="","",IF(AND(INDEX(TblTareas[Activa],122)=1,M$7&gt;=INDEX(TblTareas[Semana],122),M$7&lt;INDEX(TblTareas[Semana],122)+INDEX(TblTareas[Duracion],122)),INDEX(TblTareas[Horas],122)/INDEX(TblTareas[Duracion],122),""))</f>
      </c>
      <c r="N129" s="64" t="str">
        <f>IF($A129="","",IF(AND(INDEX(TblTareas[Activa],122)=1,N$7&gt;=INDEX(TblTareas[Semana],122),N$7&lt;INDEX(TblTareas[Semana],122)+INDEX(TblTareas[Duracion],122)),INDEX(TblTareas[Horas],122)/INDEX(TblTareas[Duracion],122),""))</f>
      </c>
      <c r="O129" s="64" t="str">
        <f>IF($A129="","",IF(AND(INDEX(TblTareas[Activa],122)=1,O$7&gt;=INDEX(TblTareas[Semana],122),O$7&lt;INDEX(TblTareas[Semana],122)+INDEX(TblTareas[Duracion],122)),INDEX(TblTareas[Horas],122)/INDEX(TblTareas[Duracion],122),""))</f>
      </c>
      <c r="P129" s="64" t="str">
        <f>IF($A129="","",IF(AND(INDEX(TblTareas[Activa],122)=1,P$7&gt;=INDEX(TblTareas[Semana],122),P$7&lt;INDEX(TblTareas[Semana],122)+INDEX(TblTareas[Duracion],122)),INDEX(TblTareas[Horas],122)/INDEX(TblTareas[Duracion],122),""))</f>
      </c>
      <c r="Q129" s="64" t="str">
        <f>IF($A129="","",IF(AND(INDEX(TblTareas[Activa],122)=1,Q$7&gt;=INDEX(TblTareas[Semana],122),Q$7&lt;INDEX(TblTareas[Semana],122)+INDEX(TblTareas[Duracion],122)),INDEX(TblTareas[Horas],122)/INDEX(TblTareas[Duracion],122),""))</f>
      </c>
      <c r="R129" s="64" t="str">
        <f>IF($A129="","",IF(AND(INDEX(TblTareas[Activa],122)=1,R$7&gt;=INDEX(TblTareas[Semana],122),R$7&lt;INDEX(TblTareas[Semana],122)+INDEX(TblTareas[Duracion],122)),INDEX(TblTareas[Horas],122)/INDEX(TblTareas[Duracion],122),""))</f>
      </c>
      <c r="S129" s="64" t="str">
        <f>IF($A129="","",IF(AND(INDEX(TblTareas[Activa],122)=1,S$7&gt;=INDEX(TblTareas[Semana],122),S$7&lt;INDEX(TblTareas[Semana],122)+INDEX(TblTareas[Duracion],122)),INDEX(TblTareas[Horas],122)/INDEX(TblTareas[Duracion],122),""))</f>
      </c>
      <c r="T129" s="64" t="str">
        <f>IF($A129="","",IF(AND(INDEX(TblTareas[Activa],122)=1,T$7&gt;=INDEX(TblTareas[Semana],122),T$7&lt;INDEX(TblTareas[Semana],122)+INDEX(TblTareas[Duracion],122)),INDEX(TblTareas[Horas],122)/INDEX(TblTareas[Duracion],122),""))</f>
      </c>
    </row>
    <row r="130" ht="34" customHeight="1">
      <c r="A130" s="62" t="str">
        <f>IFERROR(IF(INDEX(TblTareas[ID],123)="","",INDEX(TblTareas[ID],123)),"")</f>
      </c>
      <c r="B130" s="62" t="str">
        <f>IF($A130="","",IFERROR(INDEX(TblTareas[Responsable],123),""))</f>
      </c>
      <c r="C130" s="62" t="str">
        <f>IF($A130="","",IFERROR(INDEX(TblTareas[Trabajo],123),""))</f>
      </c>
      <c r="D130" s="62" t="str">
        <f>IF($A130="","",IFERROR(INDEX(TblTareas[Estado],123),""))</f>
      </c>
      <c r="E130" s="64" t="str">
        <f>IF($A130="","",IF(AND(INDEX(TblTareas[Activa],123)=1,E$7&gt;=INDEX(TblTareas[Semana],123),E$7&lt;INDEX(TblTareas[Semana],123)+INDEX(TblTareas[Duracion],123)),INDEX(TblTareas[Horas],123)/INDEX(TblTareas[Duracion],123),""))</f>
      </c>
      <c r="F130" s="64" t="str">
        <f>IF($A130="","",IF(AND(INDEX(TblTareas[Activa],123)=1,F$7&gt;=INDEX(TblTareas[Semana],123),F$7&lt;INDEX(TblTareas[Semana],123)+INDEX(TblTareas[Duracion],123)),INDEX(TblTareas[Horas],123)/INDEX(TblTareas[Duracion],123),""))</f>
      </c>
      <c r="G130" s="64" t="str">
        <f>IF($A130="","",IF(AND(INDEX(TblTareas[Activa],123)=1,G$7&gt;=INDEX(TblTareas[Semana],123),G$7&lt;INDEX(TblTareas[Semana],123)+INDEX(TblTareas[Duracion],123)),INDEX(TblTareas[Horas],123)/INDEX(TblTareas[Duracion],123),""))</f>
      </c>
      <c r="H130" s="64" t="str">
        <f>IF($A130="","",IF(AND(INDEX(TblTareas[Activa],123)=1,H$7&gt;=INDEX(TblTareas[Semana],123),H$7&lt;INDEX(TblTareas[Semana],123)+INDEX(TblTareas[Duracion],123)),INDEX(TblTareas[Horas],123)/INDEX(TblTareas[Duracion],123),""))</f>
      </c>
      <c r="I130" s="64" t="str">
        <f>IF($A130="","",IF(AND(INDEX(TblTareas[Activa],123)=1,I$7&gt;=INDEX(TblTareas[Semana],123),I$7&lt;INDEX(TblTareas[Semana],123)+INDEX(TblTareas[Duracion],123)),INDEX(TblTareas[Horas],123)/INDEX(TblTareas[Duracion],123),""))</f>
      </c>
      <c r="J130" s="64" t="str">
        <f>IF($A130="","",IF(AND(INDEX(TblTareas[Activa],123)=1,J$7&gt;=INDEX(TblTareas[Semana],123),J$7&lt;INDEX(TblTareas[Semana],123)+INDEX(TblTareas[Duracion],123)),INDEX(TblTareas[Horas],123)/INDEX(TblTareas[Duracion],123),""))</f>
      </c>
      <c r="K130" s="64" t="str">
        <f>IF($A130="","",IF(AND(INDEX(TblTareas[Activa],123)=1,K$7&gt;=INDEX(TblTareas[Semana],123),K$7&lt;INDEX(TblTareas[Semana],123)+INDEX(TblTareas[Duracion],123)),INDEX(TblTareas[Horas],123)/INDEX(TblTareas[Duracion],123),""))</f>
      </c>
      <c r="L130" s="64" t="str">
        <f>IF($A130="","",IF(AND(INDEX(TblTareas[Activa],123)=1,L$7&gt;=INDEX(TblTareas[Semana],123),L$7&lt;INDEX(TblTareas[Semana],123)+INDEX(TblTareas[Duracion],123)),INDEX(TblTareas[Horas],123)/INDEX(TblTareas[Duracion],123),""))</f>
      </c>
      <c r="M130" s="64" t="str">
        <f>IF($A130="","",IF(AND(INDEX(TblTareas[Activa],123)=1,M$7&gt;=INDEX(TblTareas[Semana],123),M$7&lt;INDEX(TblTareas[Semana],123)+INDEX(TblTareas[Duracion],123)),INDEX(TblTareas[Horas],123)/INDEX(TblTareas[Duracion],123),""))</f>
      </c>
      <c r="N130" s="64" t="str">
        <f>IF($A130="","",IF(AND(INDEX(TblTareas[Activa],123)=1,N$7&gt;=INDEX(TblTareas[Semana],123),N$7&lt;INDEX(TblTareas[Semana],123)+INDEX(TblTareas[Duracion],123)),INDEX(TblTareas[Horas],123)/INDEX(TblTareas[Duracion],123),""))</f>
      </c>
      <c r="O130" s="64" t="str">
        <f>IF($A130="","",IF(AND(INDEX(TblTareas[Activa],123)=1,O$7&gt;=INDEX(TblTareas[Semana],123),O$7&lt;INDEX(TblTareas[Semana],123)+INDEX(TblTareas[Duracion],123)),INDEX(TblTareas[Horas],123)/INDEX(TblTareas[Duracion],123),""))</f>
      </c>
      <c r="P130" s="64" t="str">
        <f>IF($A130="","",IF(AND(INDEX(TblTareas[Activa],123)=1,P$7&gt;=INDEX(TblTareas[Semana],123),P$7&lt;INDEX(TblTareas[Semana],123)+INDEX(TblTareas[Duracion],123)),INDEX(TblTareas[Horas],123)/INDEX(TblTareas[Duracion],123),""))</f>
      </c>
      <c r="Q130" s="64" t="str">
        <f>IF($A130="","",IF(AND(INDEX(TblTareas[Activa],123)=1,Q$7&gt;=INDEX(TblTareas[Semana],123),Q$7&lt;INDEX(TblTareas[Semana],123)+INDEX(TblTareas[Duracion],123)),INDEX(TblTareas[Horas],123)/INDEX(TblTareas[Duracion],123),""))</f>
      </c>
      <c r="R130" s="64" t="str">
        <f>IF($A130="","",IF(AND(INDEX(TblTareas[Activa],123)=1,R$7&gt;=INDEX(TblTareas[Semana],123),R$7&lt;INDEX(TblTareas[Semana],123)+INDEX(TblTareas[Duracion],123)),INDEX(TblTareas[Horas],123)/INDEX(TblTareas[Duracion],123),""))</f>
      </c>
      <c r="S130" s="64" t="str">
        <f>IF($A130="","",IF(AND(INDEX(TblTareas[Activa],123)=1,S$7&gt;=INDEX(TblTareas[Semana],123),S$7&lt;INDEX(TblTareas[Semana],123)+INDEX(TblTareas[Duracion],123)),INDEX(TblTareas[Horas],123)/INDEX(TblTareas[Duracion],123),""))</f>
      </c>
      <c r="T130" s="64" t="str">
        <f>IF($A130="","",IF(AND(INDEX(TblTareas[Activa],123)=1,T$7&gt;=INDEX(TblTareas[Semana],123),T$7&lt;INDEX(TblTareas[Semana],123)+INDEX(TblTareas[Duracion],123)),INDEX(TblTareas[Horas],123)/INDEX(TblTareas[Duracion],123),""))</f>
      </c>
    </row>
    <row r="131" ht="34" customHeight="1">
      <c r="A131" s="62" t="str">
        <f>IFERROR(IF(INDEX(TblTareas[ID],124)="","",INDEX(TblTareas[ID],124)),"")</f>
      </c>
      <c r="B131" s="62" t="str">
        <f>IF($A131="","",IFERROR(INDEX(TblTareas[Responsable],124),""))</f>
      </c>
      <c r="C131" s="62" t="str">
        <f>IF($A131="","",IFERROR(INDEX(TblTareas[Trabajo],124),""))</f>
      </c>
      <c r="D131" s="62" t="str">
        <f>IF($A131="","",IFERROR(INDEX(TblTareas[Estado],124),""))</f>
      </c>
      <c r="E131" s="64" t="str">
        <f>IF($A131="","",IF(AND(INDEX(TblTareas[Activa],124)=1,E$7&gt;=INDEX(TblTareas[Semana],124),E$7&lt;INDEX(TblTareas[Semana],124)+INDEX(TblTareas[Duracion],124)),INDEX(TblTareas[Horas],124)/INDEX(TblTareas[Duracion],124),""))</f>
      </c>
      <c r="F131" s="64" t="str">
        <f>IF($A131="","",IF(AND(INDEX(TblTareas[Activa],124)=1,F$7&gt;=INDEX(TblTareas[Semana],124),F$7&lt;INDEX(TblTareas[Semana],124)+INDEX(TblTareas[Duracion],124)),INDEX(TblTareas[Horas],124)/INDEX(TblTareas[Duracion],124),""))</f>
      </c>
      <c r="G131" s="64" t="str">
        <f>IF($A131="","",IF(AND(INDEX(TblTareas[Activa],124)=1,G$7&gt;=INDEX(TblTareas[Semana],124),G$7&lt;INDEX(TblTareas[Semana],124)+INDEX(TblTareas[Duracion],124)),INDEX(TblTareas[Horas],124)/INDEX(TblTareas[Duracion],124),""))</f>
      </c>
      <c r="H131" s="64" t="str">
        <f>IF($A131="","",IF(AND(INDEX(TblTareas[Activa],124)=1,H$7&gt;=INDEX(TblTareas[Semana],124),H$7&lt;INDEX(TblTareas[Semana],124)+INDEX(TblTareas[Duracion],124)),INDEX(TblTareas[Horas],124)/INDEX(TblTareas[Duracion],124),""))</f>
      </c>
      <c r="I131" s="64" t="str">
        <f>IF($A131="","",IF(AND(INDEX(TblTareas[Activa],124)=1,I$7&gt;=INDEX(TblTareas[Semana],124),I$7&lt;INDEX(TblTareas[Semana],124)+INDEX(TblTareas[Duracion],124)),INDEX(TblTareas[Horas],124)/INDEX(TblTareas[Duracion],124),""))</f>
      </c>
      <c r="J131" s="64" t="str">
        <f>IF($A131="","",IF(AND(INDEX(TblTareas[Activa],124)=1,J$7&gt;=INDEX(TblTareas[Semana],124),J$7&lt;INDEX(TblTareas[Semana],124)+INDEX(TblTareas[Duracion],124)),INDEX(TblTareas[Horas],124)/INDEX(TblTareas[Duracion],124),""))</f>
      </c>
      <c r="K131" s="64" t="str">
        <f>IF($A131="","",IF(AND(INDEX(TblTareas[Activa],124)=1,K$7&gt;=INDEX(TblTareas[Semana],124),K$7&lt;INDEX(TblTareas[Semana],124)+INDEX(TblTareas[Duracion],124)),INDEX(TblTareas[Horas],124)/INDEX(TblTareas[Duracion],124),""))</f>
      </c>
      <c r="L131" s="64" t="str">
        <f>IF($A131="","",IF(AND(INDEX(TblTareas[Activa],124)=1,L$7&gt;=INDEX(TblTareas[Semana],124),L$7&lt;INDEX(TblTareas[Semana],124)+INDEX(TblTareas[Duracion],124)),INDEX(TblTareas[Horas],124)/INDEX(TblTareas[Duracion],124),""))</f>
      </c>
      <c r="M131" s="64" t="str">
        <f>IF($A131="","",IF(AND(INDEX(TblTareas[Activa],124)=1,M$7&gt;=INDEX(TblTareas[Semana],124),M$7&lt;INDEX(TblTareas[Semana],124)+INDEX(TblTareas[Duracion],124)),INDEX(TblTareas[Horas],124)/INDEX(TblTareas[Duracion],124),""))</f>
      </c>
      <c r="N131" s="64" t="str">
        <f>IF($A131="","",IF(AND(INDEX(TblTareas[Activa],124)=1,N$7&gt;=INDEX(TblTareas[Semana],124),N$7&lt;INDEX(TblTareas[Semana],124)+INDEX(TblTareas[Duracion],124)),INDEX(TblTareas[Horas],124)/INDEX(TblTareas[Duracion],124),""))</f>
      </c>
      <c r="O131" s="64" t="str">
        <f>IF($A131="","",IF(AND(INDEX(TblTareas[Activa],124)=1,O$7&gt;=INDEX(TblTareas[Semana],124),O$7&lt;INDEX(TblTareas[Semana],124)+INDEX(TblTareas[Duracion],124)),INDEX(TblTareas[Horas],124)/INDEX(TblTareas[Duracion],124),""))</f>
      </c>
      <c r="P131" s="64" t="str">
        <f>IF($A131="","",IF(AND(INDEX(TblTareas[Activa],124)=1,P$7&gt;=INDEX(TblTareas[Semana],124),P$7&lt;INDEX(TblTareas[Semana],124)+INDEX(TblTareas[Duracion],124)),INDEX(TblTareas[Horas],124)/INDEX(TblTareas[Duracion],124),""))</f>
      </c>
      <c r="Q131" s="64" t="str">
        <f>IF($A131="","",IF(AND(INDEX(TblTareas[Activa],124)=1,Q$7&gt;=INDEX(TblTareas[Semana],124),Q$7&lt;INDEX(TblTareas[Semana],124)+INDEX(TblTareas[Duracion],124)),INDEX(TblTareas[Horas],124)/INDEX(TblTareas[Duracion],124),""))</f>
      </c>
      <c r="R131" s="64" t="str">
        <f>IF($A131="","",IF(AND(INDEX(TblTareas[Activa],124)=1,R$7&gt;=INDEX(TblTareas[Semana],124),R$7&lt;INDEX(TblTareas[Semana],124)+INDEX(TblTareas[Duracion],124)),INDEX(TblTareas[Horas],124)/INDEX(TblTareas[Duracion],124),""))</f>
      </c>
      <c r="S131" s="64" t="str">
        <f>IF($A131="","",IF(AND(INDEX(TblTareas[Activa],124)=1,S$7&gt;=INDEX(TblTareas[Semana],124),S$7&lt;INDEX(TblTareas[Semana],124)+INDEX(TblTareas[Duracion],124)),INDEX(TblTareas[Horas],124)/INDEX(TblTareas[Duracion],124),""))</f>
      </c>
      <c r="T131" s="64" t="str">
        <f>IF($A131="","",IF(AND(INDEX(TblTareas[Activa],124)=1,T$7&gt;=INDEX(TblTareas[Semana],124),T$7&lt;INDEX(TblTareas[Semana],124)+INDEX(TblTareas[Duracion],124)),INDEX(TblTareas[Horas],124)/INDEX(TblTareas[Duracion],124),""))</f>
      </c>
    </row>
    <row r="132" ht="34" customHeight="1">
      <c r="A132" s="62" t="str">
        <f>IFERROR(IF(INDEX(TblTareas[ID],125)="","",INDEX(TblTareas[ID],125)),"")</f>
      </c>
      <c r="B132" s="62" t="str">
        <f>IF($A132="","",IFERROR(INDEX(TblTareas[Responsable],125),""))</f>
      </c>
      <c r="C132" s="62" t="str">
        <f>IF($A132="","",IFERROR(INDEX(TblTareas[Trabajo],125),""))</f>
      </c>
      <c r="D132" s="62" t="str">
        <f>IF($A132="","",IFERROR(INDEX(TblTareas[Estado],125),""))</f>
      </c>
      <c r="E132" s="64" t="str">
        <f>IF($A132="","",IF(AND(INDEX(TblTareas[Activa],125)=1,E$7&gt;=INDEX(TblTareas[Semana],125),E$7&lt;INDEX(TblTareas[Semana],125)+INDEX(TblTareas[Duracion],125)),INDEX(TblTareas[Horas],125)/INDEX(TblTareas[Duracion],125),""))</f>
      </c>
      <c r="F132" s="64" t="str">
        <f>IF($A132="","",IF(AND(INDEX(TblTareas[Activa],125)=1,F$7&gt;=INDEX(TblTareas[Semana],125),F$7&lt;INDEX(TblTareas[Semana],125)+INDEX(TblTareas[Duracion],125)),INDEX(TblTareas[Horas],125)/INDEX(TblTareas[Duracion],125),""))</f>
      </c>
      <c r="G132" s="64" t="str">
        <f>IF($A132="","",IF(AND(INDEX(TblTareas[Activa],125)=1,G$7&gt;=INDEX(TblTareas[Semana],125),G$7&lt;INDEX(TblTareas[Semana],125)+INDEX(TblTareas[Duracion],125)),INDEX(TblTareas[Horas],125)/INDEX(TblTareas[Duracion],125),""))</f>
      </c>
      <c r="H132" s="64" t="str">
        <f>IF($A132="","",IF(AND(INDEX(TblTareas[Activa],125)=1,H$7&gt;=INDEX(TblTareas[Semana],125),H$7&lt;INDEX(TblTareas[Semana],125)+INDEX(TblTareas[Duracion],125)),INDEX(TblTareas[Horas],125)/INDEX(TblTareas[Duracion],125),""))</f>
      </c>
      <c r="I132" s="64" t="str">
        <f>IF($A132="","",IF(AND(INDEX(TblTareas[Activa],125)=1,I$7&gt;=INDEX(TblTareas[Semana],125),I$7&lt;INDEX(TblTareas[Semana],125)+INDEX(TblTareas[Duracion],125)),INDEX(TblTareas[Horas],125)/INDEX(TblTareas[Duracion],125),""))</f>
      </c>
      <c r="J132" s="64" t="str">
        <f>IF($A132="","",IF(AND(INDEX(TblTareas[Activa],125)=1,J$7&gt;=INDEX(TblTareas[Semana],125),J$7&lt;INDEX(TblTareas[Semana],125)+INDEX(TblTareas[Duracion],125)),INDEX(TblTareas[Horas],125)/INDEX(TblTareas[Duracion],125),""))</f>
      </c>
      <c r="K132" s="64" t="str">
        <f>IF($A132="","",IF(AND(INDEX(TblTareas[Activa],125)=1,K$7&gt;=INDEX(TblTareas[Semana],125),K$7&lt;INDEX(TblTareas[Semana],125)+INDEX(TblTareas[Duracion],125)),INDEX(TblTareas[Horas],125)/INDEX(TblTareas[Duracion],125),""))</f>
      </c>
      <c r="L132" s="64" t="str">
        <f>IF($A132="","",IF(AND(INDEX(TblTareas[Activa],125)=1,L$7&gt;=INDEX(TblTareas[Semana],125),L$7&lt;INDEX(TblTareas[Semana],125)+INDEX(TblTareas[Duracion],125)),INDEX(TblTareas[Horas],125)/INDEX(TblTareas[Duracion],125),""))</f>
      </c>
      <c r="M132" s="64" t="str">
        <f>IF($A132="","",IF(AND(INDEX(TblTareas[Activa],125)=1,M$7&gt;=INDEX(TblTareas[Semana],125),M$7&lt;INDEX(TblTareas[Semana],125)+INDEX(TblTareas[Duracion],125)),INDEX(TblTareas[Horas],125)/INDEX(TblTareas[Duracion],125),""))</f>
      </c>
      <c r="N132" s="64" t="str">
        <f>IF($A132="","",IF(AND(INDEX(TblTareas[Activa],125)=1,N$7&gt;=INDEX(TblTareas[Semana],125),N$7&lt;INDEX(TblTareas[Semana],125)+INDEX(TblTareas[Duracion],125)),INDEX(TblTareas[Horas],125)/INDEX(TblTareas[Duracion],125),""))</f>
      </c>
      <c r="O132" s="64" t="str">
        <f>IF($A132="","",IF(AND(INDEX(TblTareas[Activa],125)=1,O$7&gt;=INDEX(TblTareas[Semana],125),O$7&lt;INDEX(TblTareas[Semana],125)+INDEX(TblTareas[Duracion],125)),INDEX(TblTareas[Horas],125)/INDEX(TblTareas[Duracion],125),""))</f>
      </c>
      <c r="P132" s="64" t="str">
        <f>IF($A132="","",IF(AND(INDEX(TblTareas[Activa],125)=1,P$7&gt;=INDEX(TblTareas[Semana],125),P$7&lt;INDEX(TblTareas[Semana],125)+INDEX(TblTareas[Duracion],125)),INDEX(TblTareas[Horas],125)/INDEX(TblTareas[Duracion],125),""))</f>
      </c>
      <c r="Q132" s="64" t="str">
        <f>IF($A132="","",IF(AND(INDEX(TblTareas[Activa],125)=1,Q$7&gt;=INDEX(TblTareas[Semana],125),Q$7&lt;INDEX(TblTareas[Semana],125)+INDEX(TblTareas[Duracion],125)),INDEX(TblTareas[Horas],125)/INDEX(TblTareas[Duracion],125),""))</f>
      </c>
      <c r="R132" s="64" t="str">
        <f>IF($A132="","",IF(AND(INDEX(TblTareas[Activa],125)=1,R$7&gt;=INDEX(TblTareas[Semana],125),R$7&lt;INDEX(TblTareas[Semana],125)+INDEX(TblTareas[Duracion],125)),INDEX(TblTareas[Horas],125)/INDEX(TblTareas[Duracion],125),""))</f>
      </c>
      <c r="S132" s="64" t="str">
        <f>IF($A132="","",IF(AND(INDEX(TblTareas[Activa],125)=1,S$7&gt;=INDEX(TblTareas[Semana],125),S$7&lt;INDEX(TblTareas[Semana],125)+INDEX(TblTareas[Duracion],125)),INDEX(TblTareas[Horas],125)/INDEX(TblTareas[Duracion],125),""))</f>
      </c>
      <c r="T132" s="64" t="str">
        <f>IF($A132="","",IF(AND(INDEX(TblTareas[Activa],125)=1,T$7&gt;=INDEX(TblTareas[Semana],125),T$7&lt;INDEX(TblTareas[Semana],125)+INDEX(TblTareas[Duracion],125)),INDEX(TblTareas[Horas],125)/INDEX(TblTareas[Duracion],125),""))</f>
      </c>
    </row>
    <row r="133" ht="34" customHeight="1">
      <c r="A133" s="62" t="str">
        <f>IFERROR(IF(INDEX(TblTareas[ID],126)="","",INDEX(TblTareas[ID],126)),"")</f>
      </c>
      <c r="B133" s="62" t="str">
        <f>IF($A133="","",IFERROR(INDEX(TblTareas[Responsable],126),""))</f>
      </c>
      <c r="C133" s="62" t="str">
        <f>IF($A133="","",IFERROR(INDEX(TblTareas[Trabajo],126),""))</f>
      </c>
      <c r="D133" s="62" t="str">
        <f>IF($A133="","",IFERROR(INDEX(TblTareas[Estado],126),""))</f>
      </c>
      <c r="E133" s="64" t="str">
        <f>IF($A133="","",IF(AND(INDEX(TblTareas[Activa],126)=1,E$7&gt;=INDEX(TblTareas[Semana],126),E$7&lt;INDEX(TblTareas[Semana],126)+INDEX(TblTareas[Duracion],126)),INDEX(TblTareas[Horas],126)/INDEX(TblTareas[Duracion],126),""))</f>
      </c>
      <c r="F133" s="64" t="str">
        <f>IF($A133="","",IF(AND(INDEX(TblTareas[Activa],126)=1,F$7&gt;=INDEX(TblTareas[Semana],126),F$7&lt;INDEX(TblTareas[Semana],126)+INDEX(TblTareas[Duracion],126)),INDEX(TblTareas[Horas],126)/INDEX(TblTareas[Duracion],126),""))</f>
      </c>
      <c r="G133" s="64" t="str">
        <f>IF($A133="","",IF(AND(INDEX(TblTareas[Activa],126)=1,G$7&gt;=INDEX(TblTareas[Semana],126),G$7&lt;INDEX(TblTareas[Semana],126)+INDEX(TblTareas[Duracion],126)),INDEX(TblTareas[Horas],126)/INDEX(TblTareas[Duracion],126),""))</f>
      </c>
      <c r="H133" s="64" t="str">
        <f>IF($A133="","",IF(AND(INDEX(TblTareas[Activa],126)=1,H$7&gt;=INDEX(TblTareas[Semana],126),H$7&lt;INDEX(TblTareas[Semana],126)+INDEX(TblTareas[Duracion],126)),INDEX(TblTareas[Horas],126)/INDEX(TblTareas[Duracion],126),""))</f>
      </c>
      <c r="I133" s="64" t="str">
        <f>IF($A133="","",IF(AND(INDEX(TblTareas[Activa],126)=1,I$7&gt;=INDEX(TblTareas[Semana],126),I$7&lt;INDEX(TblTareas[Semana],126)+INDEX(TblTareas[Duracion],126)),INDEX(TblTareas[Horas],126)/INDEX(TblTareas[Duracion],126),""))</f>
      </c>
      <c r="J133" s="64" t="str">
        <f>IF($A133="","",IF(AND(INDEX(TblTareas[Activa],126)=1,J$7&gt;=INDEX(TblTareas[Semana],126),J$7&lt;INDEX(TblTareas[Semana],126)+INDEX(TblTareas[Duracion],126)),INDEX(TblTareas[Horas],126)/INDEX(TblTareas[Duracion],126),""))</f>
      </c>
      <c r="K133" s="64" t="str">
        <f>IF($A133="","",IF(AND(INDEX(TblTareas[Activa],126)=1,K$7&gt;=INDEX(TblTareas[Semana],126),K$7&lt;INDEX(TblTareas[Semana],126)+INDEX(TblTareas[Duracion],126)),INDEX(TblTareas[Horas],126)/INDEX(TblTareas[Duracion],126),""))</f>
      </c>
      <c r="L133" s="64" t="str">
        <f>IF($A133="","",IF(AND(INDEX(TblTareas[Activa],126)=1,L$7&gt;=INDEX(TblTareas[Semana],126),L$7&lt;INDEX(TblTareas[Semana],126)+INDEX(TblTareas[Duracion],126)),INDEX(TblTareas[Horas],126)/INDEX(TblTareas[Duracion],126),""))</f>
      </c>
      <c r="M133" s="64" t="str">
        <f>IF($A133="","",IF(AND(INDEX(TblTareas[Activa],126)=1,M$7&gt;=INDEX(TblTareas[Semana],126),M$7&lt;INDEX(TblTareas[Semana],126)+INDEX(TblTareas[Duracion],126)),INDEX(TblTareas[Horas],126)/INDEX(TblTareas[Duracion],126),""))</f>
      </c>
      <c r="N133" s="64" t="str">
        <f>IF($A133="","",IF(AND(INDEX(TblTareas[Activa],126)=1,N$7&gt;=INDEX(TblTareas[Semana],126),N$7&lt;INDEX(TblTareas[Semana],126)+INDEX(TblTareas[Duracion],126)),INDEX(TblTareas[Horas],126)/INDEX(TblTareas[Duracion],126),""))</f>
      </c>
      <c r="O133" s="64" t="str">
        <f>IF($A133="","",IF(AND(INDEX(TblTareas[Activa],126)=1,O$7&gt;=INDEX(TblTareas[Semana],126),O$7&lt;INDEX(TblTareas[Semana],126)+INDEX(TblTareas[Duracion],126)),INDEX(TblTareas[Horas],126)/INDEX(TblTareas[Duracion],126),""))</f>
      </c>
      <c r="P133" s="64" t="str">
        <f>IF($A133="","",IF(AND(INDEX(TblTareas[Activa],126)=1,P$7&gt;=INDEX(TblTareas[Semana],126),P$7&lt;INDEX(TblTareas[Semana],126)+INDEX(TblTareas[Duracion],126)),INDEX(TblTareas[Horas],126)/INDEX(TblTareas[Duracion],126),""))</f>
      </c>
      <c r="Q133" s="64" t="str">
        <f>IF($A133="","",IF(AND(INDEX(TblTareas[Activa],126)=1,Q$7&gt;=INDEX(TblTareas[Semana],126),Q$7&lt;INDEX(TblTareas[Semana],126)+INDEX(TblTareas[Duracion],126)),INDEX(TblTareas[Horas],126)/INDEX(TblTareas[Duracion],126),""))</f>
      </c>
      <c r="R133" s="64" t="str">
        <f>IF($A133="","",IF(AND(INDEX(TblTareas[Activa],126)=1,R$7&gt;=INDEX(TblTareas[Semana],126),R$7&lt;INDEX(TblTareas[Semana],126)+INDEX(TblTareas[Duracion],126)),INDEX(TblTareas[Horas],126)/INDEX(TblTareas[Duracion],126),""))</f>
      </c>
      <c r="S133" s="64" t="str">
        <f>IF($A133="","",IF(AND(INDEX(TblTareas[Activa],126)=1,S$7&gt;=INDEX(TblTareas[Semana],126),S$7&lt;INDEX(TblTareas[Semana],126)+INDEX(TblTareas[Duracion],126)),INDEX(TblTareas[Horas],126)/INDEX(TblTareas[Duracion],126),""))</f>
      </c>
      <c r="T133" s="64" t="str">
        <f>IF($A133="","",IF(AND(INDEX(TblTareas[Activa],126)=1,T$7&gt;=INDEX(TblTareas[Semana],126),T$7&lt;INDEX(TblTareas[Semana],126)+INDEX(TblTareas[Duracion],126)),INDEX(TblTareas[Horas],126)/INDEX(TblTareas[Duracion],126),""))</f>
      </c>
    </row>
    <row r="134" ht="34" customHeight="1">
      <c r="A134" s="62" t="str">
        <f>IFERROR(IF(INDEX(TblTareas[ID],127)="","",INDEX(TblTareas[ID],127)),"")</f>
      </c>
      <c r="B134" s="62" t="str">
        <f>IF($A134="","",IFERROR(INDEX(TblTareas[Responsable],127),""))</f>
      </c>
      <c r="C134" s="62" t="str">
        <f>IF($A134="","",IFERROR(INDEX(TblTareas[Trabajo],127),""))</f>
      </c>
      <c r="D134" s="62" t="str">
        <f>IF($A134="","",IFERROR(INDEX(TblTareas[Estado],127),""))</f>
      </c>
      <c r="E134" s="64" t="str">
        <f>IF($A134="","",IF(AND(INDEX(TblTareas[Activa],127)=1,E$7&gt;=INDEX(TblTareas[Semana],127),E$7&lt;INDEX(TblTareas[Semana],127)+INDEX(TblTareas[Duracion],127)),INDEX(TblTareas[Horas],127)/INDEX(TblTareas[Duracion],127),""))</f>
      </c>
      <c r="F134" s="64" t="str">
        <f>IF($A134="","",IF(AND(INDEX(TblTareas[Activa],127)=1,F$7&gt;=INDEX(TblTareas[Semana],127),F$7&lt;INDEX(TblTareas[Semana],127)+INDEX(TblTareas[Duracion],127)),INDEX(TblTareas[Horas],127)/INDEX(TblTareas[Duracion],127),""))</f>
      </c>
      <c r="G134" s="64" t="str">
        <f>IF($A134="","",IF(AND(INDEX(TblTareas[Activa],127)=1,G$7&gt;=INDEX(TblTareas[Semana],127),G$7&lt;INDEX(TblTareas[Semana],127)+INDEX(TblTareas[Duracion],127)),INDEX(TblTareas[Horas],127)/INDEX(TblTareas[Duracion],127),""))</f>
      </c>
      <c r="H134" s="64" t="str">
        <f>IF($A134="","",IF(AND(INDEX(TblTareas[Activa],127)=1,H$7&gt;=INDEX(TblTareas[Semana],127),H$7&lt;INDEX(TblTareas[Semana],127)+INDEX(TblTareas[Duracion],127)),INDEX(TblTareas[Horas],127)/INDEX(TblTareas[Duracion],127),""))</f>
      </c>
      <c r="I134" s="64" t="str">
        <f>IF($A134="","",IF(AND(INDEX(TblTareas[Activa],127)=1,I$7&gt;=INDEX(TblTareas[Semana],127),I$7&lt;INDEX(TblTareas[Semana],127)+INDEX(TblTareas[Duracion],127)),INDEX(TblTareas[Horas],127)/INDEX(TblTareas[Duracion],127),""))</f>
      </c>
      <c r="J134" s="64" t="str">
        <f>IF($A134="","",IF(AND(INDEX(TblTareas[Activa],127)=1,J$7&gt;=INDEX(TblTareas[Semana],127),J$7&lt;INDEX(TblTareas[Semana],127)+INDEX(TblTareas[Duracion],127)),INDEX(TblTareas[Horas],127)/INDEX(TblTareas[Duracion],127),""))</f>
      </c>
      <c r="K134" s="64" t="str">
        <f>IF($A134="","",IF(AND(INDEX(TblTareas[Activa],127)=1,K$7&gt;=INDEX(TblTareas[Semana],127),K$7&lt;INDEX(TblTareas[Semana],127)+INDEX(TblTareas[Duracion],127)),INDEX(TblTareas[Horas],127)/INDEX(TblTareas[Duracion],127),""))</f>
      </c>
      <c r="L134" s="64" t="str">
        <f>IF($A134="","",IF(AND(INDEX(TblTareas[Activa],127)=1,L$7&gt;=INDEX(TblTareas[Semana],127),L$7&lt;INDEX(TblTareas[Semana],127)+INDEX(TblTareas[Duracion],127)),INDEX(TblTareas[Horas],127)/INDEX(TblTareas[Duracion],127),""))</f>
      </c>
      <c r="M134" s="64" t="str">
        <f>IF($A134="","",IF(AND(INDEX(TblTareas[Activa],127)=1,M$7&gt;=INDEX(TblTareas[Semana],127),M$7&lt;INDEX(TblTareas[Semana],127)+INDEX(TblTareas[Duracion],127)),INDEX(TblTareas[Horas],127)/INDEX(TblTareas[Duracion],127),""))</f>
      </c>
      <c r="N134" s="64" t="str">
        <f>IF($A134="","",IF(AND(INDEX(TblTareas[Activa],127)=1,N$7&gt;=INDEX(TblTareas[Semana],127),N$7&lt;INDEX(TblTareas[Semana],127)+INDEX(TblTareas[Duracion],127)),INDEX(TblTareas[Horas],127)/INDEX(TblTareas[Duracion],127),""))</f>
      </c>
      <c r="O134" s="64" t="str">
        <f>IF($A134="","",IF(AND(INDEX(TblTareas[Activa],127)=1,O$7&gt;=INDEX(TblTareas[Semana],127),O$7&lt;INDEX(TblTareas[Semana],127)+INDEX(TblTareas[Duracion],127)),INDEX(TblTareas[Horas],127)/INDEX(TblTareas[Duracion],127),""))</f>
      </c>
      <c r="P134" s="64" t="str">
        <f>IF($A134="","",IF(AND(INDEX(TblTareas[Activa],127)=1,P$7&gt;=INDEX(TblTareas[Semana],127),P$7&lt;INDEX(TblTareas[Semana],127)+INDEX(TblTareas[Duracion],127)),INDEX(TblTareas[Horas],127)/INDEX(TblTareas[Duracion],127),""))</f>
      </c>
      <c r="Q134" s="64" t="str">
        <f>IF($A134="","",IF(AND(INDEX(TblTareas[Activa],127)=1,Q$7&gt;=INDEX(TblTareas[Semana],127),Q$7&lt;INDEX(TblTareas[Semana],127)+INDEX(TblTareas[Duracion],127)),INDEX(TblTareas[Horas],127)/INDEX(TblTareas[Duracion],127),""))</f>
      </c>
      <c r="R134" s="64" t="str">
        <f>IF($A134="","",IF(AND(INDEX(TblTareas[Activa],127)=1,R$7&gt;=INDEX(TblTareas[Semana],127),R$7&lt;INDEX(TblTareas[Semana],127)+INDEX(TblTareas[Duracion],127)),INDEX(TblTareas[Horas],127)/INDEX(TblTareas[Duracion],127),""))</f>
      </c>
      <c r="S134" s="64" t="str">
        <f>IF($A134="","",IF(AND(INDEX(TblTareas[Activa],127)=1,S$7&gt;=INDEX(TblTareas[Semana],127),S$7&lt;INDEX(TblTareas[Semana],127)+INDEX(TblTareas[Duracion],127)),INDEX(TblTareas[Horas],127)/INDEX(TblTareas[Duracion],127),""))</f>
      </c>
      <c r="T134" s="64" t="str">
        <f>IF($A134="","",IF(AND(INDEX(TblTareas[Activa],127)=1,T$7&gt;=INDEX(TblTareas[Semana],127),T$7&lt;INDEX(TblTareas[Semana],127)+INDEX(TblTareas[Duracion],127)),INDEX(TblTareas[Horas],127)/INDEX(TblTareas[Duracion],127),""))</f>
      </c>
    </row>
    <row r="135" ht="34" customHeight="1">
      <c r="A135" s="62" t="str">
        <f>IFERROR(IF(INDEX(TblTareas[ID],128)="","",INDEX(TblTareas[ID],128)),"")</f>
      </c>
      <c r="B135" s="62" t="str">
        <f>IF($A135="","",IFERROR(INDEX(TblTareas[Responsable],128),""))</f>
      </c>
      <c r="C135" s="62" t="str">
        <f>IF($A135="","",IFERROR(INDEX(TblTareas[Trabajo],128),""))</f>
      </c>
      <c r="D135" s="62" t="str">
        <f>IF($A135="","",IFERROR(INDEX(TblTareas[Estado],128),""))</f>
      </c>
      <c r="E135" s="64" t="str">
        <f>IF($A135="","",IF(AND(INDEX(TblTareas[Activa],128)=1,E$7&gt;=INDEX(TblTareas[Semana],128),E$7&lt;INDEX(TblTareas[Semana],128)+INDEX(TblTareas[Duracion],128)),INDEX(TblTareas[Horas],128)/INDEX(TblTareas[Duracion],128),""))</f>
      </c>
      <c r="F135" s="64" t="str">
        <f>IF($A135="","",IF(AND(INDEX(TblTareas[Activa],128)=1,F$7&gt;=INDEX(TblTareas[Semana],128),F$7&lt;INDEX(TblTareas[Semana],128)+INDEX(TblTareas[Duracion],128)),INDEX(TblTareas[Horas],128)/INDEX(TblTareas[Duracion],128),""))</f>
      </c>
      <c r="G135" s="64" t="str">
        <f>IF($A135="","",IF(AND(INDEX(TblTareas[Activa],128)=1,G$7&gt;=INDEX(TblTareas[Semana],128),G$7&lt;INDEX(TblTareas[Semana],128)+INDEX(TblTareas[Duracion],128)),INDEX(TblTareas[Horas],128)/INDEX(TblTareas[Duracion],128),""))</f>
      </c>
      <c r="H135" s="64" t="str">
        <f>IF($A135="","",IF(AND(INDEX(TblTareas[Activa],128)=1,H$7&gt;=INDEX(TblTareas[Semana],128),H$7&lt;INDEX(TblTareas[Semana],128)+INDEX(TblTareas[Duracion],128)),INDEX(TblTareas[Horas],128)/INDEX(TblTareas[Duracion],128),""))</f>
      </c>
      <c r="I135" s="64" t="str">
        <f>IF($A135="","",IF(AND(INDEX(TblTareas[Activa],128)=1,I$7&gt;=INDEX(TblTareas[Semana],128),I$7&lt;INDEX(TblTareas[Semana],128)+INDEX(TblTareas[Duracion],128)),INDEX(TblTareas[Horas],128)/INDEX(TblTareas[Duracion],128),""))</f>
      </c>
      <c r="J135" s="64" t="str">
        <f>IF($A135="","",IF(AND(INDEX(TblTareas[Activa],128)=1,J$7&gt;=INDEX(TblTareas[Semana],128),J$7&lt;INDEX(TblTareas[Semana],128)+INDEX(TblTareas[Duracion],128)),INDEX(TblTareas[Horas],128)/INDEX(TblTareas[Duracion],128),""))</f>
      </c>
      <c r="K135" s="64" t="str">
        <f>IF($A135="","",IF(AND(INDEX(TblTareas[Activa],128)=1,K$7&gt;=INDEX(TblTareas[Semana],128),K$7&lt;INDEX(TblTareas[Semana],128)+INDEX(TblTareas[Duracion],128)),INDEX(TblTareas[Horas],128)/INDEX(TblTareas[Duracion],128),""))</f>
      </c>
      <c r="L135" s="64" t="str">
        <f>IF($A135="","",IF(AND(INDEX(TblTareas[Activa],128)=1,L$7&gt;=INDEX(TblTareas[Semana],128),L$7&lt;INDEX(TblTareas[Semana],128)+INDEX(TblTareas[Duracion],128)),INDEX(TblTareas[Horas],128)/INDEX(TblTareas[Duracion],128),""))</f>
      </c>
      <c r="M135" s="64" t="str">
        <f>IF($A135="","",IF(AND(INDEX(TblTareas[Activa],128)=1,M$7&gt;=INDEX(TblTareas[Semana],128),M$7&lt;INDEX(TblTareas[Semana],128)+INDEX(TblTareas[Duracion],128)),INDEX(TblTareas[Horas],128)/INDEX(TblTareas[Duracion],128),""))</f>
      </c>
      <c r="N135" s="64" t="str">
        <f>IF($A135="","",IF(AND(INDEX(TblTareas[Activa],128)=1,N$7&gt;=INDEX(TblTareas[Semana],128),N$7&lt;INDEX(TblTareas[Semana],128)+INDEX(TblTareas[Duracion],128)),INDEX(TblTareas[Horas],128)/INDEX(TblTareas[Duracion],128),""))</f>
      </c>
      <c r="O135" s="64" t="str">
        <f>IF($A135="","",IF(AND(INDEX(TblTareas[Activa],128)=1,O$7&gt;=INDEX(TblTareas[Semana],128),O$7&lt;INDEX(TblTareas[Semana],128)+INDEX(TblTareas[Duracion],128)),INDEX(TblTareas[Horas],128)/INDEX(TblTareas[Duracion],128),""))</f>
      </c>
      <c r="P135" s="64" t="str">
        <f>IF($A135="","",IF(AND(INDEX(TblTareas[Activa],128)=1,P$7&gt;=INDEX(TblTareas[Semana],128),P$7&lt;INDEX(TblTareas[Semana],128)+INDEX(TblTareas[Duracion],128)),INDEX(TblTareas[Horas],128)/INDEX(TblTareas[Duracion],128),""))</f>
      </c>
      <c r="Q135" s="64" t="str">
        <f>IF($A135="","",IF(AND(INDEX(TblTareas[Activa],128)=1,Q$7&gt;=INDEX(TblTareas[Semana],128),Q$7&lt;INDEX(TblTareas[Semana],128)+INDEX(TblTareas[Duracion],128)),INDEX(TblTareas[Horas],128)/INDEX(TblTareas[Duracion],128),""))</f>
      </c>
      <c r="R135" s="64" t="str">
        <f>IF($A135="","",IF(AND(INDEX(TblTareas[Activa],128)=1,R$7&gt;=INDEX(TblTareas[Semana],128),R$7&lt;INDEX(TblTareas[Semana],128)+INDEX(TblTareas[Duracion],128)),INDEX(TblTareas[Horas],128)/INDEX(TblTareas[Duracion],128),""))</f>
      </c>
      <c r="S135" s="64" t="str">
        <f>IF($A135="","",IF(AND(INDEX(TblTareas[Activa],128)=1,S$7&gt;=INDEX(TblTareas[Semana],128),S$7&lt;INDEX(TblTareas[Semana],128)+INDEX(TblTareas[Duracion],128)),INDEX(TblTareas[Horas],128)/INDEX(TblTareas[Duracion],128),""))</f>
      </c>
      <c r="T135" s="64" t="str">
        <f>IF($A135="","",IF(AND(INDEX(TblTareas[Activa],128)=1,T$7&gt;=INDEX(TblTareas[Semana],128),T$7&lt;INDEX(TblTareas[Semana],128)+INDEX(TblTareas[Duracion],128)),INDEX(TblTareas[Horas],128)/INDEX(TblTareas[Duracion],128),""))</f>
      </c>
    </row>
    <row r="136" ht="34" customHeight="1">
      <c r="A136" s="62" t="str">
        <f>IFERROR(IF(INDEX(TblTareas[ID],129)="","",INDEX(TblTareas[ID],129)),"")</f>
      </c>
      <c r="B136" s="62" t="str">
        <f>IF($A136="","",IFERROR(INDEX(TblTareas[Responsable],129),""))</f>
      </c>
      <c r="C136" s="62" t="str">
        <f>IF($A136="","",IFERROR(INDEX(TblTareas[Trabajo],129),""))</f>
      </c>
      <c r="D136" s="62" t="str">
        <f>IF($A136="","",IFERROR(INDEX(TblTareas[Estado],129),""))</f>
      </c>
      <c r="E136" s="64" t="str">
        <f>IF($A136="","",IF(AND(INDEX(TblTareas[Activa],129)=1,E$7&gt;=INDEX(TblTareas[Semana],129),E$7&lt;INDEX(TblTareas[Semana],129)+INDEX(TblTareas[Duracion],129)),INDEX(TblTareas[Horas],129)/INDEX(TblTareas[Duracion],129),""))</f>
      </c>
      <c r="F136" s="64" t="str">
        <f>IF($A136="","",IF(AND(INDEX(TblTareas[Activa],129)=1,F$7&gt;=INDEX(TblTareas[Semana],129),F$7&lt;INDEX(TblTareas[Semana],129)+INDEX(TblTareas[Duracion],129)),INDEX(TblTareas[Horas],129)/INDEX(TblTareas[Duracion],129),""))</f>
      </c>
      <c r="G136" s="64" t="str">
        <f>IF($A136="","",IF(AND(INDEX(TblTareas[Activa],129)=1,G$7&gt;=INDEX(TblTareas[Semana],129),G$7&lt;INDEX(TblTareas[Semana],129)+INDEX(TblTareas[Duracion],129)),INDEX(TblTareas[Horas],129)/INDEX(TblTareas[Duracion],129),""))</f>
      </c>
      <c r="H136" s="64" t="str">
        <f>IF($A136="","",IF(AND(INDEX(TblTareas[Activa],129)=1,H$7&gt;=INDEX(TblTareas[Semana],129),H$7&lt;INDEX(TblTareas[Semana],129)+INDEX(TblTareas[Duracion],129)),INDEX(TblTareas[Horas],129)/INDEX(TblTareas[Duracion],129),""))</f>
      </c>
      <c r="I136" s="64" t="str">
        <f>IF($A136="","",IF(AND(INDEX(TblTareas[Activa],129)=1,I$7&gt;=INDEX(TblTareas[Semana],129),I$7&lt;INDEX(TblTareas[Semana],129)+INDEX(TblTareas[Duracion],129)),INDEX(TblTareas[Horas],129)/INDEX(TblTareas[Duracion],129),""))</f>
      </c>
      <c r="J136" s="64" t="str">
        <f>IF($A136="","",IF(AND(INDEX(TblTareas[Activa],129)=1,J$7&gt;=INDEX(TblTareas[Semana],129),J$7&lt;INDEX(TblTareas[Semana],129)+INDEX(TblTareas[Duracion],129)),INDEX(TblTareas[Horas],129)/INDEX(TblTareas[Duracion],129),""))</f>
      </c>
      <c r="K136" s="64" t="str">
        <f>IF($A136="","",IF(AND(INDEX(TblTareas[Activa],129)=1,K$7&gt;=INDEX(TblTareas[Semana],129),K$7&lt;INDEX(TblTareas[Semana],129)+INDEX(TblTareas[Duracion],129)),INDEX(TblTareas[Horas],129)/INDEX(TblTareas[Duracion],129),""))</f>
      </c>
      <c r="L136" s="64" t="str">
        <f>IF($A136="","",IF(AND(INDEX(TblTareas[Activa],129)=1,L$7&gt;=INDEX(TblTareas[Semana],129),L$7&lt;INDEX(TblTareas[Semana],129)+INDEX(TblTareas[Duracion],129)),INDEX(TblTareas[Horas],129)/INDEX(TblTareas[Duracion],129),""))</f>
      </c>
      <c r="M136" s="64" t="str">
        <f>IF($A136="","",IF(AND(INDEX(TblTareas[Activa],129)=1,M$7&gt;=INDEX(TblTareas[Semana],129),M$7&lt;INDEX(TblTareas[Semana],129)+INDEX(TblTareas[Duracion],129)),INDEX(TblTareas[Horas],129)/INDEX(TblTareas[Duracion],129),""))</f>
      </c>
      <c r="N136" s="64" t="str">
        <f>IF($A136="","",IF(AND(INDEX(TblTareas[Activa],129)=1,N$7&gt;=INDEX(TblTareas[Semana],129),N$7&lt;INDEX(TblTareas[Semana],129)+INDEX(TblTareas[Duracion],129)),INDEX(TblTareas[Horas],129)/INDEX(TblTareas[Duracion],129),""))</f>
      </c>
      <c r="O136" s="64" t="str">
        <f>IF($A136="","",IF(AND(INDEX(TblTareas[Activa],129)=1,O$7&gt;=INDEX(TblTareas[Semana],129),O$7&lt;INDEX(TblTareas[Semana],129)+INDEX(TblTareas[Duracion],129)),INDEX(TblTareas[Horas],129)/INDEX(TblTareas[Duracion],129),""))</f>
      </c>
      <c r="P136" s="64" t="str">
        <f>IF($A136="","",IF(AND(INDEX(TblTareas[Activa],129)=1,P$7&gt;=INDEX(TblTareas[Semana],129),P$7&lt;INDEX(TblTareas[Semana],129)+INDEX(TblTareas[Duracion],129)),INDEX(TblTareas[Horas],129)/INDEX(TblTareas[Duracion],129),""))</f>
      </c>
      <c r="Q136" s="64" t="str">
        <f>IF($A136="","",IF(AND(INDEX(TblTareas[Activa],129)=1,Q$7&gt;=INDEX(TblTareas[Semana],129),Q$7&lt;INDEX(TblTareas[Semana],129)+INDEX(TblTareas[Duracion],129)),INDEX(TblTareas[Horas],129)/INDEX(TblTareas[Duracion],129),""))</f>
      </c>
      <c r="R136" s="64" t="str">
        <f>IF($A136="","",IF(AND(INDEX(TblTareas[Activa],129)=1,R$7&gt;=INDEX(TblTareas[Semana],129),R$7&lt;INDEX(TblTareas[Semana],129)+INDEX(TblTareas[Duracion],129)),INDEX(TblTareas[Horas],129)/INDEX(TblTareas[Duracion],129),""))</f>
      </c>
      <c r="S136" s="64" t="str">
        <f>IF($A136="","",IF(AND(INDEX(TblTareas[Activa],129)=1,S$7&gt;=INDEX(TblTareas[Semana],129),S$7&lt;INDEX(TblTareas[Semana],129)+INDEX(TblTareas[Duracion],129)),INDEX(TblTareas[Horas],129)/INDEX(TblTareas[Duracion],129),""))</f>
      </c>
      <c r="T136" s="64" t="str">
        <f>IF($A136="","",IF(AND(INDEX(TblTareas[Activa],129)=1,T$7&gt;=INDEX(TblTareas[Semana],129),T$7&lt;INDEX(TblTareas[Semana],129)+INDEX(TblTareas[Duracion],129)),INDEX(TblTareas[Horas],129)/INDEX(TblTareas[Duracion],129),""))</f>
      </c>
    </row>
    <row r="137" ht="34" customHeight="1">
      <c r="A137" s="62" t="str">
        <f>IFERROR(IF(INDEX(TblTareas[ID],130)="","",INDEX(TblTareas[ID],130)),"")</f>
      </c>
      <c r="B137" s="62" t="str">
        <f>IF($A137="","",IFERROR(INDEX(TblTareas[Responsable],130),""))</f>
      </c>
      <c r="C137" s="62" t="str">
        <f>IF($A137="","",IFERROR(INDEX(TblTareas[Trabajo],130),""))</f>
      </c>
      <c r="D137" s="62" t="str">
        <f>IF($A137="","",IFERROR(INDEX(TblTareas[Estado],130),""))</f>
      </c>
      <c r="E137" s="64" t="str">
        <f>IF($A137="","",IF(AND(INDEX(TblTareas[Activa],130)=1,E$7&gt;=INDEX(TblTareas[Semana],130),E$7&lt;INDEX(TblTareas[Semana],130)+INDEX(TblTareas[Duracion],130)),INDEX(TblTareas[Horas],130)/INDEX(TblTareas[Duracion],130),""))</f>
      </c>
      <c r="F137" s="64" t="str">
        <f>IF($A137="","",IF(AND(INDEX(TblTareas[Activa],130)=1,F$7&gt;=INDEX(TblTareas[Semana],130),F$7&lt;INDEX(TblTareas[Semana],130)+INDEX(TblTareas[Duracion],130)),INDEX(TblTareas[Horas],130)/INDEX(TblTareas[Duracion],130),""))</f>
      </c>
      <c r="G137" s="64" t="str">
        <f>IF($A137="","",IF(AND(INDEX(TblTareas[Activa],130)=1,G$7&gt;=INDEX(TblTareas[Semana],130),G$7&lt;INDEX(TblTareas[Semana],130)+INDEX(TblTareas[Duracion],130)),INDEX(TblTareas[Horas],130)/INDEX(TblTareas[Duracion],130),""))</f>
      </c>
      <c r="H137" s="64" t="str">
        <f>IF($A137="","",IF(AND(INDEX(TblTareas[Activa],130)=1,H$7&gt;=INDEX(TblTareas[Semana],130),H$7&lt;INDEX(TblTareas[Semana],130)+INDEX(TblTareas[Duracion],130)),INDEX(TblTareas[Horas],130)/INDEX(TblTareas[Duracion],130),""))</f>
      </c>
      <c r="I137" s="64" t="str">
        <f>IF($A137="","",IF(AND(INDEX(TblTareas[Activa],130)=1,I$7&gt;=INDEX(TblTareas[Semana],130),I$7&lt;INDEX(TblTareas[Semana],130)+INDEX(TblTareas[Duracion],130)),INDEX(TblTareas[Horas],130)/INDEX(TblTareas[Duracion],130),""))</f>
      </c>
      <c r="J137" s="64" t="str">
        <f>IF($A137="","",IF(AND(INDEX(TblTareas[Activa],130)=1,J$7&gt;=INDEX(TblTareas[Semana],130),J$7&lt;INDEX(TblTareas[Semana],130)+INDEX(TblTareas[Duracion],130)),INDEX(TblTareas[Horas],130)/INDEX(TblTareas[Duracion],130),""))</f>
      </c>
      <c r="K137" s="64" t="str">
        <f>IF($A137="","",IF(AND(INDEX(TblTareas[Activa],130)=1,K$7&gt;=INDEX(TblTareas[Semana],130),K$7&lt;INDEX(TblTareas[Semana],130)+INDEX(TblTareas[Duracion],130)),INDEX(TblTareas[Horas],130)/INDEX(TblTareas[Duracion],130),""))</f>
      </c>
      <c r="L137" s="64" t="str">
        <f>IF($A137="","",IF(AND(INDEX(TblTareas[Activa],130)=1,L$7&gt;=INDEX(TblTareas[Semana],130),L$7&lt;INDEX(TblTareas[Semana],130)+INDEX(TblTareas[Duracion],130)),INDEX(TblTareas[Horas],130)/INDEX(TblTareas[Duracion],130),""))</f>
      </c>
      <c r="M137" s="64" t="str">
        <f>IF($A137="","",IF(AND(INDEX(TblTareas[Activa],130)=1,M$7&gt;=INDEX(TblTareas[Semana],130),M$7&lt;INDEX(TblTareas[Semana],130)+INDEX(TblTareas[Duracion],130)),INDEX(TblTareas[Horas],130)/INDEX(TblTareas[Duracion],130),""))</f>
      </c>
      <c r="N137" s="64" t="str">
        <f>IF($A137="","",IF(AND(INDEX(TblTareas[Activa],130)=1,N$7&gt;=INDEX(TblTareas[Semana],130),N$7&lt;INDEX(TblTareas[Semana],130)+INDEX(TblTareas[Duracion],130)),INDEX(TblTareas[Horas],130)/INDEX(TblTareas[Duracion],130),""))</f>
      </c>
      <c r="O137" s="64" t="str">
        <f>IF($A137="","",IF(AND(INDEX(TblTareas[Activa],130)=1,O$7&gt;=INDEX(TblTareas[Semana],130),O$7&lt;INDEX(TblTareas[Semana],130)+INDEX(TblTareas[Duracion],130)),INDEX(TblTareas[Horas],130)/INDEX(TblTareas[Duracion],130),""))</f>
      </c>
      <c r="P137" s="64" t="str">
        <f>IF($A137="","",IF(AND(INDEX(TblTareas[Activa],130)=1,P$7&gt;=INDEX(TblTareas[Semana],130),P$7&lt;INDEX(TblTareas[Semana],130)+INDEX(TblTareas[Duracion],130)),INDEX(TblTareas[Horas],130)/INDEX(TblTareas[Duracion],130),""))</f>
      </c>
      <c r="Q137" s="64" t="str">
        <f>IF($A137="","",IF(AND(INDEX(TblTareas[Activa],130)=1,Q$7&gt;=INDEX(TblTareas[Semana],130),Q$7&lt;INDEX(TblTareas[Semana],130)+INDEX(TblTareas[Duracion],130)),INDEX(TblTareas[Horas],130)/INDEX(TblTareas[Duracion],130),""))</f>
      </c>
      <c r="R137" s="64" t="str">
        <f>IF($A137="","",IF(AND(INDEX(TblTareas[Activa],130)=1,R$7&gt;=INDEX(TblTareas[Semana],130),R$7&lt;INDEX(TblTareas[Semana],130)+INDEX(TblTareas[Duracion],130)),INDEX(TblTareas[Horas],130)/INDEX(TblTareas[Duracion],130),""))</f>
      </c>
      <c r="S137" s="64" t="str">
        <f>IF($A137="","",IF(AND(INDEX(TblTareas[Activa],130)=1,S$7&gt;=INDEX(TblTareas[Semana],130),S$7&lt;INDEX(TblTareas[Semana],130)+INDEX(TblTareas[Duracion],130)),INDEX(TblTareas[Horas],130)/INDEX(TblTareas[Duracion],130),""))</f>
      </c>
      <c r="T137" s="64" t="str">
        <f>IF($A137="","",IF(AND(INDEX(TblTareas[Activa],130)=1,T$7&gt;=INDEX(TblTareas[Semana],130),T$7&lt;INDEX(TblTareas[Semana],130)+INDEX(TblTareas[Duracion],130)),INDEX(TblTareas[Horas],130)/INDEX(TblTareas[Duracion],130),""))</f>
      </c>
    </row>
    <row r="138" ht="34" customHeight="1">
      <c r="A138" s="62" t="str">
        <f>IFERROR(IF(INDEX(TblTareas[ID],131)="","",INDEX(TblTareas[ID],131)),"")</f>
      </c>
      <c r="B138" s="62" t="str">
        <f>IF($A138="","",IFERROR(INDEX(TblTareas[Responsable],131),""))</f>
      </c>
      <c r="C138" s="62" t="str">
        <f>IF($A138="","",IFERROR(INDEX(TblTareas[Trabajo],131),""))</f>
      </c>
      <c r="D138" s="62" t="str">
        <f>IF($A138="","",IFERROR(INDEX(TblTareas[Estado],131),""))</f>
      </c>
      <c r="E138" s="64" t="str">
        <f>IF($A138="","",IF(AND(INDEX(TblTareas[Activa],131)=1,E$7&gt;=INDEX(TblTareas[Semana],131),E$7&lt;INDEX(TblTareas[Semana],131)+INDEX(TblTareas[Duracion],131)),INDEX(TblTareas[Horas],131)/INDEX(TblTareas[Duracion],131),""))</f>
      </c>
      <c r="F138" s="64" t="str">
        <f>IF($A138="","",IF(AND(INDEX(TblTareas[Activa],131)=1,F$7&gt;=INDEX(TblTareas[Semana],131),F$7&lt;INDEX(TblTareas[Semana],131)+INDEX(TblTareas[Duracion],131)),INDEX(TblTareas[Horas],131)/INDEX(TblTareas[Duracion],131),""))</f>
      </c>
      <c r="G138" s="64" t="str">
        <f>IF($A138="","",IF(AND(INDEX(TblTareas[Activa],131)=1,G$7&gt;=INDEX(TblTareas[Semana],131),G$7&lt;INDEX(TblTareas[Semana],131)+INDEX(TblTareas[Duracion],131)),INDEX(TblTareas[Horas],131)/INDEX(TblTareas[Duracion],131),""))</f>
      </c>
      <c r="H138" s="64" t="str">
        <f>IF($A138="","",IF(AND(INDEX(TblTareas[Activa],131)=1,H$7&gt;=INDEX(TblTareas[Semana],131),H$7&lt;INDEX(TblTareas[Semana],131)+INDEX(TblTareas[Duracion],131)),INDEX(TblTareas[Horas],131)/INDEX(TblTareas[Duracion],131),""))</f>
      </c>
      <c r="I138" s="64" t="str">
        <f>IF($A138="","",IF(AND(INDEX(TblTareas[Activa],131)=1,I$7&gt;=INDEX(TblTareas[Semana],131),I$7&lt;INDEX(TblTareas[Semana],131)+INDEX(TblTareas[Duracion],131)),INDEX(TblTareas[Horas],131)/INDEX(TblTareas[Duracion],131),""))</f>
      </c>
      <c r="J138" s="64" t="str">
        <f>IF($A138="","",IF(AND(INDEX(TblTareas[Activa],131)=1,J$7&gt;=INDEX(TblTareas[Semana],131),J$7&lt;INDEX(TblTareas[Semana],131)+INDEX(TblTareas[Duracion],131)),INDEX(TblTareas[Horas],131)/INDEX(TblTareas[Duracion],131),""))</f>
      </c>
      <c r="K138" s="64" t="str">
        <f>IF($A138="","",IF(AND(INDEX(TblTareas[Activa],131)=1,K$7&gt;=INDEX(TblTareas[Semana],131),K$7&lt;INDEX(TblTareas[Semana],131)+INDEX(TblTareas[Duracion],131)),INDEX(TblTareas[Horas],131)/INDEX(TblTareas[Duracion],131),""))</f>
      </c>
      <c r="L138" s="64" t="str">
        <f>IF($A138="","",IF(AND(INDEX(TblTareas[Activa],131)=1,L$7&gt;=INDEX(TblTareas[Semana],131),L$7&lt;INDEX(TblTareas[Semana],131)+INDEX(TblTareas[Duracion],131)),INDEX(TblTareas[Horas],131)/INDEX(TblTareas[Duracion],131),""))</f>
      </c>
      <c r="M138" s="64" t="str">
        <f>IF($A138="","",IF(AND(INDEX(TblTareas[Activa],131)=1,M$7&gt;=INDEX(TblTareas[Semana],131),M$7&lt;INDEX(TblTareas[Semana],131)+INDEX(TblTareas[Duracion],131)),INDEX(TblTareas[Horas],131)/INDEX(TblTareas[Duracion],131),""))</f>
      </c>
      <c r="N138" s="64" t="str">
        <f>IF($A138="","",IF(AND(INDEX(TblTareas[Activa],131)=1,N$7&gt;=INDEX(TblTareas[Semana],131),N$7&lt;INDEX(TblTareas[Semana],131)+INDEX(TblTareas[Duracion],131)),INDEX(TblTareas[Horas],131)/INDEX(TblTareas[Duracion],131),""))</f>
      </c>
      <c r="O138" s="64" t="str">
        <f>IF($A138="","",IF(AND(INDEX(TblTareas[Activa],131)=1,O$7&gt;=INDEX(TblTareas[Semana],131),O$7&lt;INDEX(TblTareas[Semana],131)+INDEX(TblTareas[Duracion],131)),INDEX(TblTareas[Horas],131)/INDEX(TblTareas[Duracion],131),""))</f>
      </c>
      <c r="P138" s="64" t="str">
        <f>IF($A138="","",IF(AND(INDEX(TblTareas[Activa],131)=1,P$7&gt;=INDEX(TblTareas[Semana],131),P$7&lt;INDEX(TblTareas[Semana],131)+INDEX(TblTareas[Duracion],131)),INDEX(TblTareas[Horas],131)/INDEX(TblTareas[Duracion],131),""))</f>
      </c>
      <c r="Q138" s="64" t="str">
        <f>IF($A138="","",IF(AND(INDEX(TblTareas[Activa],131)=1,Q$7&gt;=INDEX(TblTareas[Semana],131),Q$7&lt;INDEX(TblTareas[Semana],131)+INDEX(TblTareas[Duracion],131)),INDEX(TblTareas[Horas],131)/INDEX(TblTareas[Duracion],131),""))</f>
      </c>
      <c r="R138" s="64" t="str">
        <f>IF($A138="","",IF(AND(INDEX(TblTareas[Activa],131)=1,R$7&gt;=INDEX(TblTareas[Semana],131),R$7&lt;INDEX(TblTareas[Semana],131)+INDEX(TblTareas[Duracion],131)),INDEX(TblTareas[Horas],131)/INDEX(TblTareas[Duracion],131),""))</f>
      </c>
      <c r="S138" s="64" t="str">
        <f>IF($A138="","",IF(AND(INDEX(TblTareas[Activa],131)=1,S$7&gt;=INDEX(TblTareas[Semana],131),S$7&lt;INDEX(TblTareas[Semana],131)+INDEX(TblTareas[Duracion],131)),INDEX(TblTareas[Horas],131)/INDEX(TblTareas[Duracion],131),""))</f>
      </c>
      <c r="T138" s="64" t="str">
        <f>IF($A138="","",IF(AND(INDEX(TblTareas[Activa],131)=1,T$7&gt;=INDEX(TblTareas[Semana],131),T$7&lt;INDEX(TblTareas[Semana],131)+INDEX(TblTareas[Duracion],131)),INDEX(TblTareas[Horas],131)/INDEX(TblTareas[Duracion],131),""))</f>
      </c>
    </row>
    <row r="139" ht="34" customHeight="1">
      <c r="A139" s="62" t="str">
        <f>IFERROR(IF(INDEX(TblTareas[ID],132)="","",INDEX(TblTareas[ID],132)),"")</f>
      </c>
      <c r="B139" s="62" t="str">
        <f>IF($A139="","",IFERROR(INDEX(TblTareas[Responsable],132),""))</f>
      </c>
      <c r="C139" s="62" t="str">
        <f>IF($A139="","",IFERROR(INDEX(TblTareas[Trabajo],132),""))</f>
      </c>
      <c r="D139" s="62" t="str">
        <f>IF($A139="","",IFERROR(INDEX(TblTareas[Estado],132),""))</f>
      </c>
      <c r="E139" s="64" t="str">
        <f>IF($A139="","",IF(AND(INDEX(TblTareas[Activa],132)=1,E$7&gt;=INDEX(TblTareas[Semana],132),E$7&lt;INDEX(TblTareas[Semana],132)+INDEX(TblTareas[Duracion],132)),INDEX(TblTareas[Horas],132)/INDEX(TblTareas[Duracion],132),""))</f>
      </c>
      <c r="F139" s="64" t="str">
        <f>IF($A139="","",IF(AND(INDEX(TblTareas[Activa],132)=1,F$7&gt;=INDEX(TblTareas[Semana],132),F$7&lt;INDEX(TblTareas[Semana],132)+INDEX(TblTareas[Duracion],132)),INDEX(TblTareas[Horas],132)/INDEX(TblTareas[Duracion],132),""))</f>
      </c>
      <c r="G139" s="64" t="str">
        <f>IF($A139="","",IF(AND(INDEX(TblTareas[Activa],132)=1,G$7&gt;=INDEX(TblTareas[Semana],132),G$7&lt;INDEX(TblTareas[Semana],132)+INDEX(TblTareas[Duracion],132)),INDEX(TblTareas[Horas],132)/INDEX(TblTareas[Duracion],132),""))</f>
      </c>
      <c r="H139" s="64" t="str">
        <f>IF($A139="","",IF(AND(INDEX(TblTareas[Activa],132)=1,H$7&gt;=INDEX(TblTareas[Semana],132),H$7&lt;INDEX(TblTareas[Semana],132)+INDEX(TblTareas[Duracion],132)),INDEX(TblTareas[Horas],132)/INDEX(TblTareas[Duracion],132),""))</f>
      </c>
      <c r="I139" s="64" t="str">
        <f>IF($A139="","",IF(AND(INDEX(TblTareas[Activa],132)=1,I$7&gt;=INDEX(TblTareas[Semana],132),I$7&lt;INDEX(TblTareas[Semana],132)+INDEX(TblTareas[Duracion],132)),INDEX(TblTareas[Horas],132)/INDEX(TblTareas[Duracion],132),""))</f>
      </c>
      <c r="J139" s="64" t="str">
        <f>IF($A139="","",IF(AND(INDEX(TblTareas[Activa],132)=1,J$7&gt;=INDEX(TblTareas[Semana],132),J$7&lt;INDEX(TblTareas[Semana],132)+INDEX(TblTareas[Duracion],132)),INDEX(TblTareas[Horas],132)/INDEX(TblTareas[Duracion],132),""))</f>
      </c>
      <c r="K139" s="64" t="str">
        <f>IF($A139="","",IF(AND(INDEX(TblTareas[Activa],132)=1,K$7&gt;=INDEX(TblTareas[Semana],132),K$7&lt;INDEX(TblTareas[Semana],132)+INDEX(TblTareas[Duracion],132)),INDEX(TblTareas[Horas],132)/INDEX(TblTareas[Duracion],132),""))</f>
      </c>
      <c r="L139" s="64" t="str">
        <f>IF($A139="","",IF(AND(INDEX(TblTareas[Activa],132)=1,L$7&gt;=INDEX(TblTareas[Semana],132),L$7&lt;INDEX(TblTareas[Semana],132)+INDEX(TblTareas[Duracion],132)),INDEX(TblTareas[Horas],132)/INDEX(TblTareas[Duracion],132),""))</f>
      </c>
      <c r="M139" s="64" t="str">
        <f>IF($A139="","",IF(AND(INDEX(TblTareas[Activa],132)=1,M$7&gt;=INDEX(TblTareas[Semana],132),M$7&lt;INDEX(TblTareas[Semana],132)+INDEX(TblTareas[Duracion],132)),INDEX(TblTareas[Horas],132)/INDEX(TblTareas[Duracion],132),""))</f>
      </c>
      <c r="N139" s="64" t="str">
        <f>IF($A139="","",IF(AND(INDEX(TblTareas[Activa],132)=1,N$7&gt;=INDEX(TblTareas[Semana],132),N$7&lt;INDEX(TblTareas[Semana],132)+INDEX(TblTareas[Duracion],132)),INDEX(TblTareas[Horas],132)/INDEX(TblTareas[Duracion],132),""))</f>
      </c>
      <c r="O139" s="64" t="str">
        <f>IF($A139="","",IF(AND(INDEX(TblTareas[Activa],132)=1,O$7&gt;=INDEX(TblTareas[Semana],132),O$7&lt;INDEX(TblTareas[Semana],132)+INDEX(TblTareas[Duracion],132)),INDEX(TblTareas[Horas],132)/INDEX(TblTareas[Duracion],132),""))</f>
      </c>
      <c r="P139" s="64" t="str">
        <f>IF($A139="","",IF(AND(INDEX(TblTareas[Activa],132)=1,P$7&gt;=INDEX(TblTareas[Semana],132),P$7&lt;INDEX(TblTareas[Semana],132)+INDEX(TblTareas[Duracion],132)),INDEX(TblTareas[Horas],132)/INDEX(TblTareas[Duracion],132),""))</f>
      </c>
      <c r="Q139" s="64" t="str">
        <f>IF($A139="","",IF(AND(INDEX(TblTareas[Activa],132)=1,Q$7&gt;=INDEX(TblTareas[Semana],132),Q$7&lt;INDEX(TblTareas[Semana],132)+INDEX(TblTareas[Duracion],132)),INDEX(TblTareas[Horas],132)/INDEX(TblTareas[Duracion],132),""))</f>
      </c>
      <c r="R139" s="64" t="str">
        <f>IF($A139="","",IF(AND(INDEX(TblTareas[Activa],132)=1,R$7&gt;=INDEX(TblTareas[Semana],132),R$7&lt;INDEX(TblTareas[Semana],132)+INDEX(TblTareas[Duracion],132)),INDEX(TblTareas[Horas],132)/INDEX(TblTareas[Duracion],132),""))</f>
      </c>
      <c r="S139" s="64" t="str">
        <f>IF($A139="","",IF(AND(INDEX(TblTareas[Activa],132)=1,S$7&gt;=INDEX(TblTareas[Semana],132),S$7&lt;INDEX(TblTareas[Semana],132)+INDEX(TblTareas[Duracion],132)),INDEX(TblTareas[Horas],132)/INDEX(TblTareas[Duracion],132),""))</f>
      </c>
      <c r="T139" s="64" t="str">
        <f>IF($A139="","",IF(AND(INDEX(TblTareas[Activa],132)=1,T$7&gt;=INDEX(TblTareas[Semana],132),T$7&lt;INDEX(TblTareas[Semana],132)+INDEX(TblTareas[Duracion],132)),INDEX(TblTareas[Horas],132)/INDEX(TblTareas[Duracion],132),""))</f>
      </c>
    </row>
    <row r="140" ht="34" customHeight="1">
      <c r="A140" s="62" t="str">
        <f>IFERROR(IF(INDEX(TblTareas[ID],133)="","",INDEX(TblTareas[ID],133)),"")</f>
      </c>
      <c r="B140" s="62" t="str">
        <f>IF($A140="","",IFERROR(INDEX(TblTareas[Responsable],133),""))</f>
      </c>
      <c r="C140" s="62" t="str">
        <f>IF($A140="","",IFERROR(INDEX(TblTareas[Trabajo],133),""))</f>
      </c>
      <c r="D140" s="62" t="str">
        <f>IF($A140="","",IFERROR(INDEX(TblTareas[Estado],133),""))</f>
      </c>
      <c r="E140" s="64" t="str">
        <f>IF($A140="","",IF(AND(INDEX(TblTareas[Activa],133)=1,E$7&gt;=INDEX(TblTareas[Semana],133),E$7&lt;INDEX(TblTareas[Semana],133)+INDEX(TblTareas[Duracion],133)),INDEX(TblTareas[Horas],133)/INDEX(TblTareas[Duracion],133),""))</f>
      </c>
      <c r="F140" s="64" t="str">
        <f>IF($A140="","",IF(AND(INDEX(TblTareas[Activa],133)=1,F$7&gt;=INDEX(TblTareas[Semana],133),F$7&lt;INDEX(TblTareas[Semana],133)+INDEX(TblTareas[Duracion],133)),INDEX(TblTareas[Horas],133)/INDEX(TblTareas[Duracion],133),""))</f>
      </c>
      <c r="G140" s="64" t="str">
        <f>IF($A140="","",IF(AND(INDEX(TblTareas[Activa],133)=1,G$7&gt;=INDEX(TblTareas[Semana],133),G$7&lt;INDEX(TblTareas[Semana],133)+INDEX(TblTareas[Duracion],133)),INDEX(TblTareas[Horas],133)/INDEX(TblTareas[Duracion],133),""))</f>
      </c>
      <c r="H140" s="64" t="str">
        <f>IF($A140="","",IF(AND(INDEX(TblTareas[Activa],133)=1,H$7&gt;=INDEX(TblTareas[Semana],133),H$7&lt;INDEX(TblTareas[Semana],133)+INDEX(TblTareas[Duracion],133)),INDEX(TblTareas[Horas],133)/INDEX(TblTareas[Duracion],133),""))</f>
      </c>
      <c r="I140" s="64" t="str">
        <f>IF($A140="","",IF(AND(INDEX(TblTareas[Activa],133)=1,I$7&gt;=INDEX(TblTareas[Semana],133),I$7&lt;INDEX(TblTareas[Semana],133)+INDEX(TblTareas[Duracion],133)),INDEX(TblTareas[Horas],133)/INDEX(TblTareas[Duracion],133),""))</f>
      </c>
      <c r="J140" s="64" t="str">
        <f>IF($A140="","",IF(AND(INDEX(TblTareas[Activa],133)=1,J$7&gt;=INDEX(TblTareas[Semana],133),J$7&lt;INDEX(TblTareas[Semana],133)+INDEX(TblTareas[Duracion],133)),INDEX(TblTareas[Horas],133)/INDEX(TblTareas[Duracion],133),""))</f>
      </c>
      <c r="K140" s="64" t="str">
        <f>IF($A140="","",IF(AND(INDEX(TblTareas[Activa],133)=1,K$7&gt;=INDEX(TblTareas[Semana],133),K$7&lt;INDEX(TblTareas[Semana],133)+INDEX(TblTareas[Duracion],133)),INDEX(TblTareas[Horas],133)/INDEX(TblTareas[Duracion],133),""))</f>
      </c>
      <c r="L140" s="64" t="str">
        <f>IF($A140="","",IF(AND(INDEX(TblTareas[Activa],133)=1,L$7&gt;=INDEX(TblTareas[Semana],133),L$7&lt;INDEX(TblTareas[Semana],133)+INDEX(TblTareas[Duracion],133)),INDEX(TblTareas[Horas],133)/INDEX(TblTareas[Duracion],133),""))</f>
      </c>
      <c r="M140" s="64" t="str">
        <f>IF($A140="","",IF(AND(INDEX(TblTareas[Activa],133)=1,M$7&gt;=INDEX(TblTareas[Semana],133),M$7&lt;INDEX(TblTareas[Semana],133)+INDEX(TblTareas[Duracion],133)),INDEX(TblTareas[Horas],133)/INDEX(TblTareas[Duracion],133),""))</f>
      </c>
      <c r="N140" s="64" t="str">
        <f>IF($A140="","",IF(AND(INDEX(TblTareas[Activa],133)=1,N$7&gt;=INDEX(TblTareas[Semana],133),N$7&lt;INDEX(TblTareas[Semana],133)+INDEX(TblTareas[Duracion],133)),INDEX(TblTareas[Horas],133)/INDEX(TblTareas[Duracion],133),""))</f>
      </c>
      <c r="O140" s="64" t="str">
        <f>IF($A140="","",IF(AND(INDEX(TblTareas[Activa],133)=1,O$7&gt;=INDEX(TblTareas[Semana],133),O$7&lt;INDEX(TblTareas[Semana],133)+INDEX(TblTareas[Duracion],133)),INDEX(TblTareas[Horas],133)/INDEX(TblTareas[Duracion],133),""))</f>
      </c>
      <c r="P140" s="64" t="str">
        <f>IF($A140="","",IF(AND(INDEX(TblTareas[Activa],133)=1,P$7&gt;=INDEX(TblTareas[Semana],133),P$7&lt;INDEX(TblTareas[Semana],133)+INDEX(TblTareas[Duracion],133)),INDEX(TblTareas[Horas],133)/INDEX(TblTareas[Duracion],133),""))</f>
      </c>
      <c r="Q140" s="64" t="str">
        <f>IF($A140="","",IF(AND(INDEX(TblTareas[Activa],133)=1,Q$7&gt;=INDEX(TblTareas[Semana],133),Q$7&lt;INDEX(TblTareas[Semana],133)+INDEX(TblTareas[Duracion],133)),INDEX(TblTareas[Horas],133)/INDEX(TblTareas[Duracion],133),""))</f>
      </c>
      <c r="R140" s="64" t="str">
        <f>IF($A140="","",IF(AND(INDEX(TblTareas[Activa],133)=1,R$7&gt;=INDEX(TblTareas[Semana],133),R$7&lt;INDEX(TblTareas[Semana],133)+INDEX(TblTareas[Duracion],133)),INDEX(TblTareas[Horas],133)/INDEX(TblTareas[Duracion],133),""))</f>
      </c>
      <c r="S140" s="64" t="str">
        <f>IF($A140="","",IF(AND(INDEX(TblTareas[Activa],133)=1,S$7&gt;=INDEX(TblTareas[Semana],133),S$7&lt;INDEX(TblTareas[Semana],133)+INDEX(TblTareas[Duracion],133)),INDEX(TblTareas[Horas],133)/INDEX(TblTareas[Duracion],133),""))</f>
      </c>
      <c r="T140" s="64" t="str">
        <f>IF($A140="","",IF(AND(INDEX(TblTareas[Activa],133)=1,T$7&gt;=INDEX(TblTareas[Semana],133),T$7&lt;INDEX(TblTareas[Semana],133)+INDEX(TblTareas[Duracion],133)),INDEX(TblTareas[Horas],133)/INDEX(TblTareas[Duracion],133),""))</f>
      </c>
    </row>
    <row r="141" ht="34" customHeight="1">
      <c r="A141" s="62" t="str">
        <f>IFERROR(IF(INDEX(TblTareas[ID],134)="","",INDEX(TblTareas[ID],134)),"")</f>
      </c>
      <c r="B141" s="62" t="str">
        <f>IF($A141="","",IFERROR(INDEX(TblTareas[Responsable],134),""))</f>
      </c>
      <c r="C141" s="62" t="str">
        <f>IF($A141="","",IFERROR(INDEX(TblTareas[Trabajo],134),""))</f>
      </c>
      <c r="D141" s="62" t="str">
        <f>IF($A141="","",IFERROR(INDEX(TblTareas[Estado],134),""))</f>
      </c>
      <c r="E141" s="64" t="str">
        <f>IF($A141="","",IF(AND(INDEX(TblTareas[Activa],134)=1,E$7&gt;=INDEX(TblTareas[Semana],134),E$7&lt;INDEX(TblTareas[Semana],134)+INDEX(TblTareas[Duracion],134)),INDEX(TblTareas[Horas],134)/INDEX(TblTareas[Duracion],134),""))</f>
      </c>
      <c r="F141" s="64" t="str">
        <f>IF($A141="","",IF(AND(INDEX(TblTareas[Activa],134)=1,F$7&gt;=INDEX(TblTareas[Semana],134),F$7&lt;INDEX(TblTareas[Semana],134)+INDEX(TblTareas[Duracion],134)),INDEX(TblTareas[Horas],134)/INDEX(TblTareas[Duracion],134),""))</f>
      </c>
      <c r="G141" s="64" t="str">
        <f>IF($A141="","",IF(AND(INDEX(TblTareas[Activa],134)=1,G$7&gt;=INDEX(TblTareas[Semana],134),G$7&lt;INDEX(TblTareas[Semana],134)+INDEX(TblTareas[Duracion],134)),INDEX(TblTareas[Horas],134)/INDEX(TblTareas[Duracion],134),""))</f>
      </c>
      <c r="H141" s="64" t="str">
        <f>IF($A141="","",IF(AND(INDEX(TblTareas[Activa],134)=1,H$7&gt;=INDEX(TblTareas[Semana],134),H$7&lt;INDEX(TblTareas[Semana],134)+INDEX(TblTareas[Duracion],134)),INDEX(TblTareas[Horas],134)/INDEX(TblTareas[Duracion],134),""))</f>
      </c>
      <c r="I141" s="64" t="str">
        <f>IF($A141="","",IF(AND(INDEX(TblTareas[Activa],134)=1,I$7&gt;=INDEX(TblTareas[Semana],134),I$7&lt;INDEX(TblTareas[Semana],134)+INDEX(TblTareas[Duracion],134)),INDEX(TblTareas[Horas],134)/INDEX(TblTareas[Duracion],134),""))</f>
      </c>
      <c r="J141" s="64" t="str">
        <f>IF($A141="","",IF(AND(INDEX(TblTareas[Activa],134)=1,J$7&gt;=INDEX(TblTareas[Semana],134),J$7&lt;INDEX(TblTareas[Semana],134)+INDEX(TblTareas[Duracion],134)),INDEX(TblTareas[Horas],134)/INDEX(TblTareas[Duracion],134),""))</f>
      </c>
      <c r="K141" s="64" t="str">
        <f>IF($A141="","",IF(AND(INDEX(TblTareas[Activa],134)=1,K$7&gt;=INDEX(TblTareas[Semana],134),K$7&lt;INDEX(TblTareas[Semana],134)+INDEX(TblTareas[Duracion],134)),INDEX(TblTareas[Horas],134)/INDEX(TblTareas[Duracion],134),""))</f>
      </c>
      <c r="L141" s="64" t="str">
        <f>IF($A141="","",IF(AND(INDEX(TblTareas[Activa],134)=1,L$7&gt;=INDEX(TblTareas[Semana],134),L$7&lt;INDEX(TblTareas[Semana],134)+INDEX(TblTareas[Duracion],134)),INDEX(TblTareas[Horas],134)/INDEX(TblTareas[Duracion],134),""))</f>
      </c>
      <c r="M141" s="64" t="str">
        <f>IF($A141="","",IF(AND(INDEX(TblTareas[Activa],134)=1,M$7&gt;=INDEX(TblTareas[Semana],134),M$7&lt;INDEX(TblTareas[Semana],134)+INDEX(TblTareas[Duracion],134)),INDEX(TblTareas[Horas],134)/INDEX(TblTareas[Duracion],134),""))</f>
      </c>
      <c r="N141" s="64" t="str">
        <f>IF($A141="","",IF(AND(INDEX(TblTareas[Activa],134)=1,N$7&gt;=INDEX(TblTareas[Semana],134),N$7&lt;INDEX(TblTareas[Semana],134)+INDEX(TblTareas[Duracion],134)),INDEX(TblTareas[Horas],134)/INDEX(TblTareas[Duracion],134),""))</f>
      </c>
      <c r="O141" s="64" t="str">
        <f>IF($A141="","",IF(AND(INDEX(TblTareas[Activa],134)=1,O$7&gt;=INDEX(TblTareas[Semana],134),O$7&lt;INDEX(TblTareas[Semana],134)+INDEX(TblTareas[Duracion],134)),INDEX(TblTareas[Horas],134)/INDEX(TblTareas[Duracion],134),""))</f>
      </c>
      <c r="P141" s="64" t="str">
        <f>IF($A141="","",IF(AND(INDEX(TblTareas[Activa],134)=1,P$7&gt;=INDEX(TblTareas[Semana],134),P$7&lt;INDEX(TblTareas[Semana],134)+INDEX(TblTareas[Duracion],134)),INDEX(TblTareas[Horas],134)/INDEX(TblTareas[Duracion],134),""))</f>
      </c>
      <c r="Q141" s="64" t="str">
        <f>IF($A141="","",IF(AND(INDEX(TblTareas[Activa],134)=1,Q$7&gt;=INDEX(TblTareas[Semana],134),Q$7&lt;INDEX(TblTareas[Semana],134)+INDEX(TblTareas[Duracion],134)),INDEX(TblTareas[Horas],134)/INDEX(TblTareas[Duracion],134),""))</f>
      </c>
      <c r="R141" s="64" t="str">
        <f>IF($A141="","",IF(AND(INDEX(TblTareas[Activa],134)=1,R$7&gt;=INDEX(TblTareas[Semana],134),R$7&lt;INDEX(TblTareas[Semana],134)+INDEX(TblTareas[Duracion],134)),INDEX(TblTareas[Horas],134)/INDEX(TblTareas[Duracion],134),""))</f>
      </c>
      <c r="S141" s="64" t="str">
        <f>IF($A141="","",IF(AND(INDEX(TblTareas[Activa],134)=1,S$7&gt;=INDEX(TblTareas[Semana],134),S$7&lt;INDEX(TblTareas[Semana],134)+INDEX(TblTareas[Duracion],134)),INDEX(TblTareas[Horas],134)/INDEX(TblTareas[Duracion],134),""))</f>
      </c>
      <c r="T141" s="64" t="str">
        <f>IF($A141="","",IF(AND(INDEX(TblTareas[Activa],134)=1,T$7&gt;=INDEX(TblTareas[Semana],134),T$7&lt;INDEX(TblTareas[Semana],134)+INDEX(TblTareas[Duracion],134)),INDEX(TblTareas[Horas],134)/INDEX(TblTareas[Duracion],134),""))</f>
      </c>
    </row>
    <row r="142" ht="34" customHeight="1">
      <c r="A142" s="62" t="str">
        <f>IFERROR(IF(INDEX(TblTareas[ID],135)="","",INDEX(TblTareas[ID],135)),"")</f>
      </c>
      <c r="B142" s="62" t="str">
        <f>IF($A142="","",IFERROR(INDEX(TblTareas[Responsable],135),""))</f>
      </c>
      <c r="C142" s="62" t="str">
        <f>IF($A142="","",IFERROR(INDEX(TblTareas[Trabajo],135),""))</f>
      </c>
      <c r="D142" s="62" t="str">
        <f>IF($A142="","",IFERROR(INDEX(TblTareas[Estado],135),""))</f>
      </c>
      <c r="E142" s="64" t="str">
        <f>IF($A142="","",IF(AND(INDEX(TblTareas[Activa],135)=1,E$7&gt;=INDEX(TblTareas[Semana],135),E$7&lt;INDEX(TblTareas[Semana],135)+INDEX(TblTareas[Duracion],135)),INDEX(TblTareas[Horas],135)/INDEX(TblTareas[Duracion],135),""))</f>
      </c>
      <c r="F142" s="64" t="str">
        <f>IF($A142="","",IF(AND(INDEX(TblTareas[Activa],135)=1,F$7&gt;=INDEX(TblTareas[Semana],135),F$7&lt;INDEX(TblTareas[Semana],135)+INDEX(TblTareas[Duracion],135)),INDEX(TblTareas[Horas],135)/INDEX(TblTareas[Duracion],135),""))</f>
      </c>
      <c r="G142" s="64" t="str">
        <f>IF($A142="","",IF(AND(INDEX(TblTareas[Activa],135)=1,G$7&gt;=INDEX(TblTareas[Semana],135),G$7&lt;INDEX(TblTareas[Semana],135)+INDEX(TblTareas[Duracion],135)),INDEX(TblTareas[Horas],135)/INDEX(TblTareas[Duracion],135),""))</f>
      </c>
      <c r="H142" s="64" t="str">
        <f>IF($A142="","",IF(AND(INDEX(TblTareas[Activa],135)=1,H$7&gt;=INDEX(TblTareas[Semana],135),H$7&lt;INDEX(TblTareas[Semana],135)+INDEX(TblTareas[Duracion],135)),INDEX(TblTareas[Horas],135)/INDEX(TblTareas[Duracion],135),""))</f>
      </c>
      <c r="I142" s="64" t="str">
        <f>IF($A142="","",IF(AND(INDEX(TblTareas[Activa],135)=1,I$7&gt;=INDEX(TblTareas[Semana],135),I$7&lt;INDEX(TblTareas[Semana],135)+INDEX(TblTareas[Duracion],135)),INDEX(TblTareas[Horas],135)/INDEX(TblTareas[Duracion],135),""))</f>
      </c>
      <c r="J142" s="64" t="str">
        <f>IF($A142="","",IF(AND(INDEX(TblTareas[Activa],135)=1,J$7&gt;=INDEX(TblTareas[Semana],135),J$7&lt;INDEX(TblTareas[Semana],135)+INDEX(TblTareas[Duracion],135)),INDEX(TblTareas[Horas],135)/INDEX(TblTareas[Duracion],135),""))</f>
      </c>
      <c r="K142" s="64" t="str">
        <f>IF($A142="","",IF(AND(INDEX(TblTareas[Activa],135)=1,K$7&gt;=INDEX(TblTareas[Semana],135),K$7&lt;INDEX(TblTareas[Semana],135)+INDEX(TblTareas[Duracion],135)),INDEX(TblTareas[Horas],135)/INDEX(TblTareas[Duracion],135),""))</f>
      </c>
      <c r="L142" s="64" t="str">
        <f>IF($A142="","",IF(AND(INDEX(TblTareas[Activa],135)=1,L$7&gt;=INDEX(TblTareas[Semana],135),L$7&lt;INDEX(TblTareas[Semana],135)+INDEX(TblTareas[Duracion],135)),INDEX(TblTareas[Horas],135)/INDEX(TblTareas[Duracion],135),""))</f>
      </c>
      <c r="M142" s="64" t="str">
        <f>IF($A142="","",IF(AND(INDEX(TblTareas[Activa],135)=1,M$7&gt;=INDEX(TblTareas[Semana],135),M$7&lt;INDEX(TblTareas[Semana],135)+INDEX(TblTareas[Duracion],135)),INDEX(TblTareas[Horas],135)/INDEX(TblTareas[Duracion],135),""))</f>
      </c>
      <c r="N142" s="64" t="str">
        <f>IF($A142="","",IF(AND(INDEX(TblTareas[Activa],135)=1,N$7&gt;=INDEX(TblTareas[Semana],135),N$7&lt;INDEX(TblTareas[Semana],135)+INDEX(TblTareas[Duracion],135)),INDEX(TblTareas[Horas],135)/INDEX(TblTareas[Duracion],135),""))</f>
      </c>
      <c r="O142" s="64" t="str">
        <f>IF($A142="","",IF(AND(INDEX(TblTareas[Activa],135)=1,O$7&gt;=INDEX(TblTareas[Semana],135),O$7&lt;INDEX(TblTareas[Semana],135)+INDEX(TblTareas[Duracion],135)),INDEX(TblTareas[Horas],135)/INDEX(TblTareas[Duracion],135),""))</f>
      </c>
      <c r="P142" s="64" t="str">
        <f>IF($A142="","",IF(AND(INDEX(TblTareas[Activa],135)=1,P$7&gt;=INDEX(TblTareas[Semana],135),P$7&lt;INDEX(TblTareas[Semana],135)+INDEX(TblTareas[Duracion],135)),INDEX(TblTareas[Horas],135)/INDEX(TblTareas[Duracion],135),""))</f>
      </c>
      <c r="Q142" s="64" t="str">
        <f>IF($A142="","",IF(AND(INDEX(TblTareas[Activa],135)=1,Q$7&gt;=INDEX(TblTareas[Semana],135),Q$7&lt;INDEX(TblTareas[Semana],135)+INDEX(TblTareas[Duracion],135)),INDEX(TblTareas[Horas],135)/INDEX(TblTareas[Duracion],135),""))</f>
      </c>
      <c r="R142" s="64" t="str">
        <f>IF($A142="","",IF(AND(INDEX(TblTareas[Activa],135)=1,R$7&gt;=INDEX(TblTareas[Semana],135),R$7&lt;INDEX(TblTareas[Semana],135)+INDEX(TblTareas[Duracion],135)),INDEX(TblTareas[Horas],135)/INDEX(TblTareas[Duracion],135),""))</f>
      </c>
      <c r="S142" s="64" t="str">
        <f>IF($A142="","",IF(AND(INDEX(TblTareas[Activa],135)=1,S$7&gt;=INDEX(TblTareas[Semana],135),S$7&lt;INDEX(TblTareas[Semana],135)+INDEX(TblTareas[Duracion],135)),INDEX(TblTareas[Horas],135)/INDEX(TblTareas[Duracion],135),""))</f>
      </c>
      <c r="T142" s="64" t="str">
        <f>IF($A142="","",IF(AND(INDEX(TblTareas[Activa],135)=1,T$7&gt;=INDEX(TblTareas[Semana],135),T$7&lt;INDEX(TblTareas[Semana],135)+INDEX(TblTareas[Duracion],135)),INDEX(TblTareas[Horas],135)/INDEX(TblTareas[Duracion],135),""))</f>
      </c>
    </row>
    <row r="143" ht="34" customHeight="1">
      <c r="A143" s="62" t="str">
        <f>IFERROR(IF(INDEX(TblTareas[ID],136)="","",INDEX(TblTareas[ID],136)),"")</f>
      </c>
      <c r="B143" s="62" t="str">
        <f>IF($A143="","",IFERROR(INDEX(TblTareas[Responsable],136),""))</f>
      </c>
      <c r="C143" s="62" t="str">
        <f>IF($A143="","",IFERROR(INDEX(TblTareas[Trabajo],136),""))</f>
      </c>
      <c r="D143" s="62" t="str">
        <f>IF($A143="","",IFERROR(INDEX(TblTareas[Estado],136),""))</f>
      </c>
      <c r="E143" s="64" t="str">
        <f>IF($A143="","",IF(AND(INDEX(TblTareas[Activa],136)=1,E$7&gt;=INDEX(TblTareas[Semana],136),E$7&lt;INDEX(TblTareas[Semana],136)+INDEX(TblTareas[Duracion],136)),INDEX(TblTareas[Horas],136)/INDEX(TblTareas[Duracion],136),""))</f>
      </c>
      <c r="F143" s="64" t="str">
        <f>IF($A143="","",IF(AND(INDEX(TblTareas[Activa],136)=1,F$7&gt;=INDEX(TblTareas[Semana],136),F$7&lt;INDEX(TblTareas[Semana],136)+INDEX(TblTareas[Duracion],136)),INDEX(TblTareas[Horas],136)/INDEX(TblTareas[Duracion],136),""))</f>
      </c>
      <c r="G143" s="64" t="str">
        <f>IF($A143="","",IF(AND(INDEX(TblTareas[Activa],136)=1,G$7&gt;=INDEX(TblTareas[Semana],136),G$7&lt;INDEX(TblTareas[Semana],136)+INDEX(TblTareas[Duracion],136)),INDEX(TblTareas[Horas],136)/INDEX(TblTareas[Duracion],136),""))</f>
      </c>
      <c r="H143" s="64" t="str">
        <f>IF($A143="","",IF(AND(INDEX(TblTareas[Activa],136)=1,H$7&gt;=INDEX(TblTareas[Semana],136),H$7&lt;INDEX(TblTareas[Semana],136)+INDEX(TblTareas[Duracion],136)),INDEX(TblTareas[Horas],136)/INDEX(TblTareas[Duracion],136),""))</f>
      </c>
      <c r="I143" s="64" t="str">
        <f>IF($A143="","",IF(AND(INDEX(TblTareas[Activa],136)=1,I$7&gt;=INDEX(TblTareas[Semana],136),I$7&lt;INDEX(TblTareas[Semana],136)+INDEX(TblTareas[Duracion],136)),INDEX(TblTareas[Horas],136)/INDEX(TblTareas[Duracion],136),""))</f>
      </c>
      <c r="J143" s="64" t="str">
        <f>IF($A143="","",IF(AND(INDEX(TblTareas[Activa],136)=1,J$7&gt;=INDEX(TblTareas[Semana],136),J$7&lt;INDEX(TblTareas[Semana],136)+INDEX(TblTareas[Duracion],136)),INDEX(TblTareas[Horas],136)/INDEX(TblTareas[Duracion],136),""))</f>
      </c>
      <c r="K143" s="64" t="str">
        <f>IF($A143="","",IF(AND(INDEX(TblTareas[Activa],136)=1,K$7&gt;=INDEX(TblTareas[Semana],136),K$7&lt;INDEX(TblTareas[Semana],136)+INDEX(TblTareas[Duracion],136)),INDEX(TblTareas[Horas],136)/INDEX(TblTareas[Duracion],136),""))</f>
      </c>
      <c r="L143" s="64" t="str">
        <f>IF($A143="","",IF(AND(INDEX(TblTareas[Activa],136)=1,L$7&gt;=INDEX(TblTareas[Semana],136),L$7&lt;INDEX(TblTareas[Semana],136)+INDEX(TblTareas[Duracion],136)),INDEX(TblTareas[Horas],136)/INDEX(TblTareas[Duracion],136),""))</f>
      </c>
      <c r="M143" s="64" t="str">
        <f>IF($A143="","",IF(AND(INDEX(TblTareas[Activa],136)=1,M$7&gt;=INDEX(TblTareas[Semana],136),M$7&lt;INDEX(TblTareas[Semana],136)+INDEX(TblTareas[Duracion],136)),INDEX(TblTareas[Horas],136)/INDEX(TblTareas[Duracion],136),""))</f>
      </c>
      <c r="N143" s="64" t="str">
        <f>IF($A143="","",IF(AND(INDEX(TblTareas[Activa],136)=1,N$7&gt;=INDEX(TblTareas[Semana],136),N$7&lt;INDEX(TblTareas[Semana],136)+INDEX(TblTareas[Duracion],136)),INDEX(TblTareas[Horas],136)/INDEX(TblTareas[Duracion],136),""))</f>
      </c>
      <c r="O143" s="64" t="str">
        <f>IF($A143="","",IF(AND(INDEX(TblTareas[Activa],136)=1,O$7&gt;=INDEX(TblTareas[Semana],136),O$7&lt;INDEX(TblTareas[Semana],136)+INDEX(TblTareas[Duracion],136)),INDEX(TblTareas[Horas],136)/INDEX(TblTareas[Duracion],136),""))</f>
      </c>
      <c r="P143" s="64" t="str">
        <f>IF($A143="","",IF(AND(INDEX(TblTareas[Activa],136)=1,P$7&gt;=INDEX(TblTareas[Semana],136),P$7&lt;INDEX(TblTareas[Semana],136)+INDEX(TblTareas[Duracion],136)),INDEX(TblTareas[Horas],136)/INDEX(TblTareas[Duracion],136),""))</f>
      </c>
      <c r="Q143" s="64" t="str">
        <f>IF($A143="","",IF(AND(INDEX(TblTareas[Activa],136)=1,Q$7&gt;=INDEX(TblTareas[Semana],136),Q$7&lt;INDEX(TblTareas[Semana],136)+INDEX(TblTareas[Duracion],136)),INDEX(TblTareas[Horas],136)/INDEX(TblTareas[Duracion],136),""))</f>
      </c>
      <c r="R143" s="64" t="str">
        <f>IF($A143="","",IF(AND(INDEX(TblTareas[Activa],136)=1,R$7&gt;=INDEX(TblTareas[Semana],136),R$7&lt;INDEX(TblTareas[Semana],136)+INDEX(TblTareas[Duracion],136)),INDEX(TblTareas[Horas],136)/INDEX(TblTareas[Duracion],136),""))</f>
      </c>
      <c r="S143" s="64" t="str">
        <f>IF($A143="","",IF(AND(INDEX(TblTareas[Activa],136)=1,S$7&gt;=INDEX(TblTareas[Semana],136),S$7&lt;INDEX(TblTareas[Semana],136)+INDEX(TblTareas[Duracion],136)),INDEX(TblTareas[Horas],136)/INDEX(TblTareas[Duracion],136),""))</f>
      </c>
      <c r="T143" s="64" t="str">
        <f>IF($A143="","",IF(AND(INDEX(TblTareas[Activa],136)=1,T$7&gt;=INDEX(TblTareas[Semana],136),T$7&lt;INDEX(TblTareas[Semana],136)+INDEX(TblTareas[Duracion],136)),INDEX(TblTareas[Horas],136)/INDEX(TblTareas[Duracion],136),""))</f>
      </c>
    </row>
    <row r="144" ht="34" customHeight="1">
      <c r="A144" s="62" t="str">
        <f>IFERROR(IF(INDEX(TblTareas[ID],137)="","",INDEX(TblTareas[ID],137)),"")</f>
      </c>
      <c r="B144" s="62" t="str">
        <f>IF($A144="","",IFERROR(INDEX(TblTareas[Responsable],137),""))</f>
      </c>
      <c r="C144" s="62" t="str">
        <f>IF($A144="","",IFERROR(INDEX(TblTareas[Trabajo],137),""))</f>
      </c>
      <c r="D144" s="62" t="str">
        <f>IF($A144="","",IFERROR(INDEX(TblTareas[Estado],137),""))</f>
      </c>
      <c r="E144" s="64" t="str">
        <f>IF($A144="","",IF(AND(INDEX(TblTareas[Activa],137)=1,E$7&gt;=INDEX(TblTareas[Semana],137),E$7&lt;INDEX(TblTareas[Semana],137)+INDEX(TblTareas[Duracion],137)),INDEX(TblTareas[Horas],137)/INDEX(TblTareas[Duracion],137),""))</f>
      </c>
      <c r="F144" s="64" t="str">
        <f>IF($A144="","",IF(AND(INDEX(TblTareas[Activa],137)=1,F$7&gt;=INDEX(TblTareas[Semana],137),F$7&lt;INDEX(TblTareas[Semana],137)+INDEX(TblTareas[Duracion],137)),INDEX(TblTareas[Horas],137)/INDEX(TblTareas[Duracion],137),""))</f>
      </c>
      <c r="G144" s="64" t="str">
        <f>IF($A144="","",IF(AND(INDEX(TblTareas[Activa],137)=1,G$7&gt;=INDEX(TblTareas[Semana],137),G$7&lt;INDEX(TblTareas[Semana],137)+INDEX(TblTareas[Duracion],137)),INDEX(TblTareas[Horas],137)/INDEX(TblTareas[Duracion],137),""))</f>
      </c>
      <c r="H144" s="64" t="str">
        <f>IF($A144="","",IF(AND(INDEX(TblTareas[Activa],137)=1,H$7&gt;=INDEX(TblTareas[Semana],137),H$7&lt;INDEX(TblTareas[Semana],137)+INDEX(TblTareas[Duracion],137)),INDEX(TblTareas[Horas],137)/INDEX(TblTareas[Duracion],137),""))</f>
      </c>
      <c r="I144" s="64" t="str">
        <f>IF($A144="","",IF(AND(INDEX(TblTareas[Activa],137)=1,I$7&gt;=INDEX(TblTareas[Semana],137),I$7&lt;INDEX(TblTareas[Semana],137)+INDEX(TblTareas[Duracion],137)),INDEX(TblTareas[Horas],137)/INDEX(TblTareas[Duracion],137),""))</f>
      </c>
      <c r="J144" s="64" t="str">
        <f>IF($A144="","",IF(AND(INDEX(TblTareas[Activa],137)=1,J$7&gt;=INDEX(TblTareas[Semana],137),J$7&lt;INDEX(TblTareas[Semana],137)+INDEX(TblTareas[Duracion],137)),INDEX(TblTareas[Horas],137)/INDEX(TblTareas[Duracion],137),""))</f>
      </c>
      <c r="K144" s="64" t="str">
        <f>IF($A144="","",IF(AND(INDEX(TblTareas[Activa],137)=1,K$7&gt;=INDEX(TblTareas[Semana],137),K$7&lt;INDEX(TblTareas[Semana],137)+INDEX(TblTareas[Duracion],137)),INDEX(TblTareas[Horas],137)/INDEX(TblTareas[Duracion],137),""))</f>
      </c>
      <c r="L144" s="64" t="str">
        <f>IF($A144="","",IF(AND(INDEX(TblTareas[Activa],137)=1,L$7&gt;=INDEX(TblTareas[Semana],137),L$7&lt;INDEX(TblTareas[Semana],137)+INDEX(TblTareas[Duracion],137)),INDEX(TblTareas[Horas],137)/INDEX(TblTareas[Duracion],137),""))</f>
      </c>
      <c r="M144" s="64" t="str">
        <f>IF($A144="","",IF(AND(INDEX(TblTareas[Activa],137)=1,M$7&gt;=INDEX(TblTareas[Semana],137),M$7&lt;INDEX(TblTareas[Semana],137)+INDEX(TblTareas[Duracion],137)),INDEX(TblTareas[Horas],137)/INDEX(TblTareas[Duracion],137),""))</f>
      </c>
      <c r="N144" s="64" t="str">
        <f>IF($A144="","",IF(AND(INDEX(TblTareas[Activa],137)=1,N$7&gt;=INDEX(TblTareas[Semana],137),N$7&lt;INDEX(TblTareas[Semana],137)+INDEX(TblTareas[Duracion],137)),INDEX(TblTareas[Horas],137)/INDEX(TblTareas[Duracion],137),""))</f>
      </c>
      <c r="O144" s="64" t="str">
        <f>IF($A144="","",IF(AND(INDEX(TblTareas[Activa],137)=1,O$7&gt;=INDEX(TblTareas[Semana],137),O$7&lt;INDEX(TblTareas[Semana],137)+INDEX(TblTareas[Duracion],137)),INDEX(TblTareas[Horas],137)/INDEX(TblTareas[Duracion],137),""))</f>
      </c>
      <c r="P144" s="64" t="str">
        <f>IF($A144="","",IF(AND(INDEX(TblTareas[Activa],137)=1,P$7&gt;=INDEX(TblTareas[Semana],137),P$7&lt;INDEX(TblTareas[Semana],137)+INDEX(TblTareas[Duracion],137)),INDEX(TblTareas[Horas],137)/INDEX(TblTareas[Duracion],137),""))</f>
      </c>
      <c r="Q144" s="64" t="str">
        <f>IF($A144="","",IF(AND(INDEX(TblTareas[Activa],137)=1,Q$7&gt;=INDEX(TblTareas[Semana],137),Q$7&lt;INDEX(TblTareas[Semana],137)+INDEX(TblTareas[Duracion],137)),INDEX(TblTareas[Horas],137)/INDEX(TblTareas[Duracion],137),""))</f>
      </c>
      <c r="R144" s="64" t="str">
        <f>IF($A144="","",IF(AND(INDEX(TblTareas[Activa],137)=1,R$7&gt;=INDEX(TblTareas[Semana],137),R$7&lt;INDEX(TblTareas[Semana],137)+INDEX(TblTareas[Duracion],137)),INDEX(TblTareas[Horas],137)/INDEX(TblTareas[Duracion],137),""))</f>
      </c>
      <c r="S144" s="64" t="str">
        <f>IF($A144="","",IF(AND(INDEX(TblTareas[Activa],137)=1,S$7&gt;=INDEX(TblTareas[Semana],137),S$7&lt;INDEX(TblTareas[Semana],137)+INDEX(TblTareas[Duracion],137)),INDEX(TblTareas[Horas],137)/INDEX(TblTareas[Duracion],137),""))</f>
      </c>
      <c r="T144" s="64" t="str">
        <f>IF($A144="","",IF(AND(INDEX(TblTareas[Activa],137)=1,T$7&gt;=INDEX(TblTareas[Semana],137),T$7&lt;INDEX(TblTareas[Semana],137)+INDEX(TblTareas[Duracion],137)),INDEX(TblTareas[Horas],137)/INDEX(TblTareas[Duracion],137),""))</f>
      </c>
    </row>
    <row r="145" ht="34" customHeight="1">
      <c r="A145" s="62" t="str">
        <f>IFERROR(IF(INDEX(TblTareas[ID],138)="","",INDEX(TblTareas[ID],138)),"")</f>
      </c>
      <c r="B145" s="62" t="str">
        <f>IF($A145="","",IFERROR(INDEX(TblTareas[Responsable],138),""))</f>
      </c>
      <c r="C145" s="62" t="str">
        <f>IF($A145="","",IFERROR(INDEX(TblTareas[Trabajo],138),""))</f>
      </c>
      <c r="D145" s="62" t="str">
        <f>IF($A145="","",IFERROR(INDEX(TblTareas[Estado],138),""))</f>
      </c>
      <c r="E145" s="64" t="str">
        <f>IF($A145="","",IF(AND(INDEX(TblTareas[Activa],138)=1,E$7&gt;=INDEX(TblTareas[Semana],138),E$7&lt;INDEX(TblTareas[Semana],138)+INDEX(TblTareas[Duracion],138)),INDEX(TblTareas[Horas],138)/INDEX(TblTareas[Duracion],138),""))</f>
      </c>
      <c r="F145" s="64" t="str">
        <f>IF($A145="","",IF(AND(INDEX(TblTareas[Activa],138)=1,F$7&gt;=INDEX(TblTareas[Semana],138),F$7&lt;INDEX(TblTareas[Semana],138)+INDEX(TblTareas[Duracion],138)),INDEX(TblTareas[Horas],138)/INDEX(TblTareas[Duracion],138),""))</f>
      </c>
      <c r="G145" s="64" t="str">
        <f>IF($A145="","",IF(AND(INDEX(TblTareas[Activa],138)=1,G$7&gt;=INDEX(TblTareas[Semana],138),G$7&lt;INDEX(TblTareas[Semana],138)+INDEX(TblTareas[Duracion],138)),INDEX(TblTareas[Horas],138)/INDEX(TblTareas[Duracion],138),""))</f>
      </c>
      <c r="H145" s="64" t="str">
        <f>IF($A145="","",IF(AND(INDEX(TblTareas[Activa],138)=1,H$7&gt;=INDEX(TblTareas[Semana],138),H$7&lt;INDEX(TblTareas[Semana],138)+INDEX(TblTareas[Duracion],138)),INDEX(TblTareas[Horas],138)/INDEX(TblTareas[Duracion],138),""))</f>
      </c>
      <c r="I145" s="64" t="str">
        <f>IF($A145="","",IF(AND(INDEX(TblTareas[Activa],138)=1,I$7&gt;=INDEX(TblTareas[Semana],138),I$7&lt;INDEX(TblTareas[Semana],138)+INDEX(TblTareas[Duracion],138)),INDEX(TblTareas[Horas],138)/INDEX(TblTareas[Duracion],138),""))</f>
      </c>
      <c r="J145" s="64" t="str">
        <f>IF($A145="","",IF(AND(INDEX(TblTareas[Activa],138)=1,J$7&gt;=INDEX(TblTareas[Semana],138),J$7&lt;INDEX(TblTareas[Semana],138)+INDEX(TblTareas[Duracion],138)),INDEX(TblTareas[Horas],138)/INDEX(TblTareas[Duracion],138),""))</f>
      </c>
      <c r="K145" s="64" t="str">
        <f>IF($A145="","",IF(AND(INDEX(TblTareas[Activa],138)=1,K$7&gt;=INDEX(TblTareas[Semana],138),K$7&lt;INDEX(TblTareas[Semana],138)+INDEX(TblTareas[Duracion],138)),INDEX(TblTareas[Horas],138)/INDEX(TblTareas[Duracion],138),""))</f>
      </c>
      <c r="L145" s="64" t="str">
        <f>IF($A145="","",IF(AND(INDEX(TblTareas[Activa],138)=1,L$7&gt;=INDEX(TblTareas[Semana],138),L$7&lt;INDEX(TblTareas[Semana],138)+INDEX(TblTareas[Duracion],138)),INDEX(TblTareas[Horas],138)/INDEX(TblTareas[Duracion],138),""))</f>
      </c>
      <c r="M145" s="64" t="str">
        <f>IF($A145="","",IF(AND(INDEX(TblTareas[Activa],138)=1,M$7&gt;=INDEX(TblTareas[Semana],138),M$7&lt;INDEX(TblTareas[Semana],138)+INDEX(TblTareas[Duracion],138)),INDEX(TblTareas[Horas],138)/INDEX(TblTareas[Duracion],138),""))</f>
      </c>
      <c r="N145" s="64" t="str">
        <f>IF($A145="","",IF(AND(INDEX(TblTareas[Activa],138)=1,N$7&gt;=INDEX(TblTareas[Semana],138),N$7&lt;INDEX(TblTareas[Semana],138)+INDEX(TblTareas[Duracion],138)),INDEX(TblTareas[Horas],138)/INDEX(TblTareas[Duracion],138),""))</f>
      </c>
      <c r="O145" s="64" t="str">
        <f>IF($A145="","",IF(AND(INDEX(TblTareas[Activa],138)=1,O$7&gt;=INDEX(TblTareas[Semana],138),O$7&lt;INDEX(TblTareas[Semana],138)+INDEX(TblTareas[Duracion],138)),INDEX(TblTareas[Horas],138)/INDEX(TblTareas[Duracion],138),""))</f>
      </c>
      <c r="P145" s="64" t="str">
        <f>IF($A145="","",IF(AND(INDEX(TblTareas[Activa],138)=1,P$7&gt;=INDEX(TblTareas[Semana],138),P$7&lt;INDEX(TblTareas[Semana],138)+INDEX(TblTareas[Duracion],138)),INDEX(TblTareas[Horas],138)/INDEX(TblTareas[Duracion],138),""))</f>
      </c>
      <c r="Q145" s="64" t="str">
        <f>IF($A145="","",IF(AND(INDEX(TblTareas[Activa],138)=1,Q$7&gt;=INDEX(TblTareas[Semana],138),Q$7&lt;INDEX(TblTareas[Semana],138)+INDEX(TblTareas[Duracion],138)),INDEX(TblTareas[Horas],138)/INDEX(TblTareas[Duracion],138),""))</f>
      </c>
      <c r="R145" s="64" t="str">
        <f>IF($A145="","",IF(AND(INDEX(TblTareas[Activa],138)=1,R$7&gt;=INDEX(TblTareas[Semana],138),R$7&lt;INDEX(TblTareas[Semana],138)+INDEX(TblTareas[Duracion],138)),INDEX(TblTareas[Horas],138)/INDEX(TblTareas[Duracion],138),""))</f>
      </c>
      <c r="S145" s="64" t="str">
        <f>IF($A145="","",IF(AND(INDEX(TblTareas[Activa],138)=1,S$7&gt;=INDEX(TblTareas[Semana],138),S$7&lt;INDEX(TblTareas[Semana],138)+INDEX(TblTareas[Duracion],138)),INDEX(TblTareas[Horas],138)/INDEX(TblTareas[Duracion],138),""))</f>
      </c>
      <c r="T145" s="64" t="str">
        <f>IF($A145="","",IF(AND(INDEX(TblTareas[Activa],138)=1,T$7&gt;=INDEX(TblTareas[Semana],138),T$7&lt;INDEX(TblTareas[Semana],138)+INDEX(TblTareas[Duracion],138)),INDEX(TblTareas[Horas],138)/INDEX(TblTareas[Duracion],138),""))</f>
      </c>
    </row>
    <row r="146" ht="34" customHeight="1">
      <c r="A146" s="62" t="str">
        <f>IFERROR(IF(INDEX(TblTareas[ID],139)="","",INDEX(TblTareas[ID],139)),"")</f>
      </c>
      <c r="B146" s="62" t="str">
        <f>IF($A146="","",IFERROR(INDEX(TblTareas[Responsable],139),""))</f>
      </c>
      <c r="C146" s="62" t="str">
        <f>IF($A146="","",IFERROR(INDEX(TblTareas[Trabajo],139),""))</f>
      </c>
      <c r="D146" s="62" t="str">
        <f>IF($A146="","",IFERROR(INDEX(TblTareas[Estado],139),""))</f>
      </c>
      <c r="E146" s="64" t="str">
        <f>IF($A146="","",IF(AND(INDEX(TblTareas[Activa],139)=1,E$7&gt;=INDEX(TblTareas[Semana],139),E$7&lt;INDEX(TblTareas[Semana],139)+INDEX(TblTareas[Duracion],139)),INDEX(TblTareas[Horas],139)/INDEX(TblTareas[Duracion],139),""))</f>
      </c>
      <c r="F146" s="64" t="str">
        <f>IF($A146="","",IF(AND(INDEX(TblTareas[Activa],139)=1,F$7&gt;=INDEX(TblTareas[Semana],139),F$7&lt;INDEX(TblTareas[Semana],139)+INDEX(TblTareas[Duracion],139)),INDEX(TblTareas[Horas],139)/INDEX(TblTareas[Duracion],139),""))</f>
      </c>
      <c r="G146" s="64" t="str">
        <f>IF($A146="","",IF(AND(INDEX(TblTareas[Activa],139)=1,G$7&gt;=INDEX(TblTareas[Semana],139),G$7&lt;INDEX(TblTareas[Semana],139)+INDEX(TblTareas[Duracion],139)),INDEX(TblTareas[Horas],139)/INDEX(TblTareas[Duracion],139),""))</f>
      </c>
      <c r="H146" s="64" t="str">
        <f>IF($A146="","",IF(AND(INDEX(TblTareas[Activa],139)=1,H$7&gt;=INDEX(TblTareas[Semana],139),H$7&lt;INDEX(TblTareas[Semana],139)+INDEX(TblTareas[Duracion],139)),INDEX(TblTareas[Horas],139)/INDEX(TblTareas[Duracion],139),""))</f>
      </c>
      <c r="I146" s="64" t="str">
        <f>IF($A146="","",IF(AND(INDEX(TblTareas[Activa],139)=1,I$7&gt;=INDEX(TblTareas[Semana],139),I$7&lt;INDEX(TblTareas[Semana],139)+INDEX(TblTareas[Duracion],139)),INDEX(TblTareas[Horas],139)/INDEX(TblTareas[Duracion],139),""))</f>
      </c>
      <c r="J146" s="64" t="str">
        <f>IF($A146="","",IF(AND(INDEX(TblTareas[Activa],139)=1,J$7&gt;=INDEX(TblTareas[Semana],139),J$7&lt;INDEX(TblTareas[Semana],139)+INDEX(TblTareas[Duracion],139)),INDEX(TblTareas[Horas],139)/INDEX(TblTareas[Duracion],139),""))</f>
      </c>
      <c r="K146" s="64" t="str">
        <f>IF($A146="","",IF(AND(INDEX(TblTareas[Activa],139)=1,K$7&gt;=INDEX(TblTareas[Semana],139),K$7&lt;INDEX(TblTareas[Semana],139)+INDEX(TblTareas[Duracion],139)),INDEX(TblTareas[Horas],139)/INDEX(TblTareas[Duracion],139),""))</f>
      </c>
      <c r="L146" s="64" t="str">
        <f>IF($A146="","",IF(AND(INDEX(TblTareas[Activa],139)=1,L$7&gt;=INDEX(TblTareas[Semana],139),L$7&lt;INDEX(TblTareas[Semana],139)+INDEX(TblTareas[Duracion],139)),INDEX(TblTareas[Horas],139)/INDEX(TblTareas[Duracion],139),""))</f>
      </c>
      <c r="M146" s="64" t="str">
        <f>IF($A146="","",IF(AND(INDEX(TblTareas[Activa],139)=1,M$7&gt;=INDEX(TblTareas[Semana],139),M$7&lt;INDEX(TblTareas[Semana],139)+INDEX(TblTareas[Duracion],139)),INDEX(TblTareas[Horas],139)/INDEX(TblTareas[Duracion],139),""))</f>
      </c>
      <c r="N146" s="64" t="str">
        <f>IF($A146="","",IF(AND(INDEX(TblTareas[Activa],139)=1,N$7&gt;=INDEX(TblTareas[Semana],139),N$7&lt;INDEX(TblTareas[Semana],139)+INDEX(TblTareas[Duracion],139)),INDEX(TblTareas[Horas],139)/INDEX(TblTareas[Duracion],139),""))</f>
      </c>
      <c r="O146" s="64" t="str">
        <f>IF($A146="","",IF(AND(INDEX(TblTareas[Activa],139)=1,O$7&gt;=INDEX(TblTareas[Semana],139),O$7&lt;INDEX(TblTareas[Semana],139)+INDEX(TblTareas[Duracion],139)),INDEX(TblTareas[Horas],139)/INDEX(TblTareas[Duracion],139),""))</f>
      </c>
      <c r="P146" s="64" t="str">
        <f>IF($A146="","",IF(AND(INDEX(TblTareas[Activa],139)=1,P$7&gt;=INDEX(TblTareas[Semana],139),P$7&lt;INDEX(TblTareas[Semana],139)+INDEX(TblTareas[Duracion],139)),INDEX(TblTareas[Horas],139)/INDEX(TblTareas[Duracion],139),""))</f>
      </c>
      <c r="Q146" s="64" t="str">
        <f>IF($A146="","",IF(AND(INDEX(TblTareas[Activa],139)=1,Q$7&gt;=INDEX(TblTareas[Semana],139),Q$7&lt;INDEX(TblTareas[Semana],139)+INDEX(TblTareas[Duracion],139)),INDEX(TblTareas[Horas],139)/INDEX(TblTareas[Duracion],139),""))</f>
      </c>
      <c r="R146" s="64" t="str">
        <f>IF($A146="","",IF(AND(INDEX(TblTareas[Activa],139)=1,R$7&gt;=INDEX(TblTareas[Semana],139),R$7&lt;INDEX(TblTareas[Semana],139)+INDEX(TblTareas[Duracion],139)),INDEX(TblTareas[Horas],139)/INDEX(TblTareas[Duracion],139),""))</f>
      </c>
      <c r="S146" s="64" t="str">
        <f>IF($A146="","",IF(AND(INDEX(TblTareas[Activa],139)=1,S$7&gt;=INDEX(TblTareas[Semana],139),S$7&lt;INDEX(TblTareas[Semana],139)+INDEX(TblTareas[Duracion],139)),INDEX(TblTareas[Horas],139)/INDEX(TblTareas[Duracion],139),""))</f>
      </c>
      <c r="T146" s="64" t="str">
        <f>IF($A146="","",IF(AND(INDEX(TblTareas[Activa],139)=1,T$7&gt;=INDEX(TblTareas[Semana],139),T$7&lt;INDEX(TblTareas[Semana],139)+INDEX(TblTareas[Duracion],139)),INDEX(TblTareas[Horas],139)/INDEX(TblTareas[Duracion],139),""))</f>
      </c>
    </row>
    <row r="147" ht="34" customHeight="1">
      <c r="A147" s="62" t="str">
        <f>IFERROR(IF(INDEX(TblTareas[ID],140)="","",INDEX(TblTareas[ID],140)),"")</f>
      </c>
      <c r="B147" s="62" t="str">
        <f>IF($A147="","",IFERROR(INDEX(TblTareas[Responsable],140),""))</f>
      </c>
      <c r="C147" s="62" t="str">
        <f>IF($A147="","",IFERROR(INDEX(TblTareas[Trabajo],140),""))</f>
      </c>
      <c r="D147" s="62" t="str">
        <f>IF($A147="","",IFERROR(INDEX(TblTareas[Estado],140),""))</f>
      </c>
      <c r="E147" s="64" t="str">
        <f>IF($A147="","",IF(AND(INDEX(TblTareas[Activa],140)=1,E$7&gt;=INDEX(TblTareas[Semana],140),E$7&lt;INDEX(TblTareas[Semana],140)+INDEX(TblTareas[Duracion],140)),INDEX(TblTareas[Horas],140)/INDEX(TblTareas[Duracion],140),""))</f>
      </c>
      <c r="F147" s="64" t="str">
        <f>IF($A147="","",IF(AND(INDEX(TblTareas[Activa],140)=1,F$7&gt;=INDEX(TblTareas[Semana],140),F$7&lt;INDEX(TblTareas[Semana],140)+INDEX(TblTareas[Duracion],140)),INDEX(TblTareas[Horas],140)/INDEX(TblTareas[Duracion],140),""))</f>
      </c>
      <c r="G147" s="64" t="str">
        <f>IF($A147="","",IF(AND(INDEX(TblTareas[Activa],140)=1,G$7&gt;=INDEX(TblTareas[Semana],140),G$7&lt;INDEX(TblTareas[Semana],140)+INDEX(TblTareas[Duracion],140)),INDEX(TblTareas[Horas],140)/INDEX(TblTareas[Duracion],140),""))</f>
      </c>
      <c r="H147" s="64" t="str">
        <f>IF($A147="","",IF(AND(INDEX(TblTareas[Activa],140)=1,H$7&gt;=INDEX(TblTareas[Semana],140),H$7&lt;INDEX(TblTareas[Semana],140)+INDEX(TblTareas[Duracion],140)),INDEX(TblTareas[Horas],140)/INDEX(TblTareas[Duracion],140),""))</f>
      </c>
      <c r="I147" s="64" t="str">
        <f>IF($A147="","",IF(AND(INDEX(TblTareas[Activa],140)=1,I$7&gt;=INDEX(TblTareas[Semana],140),I$7&lt;INDEX(TblTareas[Semana],140)+INDEX(TblTareas[Duracion],140)),INDEX(TblTareas[Horas],140)/INDEX(TblTareas[Duracion],140),""))</f>
      </c>
      <c r="J147" s="64" t="str">
        <f>IF($A147="","",IF(AND(INDEX(TblTareas[Activa],140)=1,J$7&gt;=INDEX(TblTareas[Semana],140),J$7&lt;INDEX(TblTareas[Semana],140)+INDEX(TblTareas[Duracion],140)),INDEX(TblTareas[Horas],140)/INDEX(TblTareas[Duracion],140),""))</f>
      </c>
      <c r="K147" s="64" t="str">
        <f>IF($A147="","",IF(AND(INDEX(TblTareas[Activa],140)=1,K$7&gt;=INDEX(TblTareas[Semana],140),K$7&lt;INDEX(TblTareas[Semana],140)+INDEX(TblTareas[Duracion],140)),INDEX(TblTareas[Horas],140)/INDEX(TblTareas[Duracion],140),""))</f>
      </c>
      <c r="L147" s="64" t="str">
        <f>IF($A147="","",IF(AND(INDEX(TblTareas[Activa],140)=1,L$7&gt;=INDEX(TblTareas[Semana],140),L$7&lt;INDEX(TblTareas[Semana],140)+INDEX(TblTareas[Duracion],140)),INDEX(TblTareas[Horas],140)/INDEX(TblTareas[Duracion],140),""))</f>
      </c>
      <c r="M147" s="64" t="str">
        <f>IF($A147="","",IF(AND(INDEX(TblTareas[Activa],140)=1,M$7&gt;=INDEX(TblTareas[Semana],140),M$7&lt;INDEX(TblTareas[Semana],140)+INDEX(TblTareas[Duracion],140)),INDEX(TblTareas[Horas],140)/INDEX(TblTareas[Duracion],140),""))</f>
      </c>
      <c r="N147" s="64" t="str">
        <f>IF($A147="","",IF(AND(INDEX(TblTareas[Activa],140)=1,N$7&gt;=INDEX(TblTareas[Semana],140),N$7&lt;INDEX(TblTareas[Semana],140)+INDEX(TblTareas[Duracion],140)),INDEX(TblTareas[Horas],140)/INDEX(TblTareas[Duracion],140),""))</f>
      </c>
      <c r="O147" s="64" t="str">
        <f>IF($A147="","",IF(AND(INDEX(TblTareas[Activa],140)=1,O$7&gt;=INDEX(TblTareas[Semana],140),O$7&lt;INDEX(TblTareas[Semana],140)+INDEX(TblTareas[Duracion],140)),INDEX(TblTareas[Horas],140)/INDEX(TblTareas[Duracion],140),""))</f>
      </c>
      <c r="P147" s="64" t="str">
        <f>IF($A147="","",IF(AND(INDEX(TblTareas[Activa],140)=1,P$7&gt;=INDEX(TblTareas[Semana],140),P$7&lt;INDEX(TblTareas[Semana],140)+INDEX(TblTareas[Duracion],140)),INDEX(TblTareas[Horas],140)/INDEX(TblTareas[Duracion],140),""))</f>
      </c>
      <c r="Q147" s="64" t="str">
        <f>IF($A147="","",IF(AND(INDEX(TblTareas[Activa],140)=1,Q$7&gt;=INDEX(TblTareas[Semana],140),Q$7&lt;INDEX(TblTareas[Semana],140)+INDEX(TblTareas[Duracion],140)),INDEX(TblTareas[Horas],140)/INDEX(TblTareas[Duracion],140),""))</f>
      </c>
      <c r="R147" s="64" t="str">
        <f>IF($A147="","",IF(AND(INDEX(TblTareas[Activa],140)=1,R$7&gt;=INDEX(TblTareas[Semana],140),R$7&lt;INDEX(TblTareas[Semana],140)+INDEX(TblTareas[Duracion],140)),INDEX(TblTareas[Horas],140)/INDEX(TblTareas[Duracion],140),""))</f>
      </c>
      <c r="S147" s="64" t="str">
        <f>IF($A147="","",IF(AND(INDEX(TblTareas[Activa],140)=1,S$7&gt;=INDEX(TblTareas[Semana],140),S$7&lt;INDEX(TblTareas[Semana],140)+INDEX(TblTareas[Duracion],140)),INDEX(TblTareas[Horas],140)/INDEX(TblTareas[Duracion],140),""))</f>
      </c>
      <c r="T147" s="64" t="str">
        <f>IF($A147="","",IF(AND(INDEX(TblTareas[Activa],140)=1,T$7&gt;=INDEX(TblTareas[Semana],140),T$7&lt;INDEX(TblTareas[Semana],140)+INDEX(TblTareas[Duracion],140)),INDEX(TblTareas[Horas],140)/INDEX(TblTareas[Duracion],140),""))</f>
      </c>
    </row>
    <row r="148" ht="34" customHeight="1">
      <c r="A148" s="62" t="str">
        <f>IFERROR(IF(INDEX(TblTareas[ID],141)="","",INDEX(TblTareas[ID],141)),"")</f>
      </c>
      <c r="B148" s="62" t="str">
        <f>IF($A148="","",IFERROR(INDEX(TblTareas[Responsable],141),""))</f>
      </c>
      <c r="C148" s="62" t="str">
        <f>IF($A148="","",IFERROR(INDEX(TblTareas[Trabajo],141),""))</f>
      </c>
      <c r="D148" s="62" t="str">
        <f>IF($A148="","",IFERROR(INDEX(TblTareas[Estado],141),""))</f>
      </c>
      <c r="E148" s="64" t="str">
        <f>IF($A148="","",IF(AND(INDEX(TblTareas[Activa],141)=1,E$7&gt;=INDEX(TblTareas[Semana],141),E$7&lt;INDEX(TblTareas[Semana],141)+INDEX(TblTareas[Duracion],141)),INDEX(TblTareas[Horas],141)/INDEX(TblTareas[Duracion],141),""))</f>
      </c>
      <c r="F148" s="64" t="str">
        <f>IF($A148="","",IF(AND(INDEX(TblTareas[Activa],141)=1,F$7&gt;=INDEX(TblTareas[Semana],141),F$7&lt;INDEX(TblTareas[Semana],141)+INDEX(TblTareas[Duracion],141)),INDEX(TblTareas[Horas],141)/INDEX(TblTareas[Duracion],141),""))</f>
      </c>
      <c r="G148" s="64" t="str">
        <f>IF($A148="","",IF(AND(INDEX(TblTareas[Activa],141)=1,G$7&gt;=INDEX(TblTareas[Semana],141),G$7&lt;INDEX(TblTareas[Semana],141)+INDEX(TblTareas[Duracion],141)),INDEX(TblTareas[Horas],141)/INDEX(TblTareas[Duracion],141),""))</f>
      </c>
      <c r="H148" s="64" t="str">
        <f>IF($A148="","",IF(AND(INDEX(TblTareas[Activa],141)=1,H$7&gt;=INDEX(TblTareas[Semana],141),H$7&lt;INDEX(TblTareas[Semana],141)+INDEX(TblTareas[Duracion],141)),INDEX(TblTareas[Horas],141)/INDEX(TblTareas[Duracion],141),""))</f>
      </c>
      <c r="I148" s="64" t="str">
        <f>IF($A148="","",IF(AND(INDEX(TblTareas[Activa],141)=1,I$7&gt;=INDEX(TblTareas[Semana],141),I$7&lt;INDEX(TblTareas[Semana],141)+INDEX(TblTareas[Duracion],141)),INDEX(TblTareas[Horas],141)/INDEX(TblTareas[Duracion],141),""))</f>
      </c>
      <c r="J148" s="64" t="str">
        <f>IF($A148="","",IF(AND(INDEX(TblTareas[Activa],141)=1,J$7&gt;=INDEX(TblTareas[Semana],141),J$7&lt;INDEX(TblTareas[Semana],141)+INDEX(TblTareas[Duracion],141)),INDEX(TblTareas[Horas],141)/INDEX(TblTareas[Duracion],141),""))</f>
      </c>
      <c r="K148" s="64" t="str">
        <f>IF($A148="","",IF(AND(INDEX(TblTareas[Activa],141)=1,K$7&gt;=INDEX(TblTareas[Semana],141),K$7&lt;INDEX(TblTareas[Semana],141)+INDEX(TblTareas[Duracion],141)),INDEX(TblTareas[Horas],141)/INDEX(TblTareas[Duracion],141),""))</f>
      </c>
      <c r="L148" s="64" t="str">
        <f>IF($A148="","",IF(AND(INDEX(TblTareas[Activa],141)=1,L$7&gt;=INDEX(TblTareas[Semana],141),L$7&lt;INDEX(TblTareas[Semana],141)+INDEX(TblTareas[Duracion],141)),INDEX(TblTareas[Horas],141)/INDEX(TblTareas[Duracion],141),""))</f>
      </c>
      <c r="M148" s="64" t="str">
        <f>IF($A148="","",IF(AND(INDEX(TblTareas[Activa],141)=1,M$7&gt;=INDEX(TblTareas[Semana],141),M$7&lt;INDEX(TblTareas[Semana],141)+INDEX(TblTareas[Duracion],141)),INDEX(TblTareas[Horas],141)/INDEX(TblTareas[Duracion],141),""))</f>
      </c>
      <c r="N148" s="64" t="str">
        <f>IF($A148="","",IF(AND(INDEX(TblTareas[Activa],141)=1,N$7&gt;=INDEX(TblTareas[Semana],141),N$7&lt;INDEX(TblTareas[Semana],141)+INDEX(TblTareas[Duracion],141)),INDEX(TblTareas[Horas],141)/INDEX(TblTareas[Duracion],141),""))</f>
      </c>
      <c r="O148" s="64" t="str">
        <f>IF($A148="","",IF(AND(INDEX(TblTareas[Activa],141)=1,O$7&gt;=INDEX(TblTareas[Semana],141),O$7&lt;INDEX(TblTareas[Semana],141)+INDEX(TblTareas[Duracion],141)),INDEX(TblTareas[Horas],141)/INDEX(TblTareas[Duracion],141),""))</f>
      </c>
      <c r="P148" s="64" t="str">
        <f>IF($A148="","",IF(AND(INDEX(TblTareas[Activa],141)=1,P$7&gt;=INDEX(TblTareas[Semana],141),P$7&lt;INDEX(TblTareas[Semana],141)+INDEX(TblTareas[Duracion],141)),INDEX(TblTareas[Horas],141)/INDEX(TblTareas[Duracion],141),""))</f>
      </c>
      <c r="Q148" s="64" t="str">
        <f>IF($A148="","",IF(AND(INDEX(TblTareas[Activa],141)=1,Q$7&gt;=INDEX(TblTareas[Semana],141),Q$7&lt;INDEX(TblTareas[Semana],141)+INDEX(TblTareas[Duracion],141)),INDEX(TblTareas[Horas],141)/INDEX(TblTareas[Duracion],141),""))</f>
      </c>
      <c r="R148" s="64" t="str">
        <f>IF($A148="","",IF(AND(INDEX(TblTareas[Activa],141)=1,R$7&gt;=INDEX(TblTareas[Semana],141),R$7&lt;INDEX(TblTareas[Semana],141)+INDEX(TblTareas[Duracion],141)),INDEX(TblTareas[Horas],141)/INDEX(TblTareas[Duracion],141),""))</f>
      </c>
      <c r="S148" s="64" t="str">
        <f>IF($A148="","",IF(AND(INDEX(TblTareas[Activa],141)=1,S$7&gt;=INDEX(TblTareas[Semana],141),S$7&lt;INDEX(TblTareas[Semana],141)+INDEX(TblTareas[Duracion],141)),INDEX(TblTareas[Horas],141)/INDEX(TblTareas[Duracion],141),""))</f>
      </c>
      <c r="T148" s="64" t="str">
        <f>IF($A148="","",IF(AND(INDEX(TblTareas[Activa],141)=1,T$7&gt;=INDEX(TblTareas[Semana],141),T$7&lt;INDEX(TblTareas[Semana],141)+INDEX(TblTareas[Duracion],141)),INDEX(TblTareas[Horas],141)/INDEX(TblTareas[Duracion],141),""))</f>
      </c>
    </row>
    <row r="149" ht="34" customHeight="1">
      <c r="A149" s="62" t="str">
        <f>IFERROR(IF(INDEX(TblTareas[ID],142)="","",INDEX(TblTareas[ID],142)),"")</f>
      </c>
      <c r="B149" s="62" t="str">
        <f>IF($A149="","",IFERROR(INDEX(TblTareas[Responsable],142),""))</f>
      </c>
      <c r="C149" s="62" t="str">
        <f>IF($A149="","",IFERROR(INDEX(TblTareas[Trabajo],142),""))</f>
      </c>
      <c r="D149" s="62" t="str">
        <f>IF($A149="","",IFERROR(INDEX(TblTareas[Estado],142),""))</f>
      </c>
      <c r="E149" s="64" t="str">
        <f>IF($A149="","",IF(AND(INDEX(TblTareas[Activa],142)=1,E$7&gt;=INDEX(TblTareas[Semana],142),E$7&lt;INDEX(TblTareas[Semana],142)+INDEX(TblTareas[Duracion],142)),INDEX(TblTareas[Horas],142)/INDEX(TblTareas[Duracion],142),""))</f>
      </c>
      <c r="F149" s="64" t="str">
        <f>IF($A149="","",IF(AND(INDEX(TblTareas[Activa],142)=1,F$7&gt;=INDEX(TblTareas[Semana],142),F$7&lt;INDEX(TblTareas[Semana],142)+INDEX(TblTareas[Duracion],142)),INDEX(TblTareas[Horas],142)/INDEX(TblTareas[Duracion],142),""))</f>
      </c>
      <c r="G149" s="64" t="str">
        <f>IF($A149="","",IF(AND(INDEX(TblTareas[Activa],142)=1,G$7&gt;=INDEX(TblTareas[Semana],142),G$7&lt;INDEX(TblTareas[Semana],142)+INDEX(TblTareas[Duracion],142)),INDEX(TblTareas[Horas],142)/INDEX(TblTareas[Duracion],142),""))</f>
      </c>
      <c r="H149" s="64" t="str">
        <f>IF($A149="","",IF(AND(INDEX(TblTareas[Activa],142)=1,H$7&gt;=INDEX(TblTareas[Semana],142),H$7&lt;INDEX(TblTareas[Semana],142)+INDEX(TblTareas[Duracion],142)),INDEX(TblTareas[Horas],142)/INDEX(TblTareas[Duracion],142),""))</f>
      </c>
      <c r="I149" s="64" t="str">
        <f>IF($A149="","",IF(AND(INDEX(TblTareas[Activa],142)=1,I$7&gt;=INDEX(TblTareas[Semana],142),I$7&lt;INDEX(TblTareas[Semana],142)+INDEX(TblTareas[Duracion],142)),INDEX(TblTareas[Horas],142)/INDEX(TblTareas[Duracion],142),""))</f>
      </c>
      <c r="J149" s="64" t="str">
        <f>IF($A149="","",IF(AND(INDEX(TblTareas[Activa],142)=1,J$7&gt;=INDEX(TblTareas[Semana],142),J$7&lt;INDEX(TblTareas[Semana],142)+INDEX(TblTareas[Duracion],142)),INDEX(TblTareas[Horas],142)/INDEX(TblTareas[Duracion],142),""))</f>
      </c>
      <c r="K149" s="64" t="str">
        <f>IF($A149="","",IF(AND(INDEX(TblTareas[Activa],142)=1,K$7&gt;=INDEX(TblTareas[Semana],142),K$7&lt;INDEX(TblTareas[Semana],142)+INDEX(TblTareas[Duracion],142)),INDEX(TblTareas[Horas],142)/INDEX(TblTareas[Duracion],142),""))</f>
      </c>
      <c r="L149" s="64" t="str">
        <f>IF($A149="","",IF(AND(INDEX(TblTareas[Activa],142)=1,L$7&gt;=INDEX(TblTareas[Semana],142),L$7&lt;INDEX(TblTareas[Semana],142)+INDEX(TblTareas[Duracion],142)),INDEX(TblTareas[Horas],142)/INDEX(TblTareas[Duracion],142),""))</f>
      </c>
      <c r="M149" s="64" t="str">
        <f>IF($A149="","",IF(AND(INDEX(TblTareas[Activa],142)=1,M$7&gt;=INDEX(TblTareas[Semana],142),M$7&lt;INDEX(TblTareas[Semana],142)+INDEX(TblTareas[Duracion],142)),INDEX(TblTareas[Horas],142)/INDEX(TblTareas[Duracion],142),""))</f>
      </c>
      <c r="N149" s="64" t="str">
        <f>IF($A149="","",IF(AND(INDEX(TblTareas[Activa],142)=1,N$7&gt;=INDEX(TblTareas[Semana],142),N$7&lt;INDEX(TblTareas[Semana],142)+INDEX(TblTareas[Duracion],142)),INDEX(TblTareas[Horas],142)/INDEX(TblTareas[Duracion],142),""))</f>
      </c>
      <c r="O149" s="64" t="str">
        <f>IF($A149="","",IF(AND(INDEX(TblTareas[Activa],142)=1,O$7&gt;=INDEX(TblTareas[Semana],142),O$7&lt;INDEX(TblTareas[Semana],142)+INDEX(TblTareas[Duracion],142)),INDEX(TblTareas[Horas],142)/INDEX(TblTareas[Duracion],142),""))</f>
      </c>
      <c r="P149" s="64" t="str">
        <f>IF($A149="","",IF(AND(INDEX(TblTareas[Activa],142)=1,P$7&gt;=INDEX(TblTareas[Semana],142),P$7&lt;INDEX(TblTareas[Semana],142)+INDEX(TblTareas[Duracion],142)),INDEX(TblTareas[Horas],142)/INDEX(TblTareas[Duracion],142),""))</f>
      </c>
      <c r="Q149" s="64" t="str">
        <f>IF($A149="","",IF(AND(INDEX(TblTareas[Activa],142)=1,Q$7&gt;=INDEX(TblTareas[Semana],142),Q$7&lt;INDEX(TblTareas[Semana],142)+INDEX(TblTareas[Duracion],142)),INDEX(TblTareas[Horas],142)/INDEX(TblTareas[Duracion],142),""))</f>
      </c>
      <c r="R149" s="64" t="str">
        <f>IF($A149="","",IF(AND(INDEX(TblTareas[Activa],142)=1,R$7&gt;=INDEX(TblTareas[Semana],142),R$7&lt;INDEX(TblTareas[Semana],142)+INDEX(TblTareas[Duracion],142)),INDEX(TblTareas[Horas],142)/INDEX(TblTareas[Duracion],142),""))</f>
      </c>
      <c r="S149" s="64" t="str">
        <f>IF($A149="","",IF(AND(INDEX(TblTareas[Activa],142)=1,S$7&gt;=INDEX(TblTareas[Semana],142),S$7&lt;INDEX(TblTareas[Semana],142)+INDEX(TblTareas[Duracion],142)),INDEX(TblTareas[Horas],142)/INDEX(TblTareas[Duracion],142),""))</f>
      </c>
      <c r="T149" s="64" t="str">
        <f>IF($A149="","",IF(AND(INDEX(TblTareas[Activa],142)=1,T$7&gt;=INDEX(TblTareas[Semana],142),T$7&lt;INDEX(TblTareas[Semana],142)+INDEX(TblTareas[Duracion],142)),INDEX(TblTareas[Horas],142)/INDEX(TblTareas[Duracion],142),""))</f>
      </c>
    </row>
    <row r="150" ht="34" customHeight="1">
      <c r="A150" s="62" t="str">
        <f>IFERROR(IF(INDEX(TblTareas[ID],143)="","",INDEX(TblTareas[ID],143)),"")</f>
      </c>
      <c r="B150" s="62" t="str">
        <f>IF($A150="","",IFERROR(INDEX(TblTareas[Responsable],143),""))</f>
      </c>
      <c r="C150" s="62" t="str">
        <f>IF($A150="","",IFERROR(INDEX(TblTareas[Trabajo],143),""))</f>
      </c>
      <c r="D150" s="62" t="str">
        <f>IF($A150="","",IFERROR(INDEX(TblTareas[Estado],143),""))</f>
      </c>
      <c r="E150" s="64" t="str">
        <f>IF($A150="","",IF(AND(INDEX(TblTareas[Activa],143)=1,E$7&gt;=INDEX(TblTareas[Semana],143),E$7&lt;INDEX(TblTareas[Semana],143)+INDEX(TblTareas[Duracion],143)),INDEX(TblTareas[Horas],143)/INDEX(TblTareas[Duracion],143),""))</f>
      </c>
      <c r="F150" s="64" t="str">
        <f>IF($A150="","",IF(AND(INDEX(TblTareas[Activa],143)=1,F$7&gt;=INDEX(TblTareas[Semana],143),F$7&lt;INDEX(TblTareas[Semana],143)+INDEX(TblTareas[Duracion],143)),INDEX(TblTareas[Horas],143)/INDEX(TblTareas[Duracion],143),""))</f>
      </c>
      <c r="G150" s="64" t="str">
        <f>IF($A150="","",IF(AND(INDEX(TblTareas[Activa],143)=1,G$7&gt;=INDEX(TblTareas[Semana],143),G$7&lt;INDEX(TblTareas[Semana],143)+INDEX(TblTareas[Duracion],143)),INDEX(TblTareas[Horas],143)/INDEX(TblTareas[Duracion],143),""))</f>
      </c>
      <c r="H150" s="64" t="str">
        <f>IF($A150="","",IF(AND(INDEX(TblTareas[Activa],143)=1,H$7&gt;=INDEX(TblTareas[Semana],143),H$7&lt;INDEX(TblTareas[Semana],143)+INDEX(TblTareas[Duracion],143)),INDEX(TblTareas[Horas],143)/INDEX(TblTareas[Duracion],143),""))</f>
      </c>
      <c r="I150" s="64" t="str">
        <f>IF($A150="","",IF(AND(INDEX(TblTareas[Activa],143)=1,I$7&gt;=INDEX(TblTareas[Semana],143),I$7&lt;INDEX(TblTareas[Semana],143)+INDEX(TblTareas[Duracion],143)),INDEX(TblTareas[Horas],143)/INDEX(TblTareas[Duracion],143),""))</f>
      </c>
      <c r="J150" s="64" t="str">
        <f>IF($A150="","",IF(AND(INDEX(TblTareas[Activa],143)=1,J$7&gt;=INDEX(TblTareas[Semana],143),J$7&lt;INDEX(TblTareas[Semana],143)+INDEX(TblTareas[Duracion],143)),INDEX(TblTareas[Horas],143)/INDEX(TblTareas[Duracion],143),""))</f>
      </c>
      <c r="K150" s="64" t="str">
        <f>IF($A150="","",IF(AND(INDEX(TblTareas[Activa],143)=1,K$7&gt;=INDEX(TblTareas[Semana],143),K$7&lt;INDEX(TblTareas[Semana],143)+INDEX(TblTareas[Duracion],143)),INDEX(TblTareas[Horas],143)/INDEX(TblTareas[Duracion],143),""))</f>
      </c>
      <c r="L150" s="64" t="str">
        <f>IF($A150="","",IF(AND(INDEX(TblTareas[Activa],143)=1,L$7&gt;=INDEX(TblTareas[Semana],143),L$7&lt;INDEX(TblTareas[Semana],143)+INDEX(TblTareas[Duracion],143)),INDEX(TblTareas[Horas],143)/INDEX(TblTareas[Duracion],143),""))</f>
      </c>
      <c r="M150" s="64" t="str">
        <f>IF($A150="","",IF(AND(INDEX(TblTareas[Activa],143)=1,M$7&gt;=INDEX(TblTareas[Semana],143),M$7&lt;INDEX(TblTareas[Semana],143)+INDEX(TblTareas[Duracion],143)),INDEX(TblTareas[Horas],143)/INDEX(TblTareas[Duracion],143),""))</f>
      </c>
      <c r="N150" s="64" t="str">
        <f>IF($A150="","",IF(AND(INDEX(TblTareas[Activa],143)=1,N$7&gt;=INDEX(TblTareas[Semana],143),N$7&lt;INDEX(TblTareas[Semana],143)+INDEX(TblTareas[Duracion],143)),INDEX(TblTareas[Horas],143)/INDEX(TblTareas[Duracion],143),""))</f>
      </c>
      <c r="O150" s="64" t="str">
        <f>IF($A150="","",IF(AND(INDEX(TblTareas[Activa],143)=1,O$7&gt;=INDEX(TblTareas[Semana],143),O$7&lt;INDEX(TblTareas[Semana],143)+INDEX(TblTareas[Duracion],143)),INDEX(TblTareas[Horas],143)/INDEX(TblTareas[Duracion],143),""))</f>
      </c>
      <c r="P150" s="64" t="str">
        <f>IF($A150="","",IF(AND(INDEX(TblTareas[Activa],143)=1,P$7&gt;=INDEX(TblTareas[Semana],143),P$7&lt;INDEX(TblTareas[Semana],143)+INDEX(TblTareas[Duracion],143)),INDEX(TblTareas[Horas],143)/INDEX(TblTareas[Duracion],143),""))</f>
      </c>
      <c r="Q150" s="64" t="str">
        <f>IF($A150="","",IF(AND(INDEX(TblTareas[Activa],143)=1,Q$7&gt;=INDEX(TblTareas[Semana],143),Q$7&lt;INDEX(TblTareas[Semana],143)+INDEX(TblTareas[Duracion],143)),INDEX(TblTareas[Horas],143)/INDEX(TblTareas[Duracion],143),""))</f>
      </c>
      <c r="R150" s="64" t="str">
        <f>IF($A150="","",IF(AND(INDEX(TblTareas[Activa],143)=1,R$7&gt;=INDEX(TblTareas[Semana],143),R$7&lt;INDEX(TblTareas[Semana],143)+INDEX(TblTareas[Duracion],143)),INDEX(TblTareas[Horas],143)/INDEX(TblTareas[Duracion],143),""))</f>
      </c>
      <c r="S150" s="64" t="str">
        <f>IF($A150="","",IF(AND(INDEX(TblTareas[Activa],143)=1,S$7&gt;=INDEX(TblTareas[Semana],143),S$7&lt;INDEX(TblTareas[Semana],143)+INDEX(TblTareas[Duracion],143)),INDEX(TblTareas[Horas],143)/INDEX(TblTareas[Duracion],143),""))</f>
      </c>
      <c r="T150" s="64" t="str">
        <f>IF($A150="","",IF(AND(INDEX(TblTareas[Activa],143)=1,T$7&gt;=INDEX(TblTareas[Semana],143),T$7&lt;INDEX(TblTareas[Semana],143)+INDEX(TblTareas[Duracion],143)),INDEX(TblTareas[Horas],143)/INDEX(TblTareas[Duracion],143),""))</f>
      </c>
    </row>
    <row r="151" ht="34" customHeight="1">
      <c r="A151" s="62" t="str">
        <f>IFERROR(IF(INDEX(TblTareas[ID],144)="","",INDEX(TblTareas[ID],144)),"")</f>
      </c>
      <c r="B151" s="62" t="str">
        <f>IF($A151="","",IFERROR(INDEX(TblTareas[Responsable],144),""))</f>
      </c>
      <c r="C151" s="62" t="str">
        <f>IF($A151="","",IFERROR(INDEX(TblTareas[Trabajo],144),""))</f>
      </c>
      <c r="D151" s="62" t="str">
        <f>IF($A151="","",IFERROR(INDEX(TblTareas[Estado],144),""))</f>
      </c>
      <c r="E151" s="64" t="str">
        <f>IF($A151="","",IF(AND(INDEX(TblTareas[Activa],144)=1,E$7&gt;=INDEX(TblTareas[Semana],144),E$7&lt;INDEX(TblTareas[Semana],144)+INDEX(TblTareas[Duracion],144)),INDEX(TblTareas[Horas],144)/INDEX(TblTareas[Duracion],144),""))</f>
      </c>
      <c r="F151" s="64" t="str">
        <f>IF($A151="","",IF(AND(INDEX(TblTareas[Activa],144)=1,F$7&gt;=INDEX(TblTareas[Semana],144),F$7&lt;INDEX(TblTareas[Semana],144)+INDEX(TblTareas[Duracion],144)),INDEX(TblTareas[Horas],144)/INDEX(TblTareas[Duracion],144),""))</f>
      </c>
      <c r="G151" s="64" t="str">
        <f>IF($A151="","",IF(AND(INDEX(TblTareas[Activa],144)=1,G$7&gt;=INDEX(TblTareas[Semana],144),G$7&lt;INDEX(TblTareas[Semana],144)+INDEX(TblTareas[Duracion],144)),INDEX(TblTareas[Horas],144)/INDEX(TblTareas[Duracion],144),""))</f>
      </c>
      <c r="H151" s="64" t="str">
        <f>IF($A151="","",IF(AND(INDEX(TblTareas[Activa],144)=1,H$7&gt;=INDEX(TblTareas[Semana],144),H$7&lt;INDEX(TblTareas[Semana],144)+INDEX(TblTareas[Duracion],144)),INDEX(TblTareas[Horas],144)/INDEX(TblTareas[Duracion],144),""))</f>
      </c>
      <c r="I151" s="64" t="str">
        <f>IF($A151="","",IF(AND(INDEX(TblTareas[Activa],144)=1,I$7&gt;=INDEX(TblTareas[Semana],144),I$7&lt;INDEX(TblTareas[Semana],144)+INDEX(TblTareas[Duracion],144)),INDEX(TblTareas[Horas],144)/INDEX(TblTareas[Duracion],144),""))</f>
      </c>
      <c r="J151" s="64" t="str">
        <f>IF($A151="","",IF(AND(INDEX(TblTareas[Activa],144)=1,J$7&gt;=INDEX(TblTareas[Semana],144),J$7&lt;INDEX(TblTareas[Semana],144)+INDEX(TblTareas[Duracion],144)),INDEX(TblTareas[Horas],144)/INDEX(TblTareas[Duracion],144),""))</f>
      </c>
      <c r="K151" s="64" t="str">
        <f>IF($A151="","",IF(AND(INDEX(TblTareas[Activa],144)=1,K$7&gt;=INDEX(TblTareas[Semana],144),K$7&lt;INDEX(TblTareas[Semana],144)+INDEX(TblTareas[Duracion],144)),INDEX(TblTareas[Horas],144)/INDEX(TblTareas[Duracion],144),""))</f>
      </c>
      <c r="L151" s="64" t="str">
        <f>IF($A151="","",IF(AND(INDEX(TblTareas[Activa],144)=1,L$7&gt;=INDEX(TblTareas[Semana],144),L$7&lt;INDEX(TblTareas[Semana],144)+INDEX(TblTareas[Duracion],144)),INDEX(TblTareas[Horas],144)/INDEX(TblTareas[Duracion],144),""))</f>
      </c>
      <c r="M151" s="64" t="str">
        <f>IF($A151="","",IF(AND(INDEX(TblTareas[Activa],144)=1,M$7&gt;=INDEX(TblTareas[Semana],144),M$7&lt;INDEX(TblTareas[Semana],144)+INDEX(TblTareas[Duracion],144)),INDEX(TblTareas[Horas],144)/INDEX(TblTareas[Duracion],144),""))</f>
      </c>
      <c r="N151" s="64" t="str">
        <f>IF($A151="","",IF(AND(INDEX(TblTareas[Activa],144)=1,N$7&gt;=INDEX(TblTareas[Semana],144),N$7&lt;INDEX(TblTareas[Semana],144)+INDEX(TblTareas[Duracion],144)),INDEX(TblTareas[Horas],144)/INDEX(TblTareas[Duracion],144),""))</f>
      </c>
      <c r="O151" s="64" t="str">
        <f>IF($A151="","",IF(AND(INDEX(TblTareas[Activa],144)=1,O$7&gt;=INDEX(TblTareas[Semana],144),O$7&lt;INDEX(TblTareas[Semana],144)+INDEX(TblTareas[Duracion],144)),INDEX(TblTareas[Horas],144)/INDEX(TblTareas[Duracion],144),""))</f>
      </c>
      <c r="P151" s="64" t="str">
        <f>IF($A151="","",IF(AND(INDEX(TblTareas[Activa],144)=1,P$7&gt;=INDEX(TblTareas[Semana],144),P$7&lt;INDEX(TblTareas[Semana],144)+INDEX(TblTareas[Duracion],144)),INDEX(TblTareas[Horas],144)/INDEX(TblTareas[Duracion],144),""))</f>
      </c>
      <c r="Q151" s="64" t="str">
        <f>IF($A151="","",IF(AND(INDEX(TblTareas[Activa],144)=1,Q$7&gt;=INDEX(TblTareas[Semana],144),Q$7&lt;INDEX(TblTareas[Semana],144)+INDEX(TblTareas[Duracion],144)),INDEX(TblTareas[Horas],144)/INDEX(TblTareas[Duracion],144),""))</f>
      </c>
      <c r="R151" s="64" t="str">
        <f>IF($A151="","",IF(AND(INDEX(TblTareas[Activa],144)=1,R$7&gt;=INDEX(TblTareas[Semana],144),R$7&lt;INDEX(TblTareas[Semana],144)+INDEX(TblTareas[Duracion],144)),INDEX(TblTareas[Horas],144)/INDEX(TblTareas[Duracion],144),""))</f>
      </c>
      <c r="S151" s="64" t="str">
        <f>IF($A151="","",IF(AND(INDEX(TblTareas[Activa],144)=1,S$7&gt;=INDEX(TblTareas[Semana],144),S$7&lt;INDEX(TblTareas[Semana],144)+INDEX(TblTareas[Duracion],144)),INDEX(TblTareas[Horas],144)/INDEX(TblTareas[Duracion],144),""))</f>
      </c>
      <c r="T151" s="64" t="str">
        <f>IF($A151="","",IF(AND(INDEX(TblTareas[Activa],144)=1,T$7&gt;=INDEX(TblTareas[Semana],144),T$7&lt;INDEX(TblTareas[Semana],144)+INDEX(TblTareas[Duracion],144)),INDEX(TblTareas[Horas],144)/INDEX(TblTareas[Duracion],144),""))</f>
      </c>
    </row>
    <row r="152" ht="34" customHeight="1">
      <c r="A152" s="62" t="str">
        <f>IFERROR(IF(INDEX(TblTareas[ID],145)="","",INDEX(TblTareas[ID],145)),"")</f>
      </c>
      <c r="B152" s="62" t="str">
        <f>IF($A152="","",IFERROR(INDEX(TblTareas[Responsable],145),""))</f>
      </c>
      <c r="C152" s="62" t="str">
        <f>IF($A152="","",IFERROR(INDEX(TblTareas[Trabajo],145),""))</f>
      </c>
      <c r="D152" s="62" t="str">
        <f>IF($A152="","",IFERROR(INDEX(TblTareas[Estado],145),""))</f>
      </c>
      <c r="E152" s="64" t="str">
        <f>IF($A152="","",IF(AND(INDEX(TblTareas[Activa],145)=1,E$7&gt;=INDEX(TblTareas[Semana],145),E$7&lt;INDEX(TblTareas[Semana],145)+INDEX(TblTareas[Duracion],145)),INDEX(TblTareas[Horas],145)/INDEX(TblTareas[Duracion],145),""))</f>
      </c>
      <c r="F152" s="64" t="str">
        <f>IF($A152="","",IF(AND(INDEX(TblTareas[Activa],145)=1,F$7&gt;=INDEX(TblTareas[Semana],145),F$7&lt;INDEX(TblTareas[Semana],145)+INDEX(TblTareas[Duracion],145)),INDEX(TblTareas[Horas],145)/INDEX(TblTareas[Duracion],145),""))</f>
      </c>
      <c r="G152" s="64" t="str">
        <f>IF($A152="","",IF(AND(INDEX(TblTareas[Activa],145)=1,G$7&gt;=INDEX(TblTareas[Semana],145),G$7&lt;INDEX(TblTareas[Semana],145)+INDEX(TblTareas[Duracion],145)),INDEX(TblTareas[Horas],145)/INDEX(TblTareas[Duracion],145),""))</f>
      </c>
      <c r="H152" s="64" t="str">
        <f>IF($A152="","",IF(AND(INDEX(TblTareas[Activa],145)=1,H$7&gt;=INDEX(TblTareas[Semana],145),H$7&lt;INDEX(TblTareas[Semana],145)+INDEX(TblTareas[Duracion],145)),INDEX(TblTareas[Horas],145)/INDEX(TblTareas[Duracion],145),""))</f>
      </c>
      <c r="I152" s="64" t="str">
        <f>IF($A152="","",IF(AND(INDEX(TblTareas[Activa],145)=1,I$7&gt;=INDEX(TblTareas[Semana],145),I$7&lt;INDEX(TblTareas[Semana],145)+INDEX(TblTareas[Duracion],145)),INDEX(TblTareas[Horas],145)/INDEX(TblTareas[Duracion],145),""))</f>
      </c>
      <c r="J152" s="64" t="str">
        <f>IF($A152="","",IF(AND(INDEX(TblTareas[Activa],145)=1,J$7&gt;=INDEX(TblTareas[Semana],145),J$7&lt;INDEX(TblTareas[Semana],145)+INDEX(TblTareas[Duracion],145)),INDEX(TblTareas[Horas],145)/INDEX(TblTareas[Duracion],145),""))</f>
      </c>
      <c r="K152" s="64" t="str">
        <f>IF($A152="","",IF(AND(INDEX(TblTareas[Activa],145)=1,K$7&gt;=INDEX(TblTareas[Semana],145),K$7&lt;INDEX(TblTareas[Semana],145)+INDEX(TblTareas[Duracion],145)),INDEX(TblTareas[Horas],145)/INDEX(TblTareas[Duracion],145),""))</f>
      </c>
      <c r="L152" s="64" t="str">
        <f>IF($A152="","",IF(AND(INDEX(TblTareas[Activa],145)=1,L$7&gt;=INDEX(TblTareas[Semana],145),L$7&lt;INDEX(TblTareas[Semana],145)+INDEX(TblTareas[Duracion],145)),INDEX(TblTareas[Horas],145)/INDEX(TblTareas[Duracion],145),""))</f>
      </c>
      <c r="M152" s="64" t="str">
        <f>IF($A152="","",IF(AND(INDEX(TblTareas[Activa],145)=1,M$7&gt;=INDEX(TblTareas[Semana],145),M$7&lt;INDEX(TblTareas[Semana],145)+INDEX(TblTareas[Duracion],145)),INDEX(TblTareas[Horas],145)/INDEX(TblTareas[Duracion],145),""))</f>
      </c>
      <c r="N152" s="64" t="str">
        <f>IF($A152="","",IF(AND(INDEX(TblTareas[Activa],145)=1,N$7&gt;=INDEX(TblTareas[Semana],145),N$7&lt;INDEX(TblTareas[Semana],145)+INDEX(TblTareas[Duracion],145)),INDEX(TblTareas[Horas],145)/INDEX(TblTareas[Duracion],145),""))</f>
      </c>
      <c r="O152" s="64" t="str">
        <f>IF($A152="","",IF(AND(INDEX(TblTareas[Activa],145)=1,O$7&gt;=INDEX(TblTareas[Semana],145),O$7&lt;INDEX(TblTareas[Semana],145)+INDEX(TblTareas[Duracion],145)),INDEX(TblTareas[Horas],145)/INDEX(TblTareas[Duracion],145),""))</f>
      </c>
      <c r="P152" s="64" t="str">
        <f>IF($A152="","",IF(AND(INDEX(TblTareas[Activa],145)=1,P$7&gt;=INDEX(TblTareas[Semana],145),P$7&lt;INDEX(TblTareas[Semana],145)+INDEX(TblTareas[Duracion],145)),INDEX(TblTareas[Horas],145)/INDEX(TblTareas[Duracion],145),""))</f>
      </c>
      <c r="Q152" s="64" t="str">
        <f>IF($A152="","",IF(AND(INDEX(TblTareas[Activa],145)=1,Q$7&gt;=INDEX(TblTareas[Semana],145),Q$7&lt;INDEX(TblTareas[Semana],145)+INDEX(TblTareas[Duracion],145)),INDEX(TblTareas[Horas],145)/INDEX(TblTareas[Duracion],145),""))</f>
      </c>
      <c r="R152" s="64" t="str">
        <f>IF($A152="","",IF(AND(INDEX(TblTareas[Activa],145)=1,R$7&gt;=INDEX(TblTareas[Semana],145),R$7&lt;INDEX(TblTareas[Semana],145)+INDEX(TblTareas[Duracion],145)),INDEX(TblTareas[Horas],145)/INDEX(TblTareas[Duracion],145),""))</f>
      </c>
      <c r="S152" s="64" t="str">
        <f>IF($A152="","",IF(AND(INDEX(TblTareas[Activa],145)=1,S$7&gt;=INDEX(TblTareas[Semana],145),S$7&lt;INDEX(TblTareas[Semana],145)+INDEX(TblTareas[Duracion],145)),INDEX(TblTareas[Horas],145)/INDEX(TblTareas[Duracion],145),""))</f>
      </c>
      <c r="T152" s="64" t="str">
        <f>IF($A152="","",IF(AND(INDEX(TblTareas[Activa],145)=1,T$7&gt;=INDEX(TblTareas[Semana],145),T$7&lt;INDEX(TblTareas[Semana],145)+INDEX(TblTareas[Duracion],145)),INDEX(TblTareas[Horas],145)/INDEX(TblTareas[Duracion],145),""))</f>
      </c>
    </row>
    <row r="153" ht="34" customHeight="1">
      <c r="A153" s="62" t="str">
        <f>IFERROR(IF(INDEX(TblTareas[ID],146)="","",INDEX(TblTareas[ID],146)),"")</f>
      </c>
      <c r="B153" s="62" t="str">
        <f>IF($A153="","",IFERROR(INDEX(TblTareas[Responsable],146),""))</f>
      </c>
      <c r="C153" s="62" t="str">
        <f>IF($A153="","",IFERROR(INDEX(TblTareas[Trabajo],146),""))</f>
      </c>
      <c r="D153" s="62" t="str">
        <f>IF($A153="","",IFERROR(INDEX(TblTareas[Estado],146),""))</f>
      </c>
      <c r="E153" s="64" t="str">
        <f>IF($A153="","",IF(AND(INDEX(TblTareas[Activa],146)=1,E$7&gt;=INDEX(TblTareas[Semana],146),E$7&lt;INDEX(TblTareas[Semana],146)+INDEX(TblTareas[Duracion],146)),INDEX(TblTareas[Horas],146)/INDEX(TblTareas[Duracion],146),""))</f>
      </c>
      <c r="F153" s="64" t="str">
        <f>IF($A153="","",IF(AND(INDEX(TblTareas[Activa],146)=1,F$7&gt;=INDEX(TblTareas[Semana],146),F$7&lt;INDEX(TblTareas[Semana],146)+INDEX(TblTareas[Duracion],146)),INDEX(TblTareas[Horas],146)/INDEX(TblTareas[Duracion],146),""))</f>
      </c>
      <c r="G153" s="64" t="str">
        <f>IF($A153="","",IF(AND(INDEX(TblTareas[Activa],146)=1,G$7&gt;=INDEX(TblTareas[Semana],146),G$7&lt;INDEX(TblTareas[Semana],146)+INDEX(TblTareas[Duracion],146)),INDEX(TblTareas[Horas],146)/INDEX(TblTareas[Duracion],146),""))</f>
      </c>
      <c r="H153" s="64" t="str">
        <f>IF($A153="","",IF(AND(INDEX(TblTareas[Activa],146)=1,H$7&gt;=INDEX(TblTareas[Semana],146),H$7&lt;INDEX(TblTareas[Semana],146)+INDEX(TblTareas[Duracion],146)),INDEX(TblTareas[Horas],146)/INDEX(TblTareas[Duracion],146),""))</f>
      </c>
      <c r="I153" s="64" t="str">
        <f>IF($A153="","",IF(AND(INDEX(TblTareas[Activa],146)=1,I$7&gt;=INDEX(TblTareas[Semana],146),I$7&lt;INDEX(TblTareas[Semana],146)+INDEX(TblTareas[Duracion],146)),INDEX(TblTareas[Horas],146)/INDEX(TblTareas[Duracion],146),""))</f>
      </c>
      <c r="J153" s="64" t="str">
        <f>IF($A153="","",IF(AND(INDEX(TblTareas[Activa],146)=1,J$7&gt;=INDEX(TblTareas[Semana],146),J$7&lt;INDEX(TblTareas[Semana],146)+INDEX(TblTareas[Duracion],146)),INDEX(TblTareas[Horas],146)/INDEX(TblTareas[Duracion],146),""))</f>
      </c>
      <c r="K153" s="64" t="str">
        <f>IF($A153="","",IF(AND(INDEX(TblTareas[Activa],146)=1,K$7&gt;=INDEX(TblTareas[Semana],146),K$7&lt;INDEX(TblTareas[Semana],146)+INDEX(TblTareas[Duracion],146)),INDEX(TblTareas[Horas],146)/INDEX(TblTareas[Duracion],146),""))</f>
      </c>
      <c r="L153" s="64" t="str">
        <f>IF($A153="","",IF(AND(INDEX(TblTareas[Activa],146)=1,L$7&gt;=INDEX(TblTareas[Semana],146),L$7&lt;INDEX(TblTareas[Semana],146)+INDEX(TblTareas[Duracion],146)),INDEX(TblTareas[Horas],146)/INDEX(TblTareas[Duracion],146),""))</f>
      </c>
      <c r="M153" s="64" t="str">
        <f>IF($A153="","",IF(AND(INDEX(TblTareas[Activa],146)=1,M$7&gt;=INDEX(TblTareas[Semana],146),M$7&lt;INDEX(TblTareas[Semana],146)+INDEX(TblTareas[Duracion],146)),INDEX(TblTareas[Horas],146)/INDEX(TblTareas[Duracion],146),""))</f>
      </c>
      <c r="N153" s="64" t="str">
        <f>IF($A153="","",IF(AND(INDEX(TblTareas[Activa],146)=1,N$7&gt;=INDEX(TblTareas[Semana],146),N$7&lt;INDEX(TblTareas[Semana],146)+INDEX(TblTareas[Duracion],146)),INDEX(TblTareas[Horas],146)/INDEX(TblTareas[Duracion],146),""))</f>
      </c>
      <c r="O153" s="64" t="str">
        <f>IF($A153="","",IF(AND(INDEX(TblTareas[Activa],146)=1,O$7&gt;=INDEX(TblTareas[Semana],146),O$7&lt;INDEX(TblTareas[Semana],146)+INDEX(TblTareas[Duracion],146)),INDEX(TblTareas[Horas],146)/INDEX(TblTareas[Duracion],146),""))</f>
      </c>
      <c r="P153" s="64" t="str">
        <f>IF($A153="","",IF(AND(INDEX(TblTareas[Activa],146)=1,P$7&gt;=INDEX(TblTareas[Semana],146),P$7&lt;INDEX(TblTareas[Semana],146)+INDEX(TblTareas[Duracion],146)),INDEX(TblTareas[Horas],146)/INDEX(TblTareas[Duracion],146),""))</f>
      </c>
      <c r="Q153" s="64" t="str">
        <f>IF($A153="","",IF(AND(INDEX(TblTareas[Activa],146)=1,Q$7&gt;=INDEX(TblTareas[Semana],146),Q$7&lt;INDEX(TblTareas[Semana],146)+INDEX(TblTareas[Duracion],146)),INDEX(TblTareas[Horas],146)/INDEX(TblTareas[Duracion],146),""))</f>
      </c>
      <c r="R153" s="64" t="str">
        <f>IF($A153="","",IF(AND(INDEX(TblTareas[Activa],146)=1,R$7&gt;=INDEX(TblTareas[Semana],146),R$7&lt;INDEX(TblTareas[Semana],146)+INDEX(TblTareas[Duracion],146)),INDEX(TblTareas[Horas],146)/INDEX(TblTareas[Duracion],146),""))</f>
      </c>
      <c r="S153" s="64" t="str">
        <f>IF($A153="","",IF(AND(INDEX(TblTareas[Activa],146)=1,S$7&gt;=INDEX(TblTareas[Semana],146),S$7&lt;INDEX(TblTareas[Semana],146)+INDEX(TblTareas[Duracion],146)),INDEX(TblTareas[Horas],146)/INDEX(TblTareas[Duracion],146),""))</f>
      </c>
      <c r="T153" s="64" t="str">
        <f>IF($A153="","",IF(AND(INDEX(TblTareas[Activa],146)=1,T$7&gt;=INDEX(TblTareas[Semana],146),T$7&lt;INDEX(TblTareas[Semana],146)+INDEX(TblTareas[Duracion],146)),INDEX(TblTareas[Horas],146)/INDEX(TblTareas[Duracion],146),""))</f>
      </c>
    </row>
    <row r="154" ht="34" customHeight="1">
      <c r="A154" s="62" t="str">
        <f>IFERROR(IF(INDEX(TblTareas[ID],147)="","",INDEX(TblTareas[ID],147)),"")</f>
      </c>
      <c r="B154" s="62" t="str">
        <f>IF($A154="","",IFERROR(INDEX(TblTareas[Responsable],147),""))</f>
      </c>
      <c r="C154" s="62" t="str">
        <f>IF($A154="","",IFERROR(INDEX(TblTareas[Trabajo],147),""))</f>
      </c>
      <c r="D154" s="62" t="str">
        <f>IF($A154="","",IFERROR(INDEX(TblTareas[Estado],147),""))</f>
      </c>
      <c r="E154" s="64" t="str">
        <f>IF($A154="","",IF(AND(INDEX(TblTareas[Activa],147)=1,E$7&gt;=INDEX(TblTareas[Semana],147),E$7&lt;INDEX(TblTareas[Semana],147)+INDEX(TblTareas[Duracion],147)),INDEX(TblTareas[Horas],147)/INDEX(TblTareas[Duracion],147),""))</f>
      </c>
      <c r="F154" s="64" t="str">
        <f>IF($A154="","",IF(AND(INDEX(TblTareas[Activa],147)=1,F$7&gt;=INDEX(TblTareas[Semana],147),F$7&lt;INDEX(TblTareas[Semana],147)+INDEX(TblTareas[Duracion],147)),INDEX(TblTareas[Horas],147)/INDEX(TblTareas[Duracion],147),""))</f>
      </c>
      <c r="G154" s="64" t="str">
        <f>IF($A154="","",IF(AND(INDEX(TblTareas[Activa],147)=1,G$7&gt;=INDEX(TblTareas[Semana],147),G$7&lt;INDEX(TblTareas[Semana],147)+INDEX(TblTareas[Duracion],147)),INDEX(TblTareas[Horas],147)/INDEX(TblTareas[Duracion],147),""))</f>
      </c>
      <c r="H154" s="64" t="str">
        <f>IF($A154="","",IF(AND(INDEX(TblTareas[Activa],147)=1,H$7&gt;=INDEX(TblTareas[Semana],147),H$7&lt;INDEX(TblTareas[Semana],147)+INDEX(TblTareas[Duracion],147)),INDEX(TblTareas[Horas],147)/INDEX(TblTareas[Duracion],147),""))</f>
      </c>
      <c r="I154" s="64" t="str">
        <f>IF($A154="","",IF(AND(INDEX(TblTareas[Activa],147)=1,I$7&gt;=INDEX(TblTareas[Semana],147),I$7&lt;INDEX(TblTareas[Semana],147)+INDEX(TblTareas[Duracion],147)),INDEX(TblTareas[Horas],147)/INDEX(TblTareas[Duracion],147),""))</f>
      </c>
      <c r="J154" s="64" t="str">
        <f>IF($A154="","",IF(AND(INDEX(TblTareas[Activa],147)=1,J$7&gt;=INDEX(TblTareas[Semana],147),J$7&lt;INDEX(TblTareas[Semana],147)+INDEX(TblTareas[Duracion],147)),INDEX(TblTareas[Horas],147)/INDEX(TblTareas[Duracion],147),""))</f>
      </c>
      <c r="K154" s="64" t="str">
        <f>IF($A154="","",IF(AND(INDEX(TblTareas[Activa],147)=1,K$7&gt;=INDEX(TblTareas[Semana],147),K$7&lt;INDEX(TblTareas[Semana],147)+INDEX(TblTareas[Duracion],147)),INDEX(TblTareas[Horas],147)/INDEX(TblTareas[Duracion],147),""))</f>
      </c>
      <c r="L154" s="64" t="str">
        <f>IF($A154="","",IF(AND(INDEX(TblTareas[Activa],147)=1,L$7&gt;=INDEX(TblTareas[Semana],147),L$7&lt;INDEX(TblTareas[Semana],147)+INDEX(TblTareas[Duracion],147)),INDEX(TblTareas[Horas],147)/INDEX(TblTareas[Duracion],147),""))</f>
      </c>
      <c r="M154" s="64" t="str">
        <f>IF($A154="","",IF(AND(INDEX(TblTareas[Activa],147)=1,M$7&gt;=INDEX(TblTareas[Semana],147),M$7&lt;INDEX(TblTareas[Semana],147)+INDEX(TblTareas[Duracion],147)),INDEX(TblTareas[Horas],147)/INDEX(TblTareas[Duracion],147),""))</f>
      </c>
      <c r="N154" s="64" t="str">
        <f>IF($A154="","",IF(AND(INDEX(TblTareas[Activa],147)=1,N$7&gt;=INDEX(TblTareas[Semana],147),N$7&lt;INDEX(TblTareas[Semana],147)+INDEX(TblTareas[Duracion],147)),INDEX(TblTareas[Horas],147)/INDEX(TblTareas[Duracion],147),""))</f>
      </c>
      <c r="O154" s="64" t="str">
        <f>IF($A154="","",IF(AND(INDEX(TblTareas[Activa],147)=1,O$7&gt;=INDEX(TblTareas[Semana],147),O$7&lt;INDEX(TblTareas[Semana],147)+INDEX(TblTareas[Duracion],147)),INDEX(TblTareas[Horas],147)/INDEX(TblTareas[Duracion],147),""))</f>
      </c>
      <c r="P154" s="64" t="str">
        <f>IF($A154="","",IF(AND(INDEX(TblTareas[Activa],147)=1,P$7&gt;=INDEX(TblTareas[Semana],147),P$7&lt;INDEX(TblTareas[Semana],147)+INDEX(TblTareas[Duracion],147)),INDEX(TblTareas[Horas],147)/INDEX(TblTareas[Duracion],147),""))</f>
      </c>
      <c r="Q154" s="64" t="str">
        <f>IF($A154="","",IF(AND(INDEX(TblTareas[Activa],147)=1,Q$7&gt;=INDEX(TblTareas[Semana],147),Q$7&lt;INDEX(TblTareas[Semana],147)+INDEX(TblTareas[Duracion],147)),INDEX(TblTareas[Horas],147)/INDEX(TblTareas[Duracion],147),""))</f>
      </c>
      <c r="R154" s="64" t="str">
        <f>IF($A154="","",IF(AND(INDEX(TblTareas[Activa],147)=1,R$7&gt;=INDEX(TblTareas[Semana],147),R$7&lt;INDEX(TblTareas[Semana],147)+INDEX(TblTareas[Duracion],147)),INDEX(TblTareas[Horas],147)/INDEX(TblTareas[Duracion],147),""))</f>
      </c>
      <c r="S154" s="64" t="str">
        <f>IF($A154="","",IF(AND(INDEX(TblTareas[Activa],147)=1,S$7&gt;=INDEX(TblTareas[Semana],147),S$7&lt;INDEX(TblTareas[Semana],147)+INDEX(TblTareas[Duracion],147)),INDEX(TblTareas[Horas],147)/INDEX(TblTareas[Duracion],147),""))</f>
      </c>
      <c r="T154" s="64" t="str">
        <f>IF($A154="","",IF(AND(INDEX(TblTareas[Activa],147)=1,T$7&gt;=INDEX(TblTareas[Semana],147),T$7&lt;INDEX(TblTareas[Semana],147)+INDEX(TblTareas[Duracion],147)),INDEX(TblTareas[Horas],147)/INDEX(TblTareas[Duracion],147),""))</f>
      </c>
    </row>
    <row r="155" ht="34" customHeight="1">
      <c r="A155" s="62" t="str">
        <f>IFERROR(IF(INDEX(TblTareas[ID],148)="","",INDEX(TblTareas[ID],148)),"")</f>
      </c>
      <c r="B155" s="62" t="str">
        <f>IF($A155="","",IFERROR(INDEX(TblTareas[Responsable],148),""))</f>
      </c>
      <c r="C155" s="62" t="str">
        <f>IF($A155="","",IFERROR(INDEX(TblTareas[Trabajo],148),""))</f>
      </c>
      <c r="D155" s="62" t="str">
        <f>IF($A155="","",IFERROR(INDEX(TblTareas[Estado],148),""))</f>
      </c>
      <c r="E155" s="64" t="str">
        <f>IF($A155="","",IF(AND(INDEX(TblTareas[Activa],148)=1,E$7&gt;=INDEX(TblTareas[Semana],148),E$7&lt;INDEX(TblTareas[Semana],148)+INDEX(TblTareas[Duracion],148)),INDEX(TblTareas[Horas],148)/INDEX(TblTareas[Duracion],148),""))</f>
      </c>
      <c r="F155" s="64" t="str">
        <f>IF($A155="","",IF(AND(INDEX(TblTareas[Activa],148)=1,F$7&gt;=INDEX(TblTareas[Semana],148),F$7&lt;INDEX(TblTareas[Semana],148)+INDEX(TblTareas[Duracion],148)),INDEX(TblTareas[Horas],148)/INDEX(TblTareas[Duracion],148),""))</f>
      </c>
      <c r="G155" s="64" t="str">
        <f>IF($A155="","",IF(AND(INDEX(TblTareas[Activa],148)=1,G$7&gt;=INDEX(TblTareas[Semana],148),G$7&lt;INDEX(TblTareas[Semana],148)+INDEX(TblTareas[Duracion],148)),INDEX(TblTareas[Horas],148)/INDEX(TblTareas[Duracion],148),""))</f>
      </c>
      <c r="H155" s="64" t="str">
        <f>IF($A155="","",IF(AND(INDEX(TblTareas[Activa],148)=1,H$7&gt;=INDEX(TblTareas[Semana],148),H$7&lt;INDEX(TblTareas[Semana],148)+INDEX(TblTareas[Duracion],148)),INDEX(TblTareas[Horas],148)/INDEX(TblTareas[Duracion],148),""))</f>
      </c>
      <c r="I155" s="64" t="str">
        <f>IF($A155="","",IF(AND(INDEX(TblTareas[Activa],148)=1,I$7&gt;=INDEX(TblTareas[Semana],148),I$7&lt;INDEX(TblTareas[Semana],148)+INDEX(TblTareas[Duracion],148)),INDEX(TblTareas[Horas],148)/INDEX(TblTareas[Duracion],148),""))</f>
      </c>
      <c r="J155" s="64" t="str">
        <f>IF($A155="","",IF(AND(INDEX(TblTareas[Activa],148)=1,J$7&gt;=INDEX(TblTareas[Semana],148),J$7&lt;INDEX(TblTareas[Semana],148)+INDEX(TblTareas[Duracion],148)),INDEX(TblTareas[Horas],148)/INDEX(TblTareas[Duracion],148),""))</f>
      </c>
      <c r="K155" s="64" t="str">
        <f>IF($A155="","",IF(AND(INDEX(TblTareas[Activa],148)=1,K$7&gt;=INDEX(TblTareas[Semana],148),K$7&lt;INDEX(TblTareas[Semana],148)+INDEX(TblTareas[Duracion],148)),INDEX(TblTareas[Horas],148)/INDEX(TblTareas[Duracion],148),""))</f>
      </c>
      <c r="L155" s="64" t="str">
        <f>IF($A155="","",IF(AND(INDEX(TblTareas[Activa],148)=1,L$7&gt;=INDEX(TblTareas[Semana],148),L$7&lt;INDEX(TblTareas[Semana],148)+INDEX(TblTareas[Duracion],148)),INDEX(TblTareas[Horas],148)/INDEX(TblTareas[Duracion],148),""))</f>
      </c>
      <c r="M155" s="64" t="str">
        <f>IF($A155="","",IF(AND(INDEX(TblTareas[Activa],148)=1,M$7&gt;=INDEX(TblTareas[Semana],148),M$7&lt;INDEX(TblTareas[Semana],148)+INDEX(TblTareas[Duracion],148)),INDEX(TblTareas[Horas],148)/INDEX(TblTareas[Duracion],148),""))</f>
      </c>
      <c r="N155" s="64" t="str">
        <f>IF($A155="","",IF(AND(INDEX(TblTareas[Activa],148)=1,N$7&gt;=INDEX(TblTareas[Semana],148),N$7&lt;INDEX(TblTareas[Semana],148)+INDEX(TblTareas[Duracion],148)),INDEX(TblTareas[Horas],148)/INDEX(TblTareas[Duracion],148),""))</f>
      </c>
      <c r="O155" s="64" t="str">
        <f>IF($A155="","",IF(AND(INDEX(TblTareas[Activa],148)=1,O$7&gt;=INDEX(TblTareas[Semana],148),O$7&lt;INDEX(TblTareas[Semana],148)+INDEX(TblTareas[Duracion],148)),INDEX(TblTareas[Horas],148)/INDEX(TblTareas[Duracion],148),""))</f>
      </c>
      <c r="P155" s="64" t="str">
        <f>IF($A155="","",IF(AND(INDEX(TblTareas[Activa],148)=1,P$7&gt;=INDEX(TblTareas[Semana],148),P$7&lt;INDEX(TblTareas[Semana],148)+INDEX(TblTareas[Duracion],148)),INDEX(TblTareas[Horas],148)/INDEX(TblTareas[Duracion],148),""))</f>
      </c>
      <c r="Q155" s="64" t="str">
        <f>IF($A155="","",IF(AND(INDEX(TblTareas[Activa],148)=1,Q$7&gt;=INDEX(TblTareas[Semana],148),Q$7&lt;INDEX(TblTareas[Semana],148)+INDEX(TblTareas[Duracion],148)),INDEX(TblTareas[Horas],148)/INDEX(TblTareas[Duracion],148),""))</f>
      </c>
      <c r="R155" s="64" t="str">
        <f>IF($A155="","",IF(AND(INDEX(TblTareas[Activa],148)=1,R$7&gt;=INDEX(TblTareas[Semana],148),R$7&lt;INDEX(TblTareas[Semana],148)+INDEX(TblTareas[Duracion],148)),INDEX(TblTareas[Horas],148)/INDEX(TblTareas[Duracion],148),""))</f>
      </c>
      <c r="S155" s="64" t="str">
        <f>IF($A155="","",IF(AND(INDEX(TblTareas[Activa],148)=1,S$7&gt;=INDEX(TblTareas[Semana],148),S$7&lt;INDEX(TblTareas[Semana],148)+INDEX(TblTareas[Duracion],148)),INDEX(TblTareas[Horas],148)/INDEX(TblTareas[Duracion],148),""))</f>
      </c>
      <c r="T155" s="64" t="str">
        <f>IF($A155="","",IF(AND(INDEX(TblTareas[Activa],148)=1,T$7&gt;=INDEX(TblTareas[Semana],148),T$7&lt;INDEX(TblTareas[Semana],148)+INDEX(TblTareas[Duracion],148)),INDEX(TblTareas[Horas],148)/INDEX(TblTareas[Duracion],148),""))</f>
      </c>
    </row>
    <row r="156" ht="34" customHeight="1">
      <c r="A156" s="62" t="str">
        <f>IFERROR(IF(INDEX(TblTareas[ID],149)="","",INDEX(TblTareas[ID],149)),"")</f>
      </c>
      <c r="B156" s="62" t="str">
        <f>IF($A156="","",IFERROR(INDEX(TblTareas[Responsable],149),""))</f>
      </c>
      <c r="C156" s="62" t="str">
        <f>IF($A156="","",IFERROR(INDEX(TblTareas[Trabajo],149),""))</f>
      </c>
      <c r="D156" s="62" t="str">
        <f>IF($A156="","",IFERROR(INDEX(TblTareas[Estado],149),""))</f>
      </c>
      <c r="E156" s="64" t="str">
        <f>IF($A156="","",IF(AND(INDEX(TblTareas[Activa],149)=1,E$7&gt;=INDEX(TblTareas[Semana],149),E$7&lt;INDEX(TblTareas[Semana],149)+INDEX(TblTareas[Duracion],149)),INDEX(TblTareas[Horas],149)/INDEX(TblTareas[Duracion],149),""))</f>
      </c>
      <c r="F156" s="64" t="str">
        <f>IF($A156="","",IF(AND(INDEX(TblTareas[Activa],149)=1,F$7&gt;=INDEX(TblTareas[Semana],149),F$7&lt;INDEX(TblTareas[Semana],149)+INDEX(TblTareas[Duracion],149)),INDEX(TblTareas[Horas],149)/INDEX(TblTareas[Duracion],149),""))</f>
      </c>
      <c r="G156" s="64" t="str">
        <f>IF($A156="","",IF(AND(INDEX(TblTareas[Activa],149)=1,G$7&gt;=INDEX(TblTareas[Semana],149),G$7&lt;INDEX(TblTareas[Semana],149)+INDEX(TblTareas[Duracion],149)),INDEX(TblTareas[Horas],149)/INDEX(TblTareas[Duracion],149),""))</f>
      </c>
      <c r="H156" s="64" t="str">
        <f>IF($A156="","",IF(AND(INDEX(TblTareas[Activa],149)=1,H$7&gt;=INDEX(TblTareas[Semana],149),H$7&lt;INDEX(TblTareas[Semana],149)+INDEX(TblTareas[Duracion],149)),INDEX(TblTareas[Horas],149)/INDEX(TblTareas[Duracion],149),""))</f>
      </c>
      <c r="I156" s="64" t="str">
        <f>IF($A156="","",IF(AND(INDEX(TblTareas[Activa],149)=1,I$7&gt;=INDEX(TblTareas[Semana],149),I$7&lt;INDEX(TblTareas[Semana],149)+INDEX(TblTareas[Duracion],149)),INDEX(TblTareas[Horas],149)/INDEX(TblTareas[Duracion],149),""))</f>
      </c>
      <c r="J156" s="64" t="str">
        <f>IF($A156="","",IF(AND(INDEX(TblTareas[Activa],149)=1,J$7&gt;=INDEX(TblTareas[Semana],149),J$7&lt;INDEX(TblTareas[Semana],149)+INDEX(TblTareas[Duracion],149)),INDEX(TblTareas[Horas],149)/INDEX(TblTareas[Duracion],149),""))</f>
      </c>
      <c r="K156" s="64" t="str">
        <f>IF($A156="","",IF(AND(INDEX(TblTareas[Activa],149)=1,K$7&gt;=INDEX(TblTareas[Semana],149),K$7&lt;INDEX(TblTareas[Semana],149)+INDEX(TblTareas[Duracion],149)),INDEX(TblTareas[Horas],149)/INDEX(TblTareas[Duracion],149),""))</f>
      </c>
      <c r="L156" s="64" t="str">
        <f>IF($A156="","",IF(AND(INDEX(TblTareas[Activa],149)=1,L$7&gt;=INDEX(TblTareas[Semana],149),L$7&lt;INDEX(TblTareas[Semana],149)+INDEX(TblTareas[Duracion],149)),INDEX(TblTareas[Horas],149)/INDEX(TblTareas[Duracion],149),""))</f>
      </c>
      <c r="M156" s="64" t="str">
        <f>IF($A156="","",IF(AND(INDEX(TblTareas[Activa],149)=1,M$7&gt;=INDEX(TblTareas[Semana],149),M$7&lt;INDEX(TblTareas[Semana],149)+INDEX(TblTareas[Duracion],149)),INDEX(TblTareas[Horas],149)/INDEX(TblTareas[Duracion],149),""))</f>
      </c>
      <c r="N156" s="64" t="str">
        <f>IF($A156="","",IF(AND(INDEX(TblTareas[Activa],149)=1,N$7&gt;=INDEX(TblTareas[Semana],149),N$7&lt;INDEX(TblTareas[Semana],149)+INDEX(TblTareas[Duracion],149)),INDEX(TblTareas[Horas],149)/INDEX(TblTareas[Duracion],149),""))</f>
      </c>
      <c r="O156" s="64" t="str">
        <f>IF($A156="","",IF(AND(INDEX(TblTareas[Activa],149)=1,O$7&gt;=INDEX(TblTareas[Semana],149),O$7&lt;INDEX(TblTareas[Semana],149)+INDEX(TblTareas[Duracion],149)),INDEX(TblTareas[Horas],149)/INDEX(TblTareas[Duracion],149),""))</f>
      </c>
      <c r="P156" s="64" t="str">
        <f>IF($A156="","",IF(AND(INDEX(TblTareas[Activa],149)=1,P$7&gt;=INDEX(TblTareas[Semana],149),P$7&lt;INDEX(TblTareas[Semana],149)+INDEX(TblTareas[Duracion],149)),INDEX(TblTareas[Horas],149)/INDEX(TblTareas[Duracion],149),""))</f>
      </c>
      <c r="Q156" s="64" t="str">
        <f>IF($A156="","",IF(AND(INDEX(TblTareas[Activa],149)=1,Q$7&gt;=INDEX(TblTareas[Semana],149),Q$7&lt;INDEX(TblTareas[Semana],149)+INDEX(TblTareas[Duracion],149)),INDEX(TblTareas[Horas],149)/INDEX(TblTareas[Duracion],149),""))</f>
      </c>
      <c r="R156" s="64" t="str">
        <f>IF($A156="","",IF(AND(INDEX(TblTareas[Activa],149)=1,R$7&gt;=INDEX(TblTareas[Semana],149),R$7&lt;INDEX(TblTareas[Semana],149)+INDEX(TblTareas[Duracion],149)),INDEX(TblTareas[Horas],149)/INDEX(TblTareas[Duracion],149),""))</f>
      </c>
      <c r="S156" s="64" t="str">
        <f>IF($A156="","",IF(AND(INDEX(TblTareas[Activa],149)=1,S$7&gt;=INDEX(TblTareas[Semana],149),S$7&lt;INDEX(TblTareas[Semana],149)+INDEX(TblTareas[Duracion],149)),INDEX(TblTareas[Horas],149)/INDEX(TblTareas[Duracion],149),""))</f>
      </c>
      <c r="T156" s="64" t="str">
        <f>IF($A156="","",IF(AND(INDEX(TblTareas[Activa],149)=1,T$7&gt;=INDEX(TblTareas[Semana],149),T$7&lt;INDEX(TblTareas[Semana],149)+INDEX(TblTareas[Duracion],149)),INDEX(TblTareas[Horas],149)/INDEX(TblTareas[Duracion],149),""))</f>
      </c>
    </row>
    <row r="157" ht="34" customHeight="1">
      <c r="A157" s="62" t="str">
        <f>IFERROR(IF(INDEX(TblTareas[ID],150)="","",INDEX(TblTareas[ID],150)),"")</f>
      </c>
      <c r="B157" s="62" t="str">
        <f>IF($A157="","",IFERROR(INDEX(TblTareas[Responsable],150),""))</f>
      </c>
      <c r="C157" s="62" t="str">
        <f>IF($A157="","",IFERROR(INDEX(TblTareas[Trabajo],150),""))</f>
      </c>
      <c r="D157" s="62" t="str">
        <f>IF($A157="","",IFERROR(INDEX(TblTareas[Estado],150),""))</f>
      </c>
      <c r="E157" s="64" t="str">
        <f>IF($A157="","",IF(AND(INDEX(TblTareas[Activa],150)=1,E$7&gt;=INDEX(TblTareas[Semana],150),E$7&lt;INDEX(TblTareas[Semana],150)+INDEX(TblTareas[Duracion],150)),INDEX(TblTareas[Horas],150)/INDEX(TblTareas[Duracion],150),""))</f>
      </c>
      <c r="F157" s="64" t="str">
        <f>IF($A157="","",IF(AND(INDEX(TblTareas[Activa],150)=1,F$7&gt;=INDEX(TblTareas[Semana],150),F$7&lt;INDEX(TblTareas[Semana],150)+INDEX(TblTareas[Duracion],150)),INDEX(TblTareas[Horas],150)/INDEX(TblTareas[Duracion],150),""))</f>
      </c>
      <c r="G157" s="64" t="str">
        <f>IF($A157="","",IF(AND(INDEX(TblTareas[Activa],150)=1,G$7&gt;=INDEX(TblTareas[Semana],150),G$7&lt;INDEX(TblTareas[Semana],150)+INDEX(TblTareas[Duracion],150)),INDEX(TblTareas[Horas],150)/INDEX(TblTareas[Duracion],150),""))</f>
      </c>
      <c r="H157" s="64" t="str">
        <f>IF($A157="","",IF(AND(INDEX(TblTareas[Activa],150)=1,H$7&gt;=INDEX(TblTareas[Semana],150),H$7&lt;INDEX(TblTareas[Semana],150)+INDEX(TblTareas[Duracion],150)),INDEX(TblTareas[Horas],150)/INDEX(TblTareas[Duracion],150),""))</f>
      </c>
      <c r="I157" s="64" t="str">
        <f>IF($A157="","",IF(AND(INDEX(TblTareas[Activa],150)=1,I$7&gt;=INDEX(TblTareas[Semana],150),I$7&lt;INDEX(TblTareas[Semana],150)+INDEX(TblTareas[Duracion],150)),INDEX(TblTareas[Horas],150)/INDEX(TblTareas[Duracion],150),""))</f>
      </c>
      <c r="J157" s="64" t="str">
        <f>IF($A157="","",IF(AND(INDEX(TblTareas[Activa],150)=1,J$7&gt;=INDEX(TblTareas[Semana],150),J$7&lt;INDEX(TblTareas[Semana],150)+INDEX(TblTareas[Duracion],150)),INDEX(TblTareas[Horas],150)/INDEX(TblTareas[Duracion],150),""))</f>
      </c>
      <c r="K157" s="64" t="str">
        <f>IF($A157="","",IF(AND(INDEX(TblTareas[Activa],150)=1,K$7&gt;=INDEX(TblTareas[Semana],150),K$7&lt;INDEX(TblTareas[Semana],150)+INDEX(TblTareas[Duracion],150)),INDEX(TblTareas[Horas],150)/INDEX(TblTareas[Duracion],150),""))</f>
      </c>
      <c r="L157" s="64" t="str">
        <f>IF($A157="","",IF(AND(INDEX(TblTareas[Activa],150)=1,L$7&gt;=INDEX(TblTareas[Semana],150),L$7&lt;INDEX(TblTareas[Semana],150)+INDEX(TblTareas[Duracion],150)),INDEX(TblTareas[Horas],150)/INDEX(TblTareas[Duracion],150),""))</f>
      </c>
      <c r="M157" s="64" t="str">
        <f>IF($A157="","",IF(AND(INDEX(TblTareas[Activa],150)=1,M$7&gt;=INDEX(TblTareas[Semana],150),M$7&lt;INDEX(TblTareas[Semana],150)+INDEX(TblTareas[Duracion],150)),INDEX(TblTareas[Horas],150)/INDEX(TblTareas[Duracion],150),""))</f>
      </c>
      <c r="N157" s="64" t="str">
        <f>IF($A157="","",IF(AND(INDEX(TblTareas[Activa],150)=1,N$7&gt;=INDEX(TblTareas[Semana],150),N$7&lt;INDEX(TblTareas[Semana],150)+INDEX(TblTareas[Duracion],150)),INDEX(TblTareas[Horas],150)/INDEX(TblTareas[Duracion],150),""))</f>
      </c>
      <c r="O157" s="64" t="str">
        <f>IF($A157="","",IF(AND(INDEX(TblTareas[Activa],150)=1,O$7&gt;=INDEX(TblTareas[Semana],150),O$7&lt;INDEX(TblTareas[Semana],150)+INDEX(TblTareas[Duracion],150)),INDEX(TblTareas[Horas],150)/INDEX(TblTareas[Duracion],150),""))</f>
      </c>
      <c r="P157" s="64" t="str">
        <f>IF($A157="","",IF(AND(INDEX(TblTareas[Activa],150)=1,P$7&gt;=INDEX(TblTareas[Semana],150),P$7&lt;INDEX(TblTareas[Semana],150)+INDEX(TblTareas[Duracion],150)),INDEX(TblTareas[Horas],150)/INDEX(TblTareas[Duracion],150),""))</f>
      </c>
      <c r="Q157" s="64" t="str">
        <f>IF($A157="","",IF(AND(INDEX(TblTareas[Activa],150)=1,Q$7&gt;=INDEX(TblTareas[Semana],150),Q$7&lt;INDEX(TblTareas[Semana],150)+INDEX(TblTareas[Duracion],150)),INDEX(TblTareas[Horas],150)/INDEX(TblTareas[Duracion],150),""))</f>
      </c>
      <c r="R157" s="64" t="str">
        <f>IF($A157="","",IF(AND(INDEX(TblTareas[Activa],150)=1,R$7&gt;=INDEX(TblTareas[Semana],150),R$7&lt;INDEX(TblTareas[Semana],150)+INDEX(TblTareas[Duracion],150)),INDEX(TblTareas[Horas],150)/INDEX(TblTareas[Duracion],150),""))</f>
      </c>
      <c r="S157" s="64" t="str">
        <f>IF($A157="","",IF(AND(INDEX(TblTareas[Activa],150)=1,S$7&gt;=INDEX(TblTareas[Semana],150),S$7&lt;INDEX(TblTareas[Semana],150)+INDEX(TblTareas[Duracion],150)),INDEX(TblTareas[Horas],150)/INDEX(TblTareas[Duracion],150),""))</f>
      </c>
      <c r="T157" s="64" t="str">
        <f>IF($A157="","",IF(AND(INDEX(TblTareas[Activa],150)=1,T$7&gt;=INDEX(TblTareas[Semana],150),T$7&lt;INDEX(TblTareas[Semana],150)+INDEX(TblTareas[Duracion],150)),INDEX(TblTareas[Horas],150)/INDEX(TblTareas[Duracion],150),""))</f>
      </c>
    </row>
    <row r="158" ht="34" customHeight="1">
      <c r="A158" s="62" t="str">
        <f>IFERROR(IF(INDEX(TblTareas[ID],151)="","",INDEX(TblTareas[ID],151)),"")</f>
      </c>
      <c r="B158" s="62" t="str">
        <f>IF($A158="","",IFERROR(INDEX(TblTareas[Responsable],151),""))</f>
      </c>
      <c r="C158" s="62" t="str">
        <f>IF($A158="","",IFERROR(INDEX(TblTareas[Trabajo],151),""))</f>
      </c>
      <c r="D158" s="62" t="str">
        <f>IF($A158="","",IFERROR(INDEX(TblTareas[Estado],151),""))</f>
      </c>
      <c r="E158" s="64" t="str">
        <f>IF($A158="","",IF(AND(INDEX(TblTareas[Activa],151)=1,E$7&gt;=INDEX(TblTareas[Semana],151),E$7&lt;INDEX(TblTareas[Semana],151)+INDEX(TblTareas[Duracion],151)),INDEX(TblTareas[Horas],151)/INDEX(TblTareas[Duracion],151),""))</f>
      </c>
      <c r="F158" s="64" t="str">
        <f>IF($A158="","",IF(AND(INDEX(TblTareas[Activa],151)=1,F$7&gt;=INDEX(TblTareas[Semana],151),F$7&lt;INDEX(TblTareas[Semana],151)+INDEX(TblTareas[Duracion],151)),INDEX(TblTareas[Horas],151)/INDEX(TblTareas[Duracion],151),""))</f>
      </c>
      <c r="G158" s="64" t="str">
        <f>IF($A158="","",IF(AND(INDEX(TblTareas[Activa],151)=1,G$7&gt;=INDEX(TblTareas[Semana],151),G$7&lt;INDEX(TblTareas[Semana],151)+INDEX(TblTareas[Duracion],151)),INDEX(TblTareas[Horas],151)/INDEX(TblTareas[Duracion],151),""))</f>
      </c>
      <c r="H158" s="64" t="str">
        <f>IF($A158="","",IF(AND(INDEX(TblTareas[Activa],151)=1,H$7&gt;=INDEX(TblTareas[Semana],151),H$7&lt;INDEX(TblTareas[Semana],151)+INDEX(TblTareas[Duracion],151)),INDEX(TblTareas[Horas],151)/INDEX(TblTareas[Duracion],151),""))</f>
      </c>
      <c r="I158" s="64" t="str">
        <f>IF($A158="","",IF(AND(INDEX(TblTareas[Activa],151)=1,I$7&gt;=INDEX(TblTareas[Semana],151),I$7&lt;INDEX(TblTareas[Semana],151)+INDEX(TblTareas[Duracion],151)),INDEX(TblTareas[Horas],151)/INDEX(TblTareas[Duracion],151),""))</f>
      </c>
      <c r="J158" s="64" t="str">
        <f>IF($A158="","",IF(AND(INDEX(TblTareas[Activa],151)=1,J$7&gt;=INDEX(TblTareas[Semana],151),J$7&lt;INDEX(TblTareas[Semana],151)+INDEX(TblTareas[Duracion],151)),INDEX(TblTareas[Horas],151)/INDEX(TblTareas[Duracion],151),""))</f>
      </c>
      <c r="K158" s="64" t="str">
        <f>IF($A158="","",IF(AND(INDEX(TblTareas[Activa],151)=1,K$7&gt;=INDEX(TblTareas[Semana],151),K$7&lt;INDEX(TblTareas[Semana],151)+INDEX(TblTareas[Duracion],151)),INDEX(TblTareas[Horas],151)/INDEX(TblTareas[Duracion],151),""))</f>
      </c>
      <c r="L158" s="64" t="str">
        <f>IF($A158="","",IF(AND(INDEX(TblTareas[Activa],151)=1,L$7&gt;=INDEX(TblTareas[Semana],151),L$7&lt;INDEX(TblTareas[Semana],151)+INDEX(TblTareas[Duracion],151)),INDEX(TblTareas[Horas],151)/INDEX(TblTareas[Duracion],151),""))</f>
      </c>
      <c r="M158" s="64" t="str">
        <f>IF($A158="","",IF(AND(INDEX(TblTareas[Activa],151)=1,M$7&gt;=INDEX(TblTareas[Semana],151),M$7&lt;INDEX(TblTareas[Semana],151)+INDEX(TblTareas[Duracion],151)),INDEX(TblTareas[Horas],151)/INDEX(TblTareas[Duracion],151),""))</f>
      </c>
      <c r="N158" s="64" t="str">
        <f>IF($A158="","",IF(AND(INDEX(TblTareas[Activa],151)=1,N$7&gt;=INDEX(TblTareas[Semana],151),N$7&lt;INDEX(TblTareas[Semana],151)+INDEX(TblTareas[Duracion],151)),INDEX(TblTareas[Horas],151)/INDEX(TblTareas[Duracion],151),""))</f>
      </c>
      <c r="O158" s="64" t="str">
        <f>IF($A158="","",IF(AND(INDEX(TblTareas[Activa],151)=1,O$7&gt;=INDEX(TblTareas[Semana],151),O$7&lt;INDEX(TblTareas[Semana],151)+INDEX(TblTareas[Duracion],151)),INDEX(TblTareas[Horas],151)/INDEX(TblTareas[Duracion],151),""))</f>
      </c>
      <c r="P158" s="64" t="str">
        <f>IF($A158="","",IF(AND(INDEX(TblTareas[Activa],151)=1,P$7&gt;=INDEX(TblTareas[Semana],151),P$7&lt;INDEX(TblTareas[Semana],151)+INDEX(TblTareas[Duracion],151)),INDEX(TblTareas[Horas],151)/INDEX(TblTareas[Duracion],151),""))</f>
      </c>
      <c r="Q158" s="64" t="str">
        <f>IF($A158="","",IF(AND(INDEX(TblTareas[Activa],151)=1,Q$7&gt;=INDEX(TblTareas[Semana],151),Q$7&lt;INDEX(TblTareas[Semana],151)+INDEX(TblTareas[Duracion],151)),INDEX(TblTareas[Horas],151)/INDEX(TblTareas[Duracion],151),""))</f>
      </c>
      <c r="R158" s="64" t="str">
        <f>IF($A158="","",IF(AND(INDEX(TblTareas[Activa],151)=1,R$7&gt;=INDEX(TblTareas[Semana],151),R$7&lt;INDEX(TblTareas[Semana],151)+INDEX(TblTareas[Duracion],151)),INDEX(TblTareas[Horas],151)/INDEX(TblTareas[Duracion],151),""))</f>
      </c>
      <c r="S158" s="64" t="str">
        <f>IF($A158="","",IF(AND(INDEX(TblTareas[Activa],151)=1,S$7&gt;=INDEX(TblTareas[Semana],151),S$7&lt;INDEX(TblTareas[Semana],151)+INDEX(TblTareas[Duracion],151)),INDEX(TblTareas[Horas],151)/INDEX(TblTareas[Duracion],151),""))</f>
      </c>
      <c r="T158" s="64" t="str">
        <f>IF($A158="","",IF(AND(INDEX(TblTareas[Activa],151)=1,T$7&gt;=INDEX(TblTareas[Semana],151),T$7&lt;INDEX(TblTareas[Semana],151)+INDEX(TblTareas[Duracion],151)),INDEX(TblTareas[Horas],151)/INDEX(TblTareas[Duracion],151),""))</f>
      </c>
    </row>
    <row r="159" ht="34" customHeight="1">
      <c r="A159" s="62" t="str">
        <f>IFERROR(IF(INDEX(TblTareas[ID],152)="","",INDEX(TblTareas[ID],152)),"")</f>
      </c>
      <c r="B159" s="62" t="str">
        <f>IF($A159="","",IFERROR(INDEX(TblTareas[Responsable],152),""))</f>
      </c>
      <c r="C159" s="62" t="str">
        <f>IF($A159="","",IFERROR(INDEX(TblTareas[Trabajo],152),""))</f>
      </c>
      <c r="D159" s="62" t="str">
        <f>IF($A159="","",IFERROR(INDEX(TblTareas[Estado],152),""))</f>
      </c>
      <c r="E159" s="64" t="str">
        <f>IF($A159="","",IF(AND(INDEX(TblTareas[Activa],152)=1,E$7&gt;=INDEX(TblTareas[Semana],152),E$7&lt;INDEX(TblTareas[Semana],152)+INDEX(TblTareas[Duracion],152)),INDEX(TblTareas[Horas],152)/INDEX(TblTareas[Duracion],152),""))</f>
      </c>
      <c r="F159" s="64" t="str">
        <f>IF($A159="","",IF(AND(INDEX(TblTareas[Activa],152)=1,F$7&gt;=INDEX(TblTareas[Semana],152),F$7&lt;INDEX(TblTareas[Semana],152)+INDEX(TblTareas[Duracion],152)),INDEX(TblTareas[Horas],152)/INDEX(TblTareas[Duracion],152),""))</f>
      </c>
      <c r="G159" s="64" t="str">
        <f>IF($A159="","",IF(AND(INDEX(TblTareas[Activa],152)=1,G$7&gt;=INDEX(TblTareas[Semana],152),G$7&lt;INDEX(TblTareas[Semana],152)+INDEX(TblTareas[Duracion],152)),INDEX(TblTareas[Horas],152)/INDEX(TblTareas[Duracion],152),""))</f>
      </c>
      <c r="H159" s="64" t="str">
        <f>IF($A159="","",IF(AND(INDEX(TblTareas[Activa],152)=1,H$7&gt;=INDEX(TblTareas[Semana],152),H$7&lt;INDEX(TblTareas[Semana],152)+INDEX(TblTareas[Duracion],152)),INDEX(TblTareas[Horas],152)/INDEX(TblTareas[Duracion],152),""))</f>
      </c>
      <c r="I159" s="64" t="str">
        <f>IF($A159="","",IF(AND(INDEX(TblTareas[Activa],152)=1,I$7&gt;=INDEX(TblTareas[Semana],152),I$7&lt;INDEX(TblTareas[Semana],152)+INDEX(TblTareas[Duracion],152)),INDEX(TblTareas[Horas],152)/INDEX(TblTareas[Duracion],152),""))</f>
      </c>
      <c r="J159" s="64" t="str">
        <f>IF($A159="","",IF(AND(INDEX(TblTareas[Activa],152)=1,J$7&gt;=INDEX(TblTareas[Semana],152),J$7&lt;INDEX(TblTareas[Semana],152)+INDEX(TblTareas[Duracion],152)),INDEX(TblTareas[Horas],152)/INDEX(TblTareas[Duracion],152),""))</f>
      </c>
      <c r="K159" s="64" t="str">
        <f>IF($A159="","",IF(AND(INDEX(TblTareas[Activa],152)=1,K$7&gt;=INDEX(TblTareas[Semana],152),K$7&lt;INDEX(TblTareas[Semana],152)+INDEX(TblTareas[Duracion],152)),INDEX(TblTareas[Horas],152)/INDEX(TblTareas[Duracion],152),""))</f>
      </c>
      <c r="L159" s="64" t="str">
        <f>IF($A159="","",IF(AND(INDEX(TblTareas[Activa],152)=1,L$7&gt;=INDEX(TblTareas[Semana],152),L$7&lt;INDEX(TblTareas[Semana],152)+INDEX(TblTareas[Duracion],152)),INDEX(TblTareas[Horas],152)/INDEX(TblTareas[Duracion],152),""))</f>
      </c>
      <c r="M159" s="64" t="str">
        <f>IF($A159="","",IF(AND(INDEX(TblTareas[Activa],152)=1,M$7&gt;=INDEX(TblTareas[Semana],152),M$7&lt;INDEX(TblTareas[Semana],152)+INDEX(TblTareas[Duracion],152)),INDEX(TblTareas[Horas],152)/INDEX(TblTareas[Duracion],152),""))</f>
      </c>
      <c r="N159" s="64" t="str">
        <f>IF($A159="","",IF(AND(INDEX(TblTareas[Activa],152)=1,N$7&gt;=INDEX(TblTareas[Semana],152),N$7&lt;INDEX(TblTareas[Semana],152)+INDEX(TblTareas[Duracion],152)),INDEX(TblTareas[Horas],152)/INDEX(TblTareas[Duracion],152),""))</f>
      </c>
      <c r="O159" s="64" t="str">
        <f>IF($A159="","",IF(AND(INDEX(TblTareas[Activa],152)=1,O$7&gt;=INDEX(TblTareas[Semana],152),O$7&lt;INDEX(TblTareas[Semana],152)+INDEX(TblTareas[Duracion],152)),INDEX(TblTareas[Horas],152)/INDEX(TblTareas[Duracion],152),""))</f>
      </c>
      <c r="P159" s="64" t="str">
        <f>IF($A159="","",IF(AND(INDEX(TblTareas[Activa],152)=1,P$7&gt;=INDEX(TblTareas[Semana],152),P$7&lt;INDEX(TblTareas[Semana],152)+INDEX(TblTareas[Duracion],152)),INDEX(TblTareas[Horas],152)/INDEX(TblTareas[Duracion],152),""))</f>
      </c>
      <c r="Q159" s="64" t="str">
        <f>IF($A159="","",IF(AND(INDEX(TblTareas[Activa],152)=1,Q$7&gt;=INDEX(TblTareas[Semana],152),Q$7&lt;INDEX(TblTareas[Semana],152)+INDEX(TblTareas[Duracion],152)),INDEX(TblTareas[Horas],152)/INDEX(TblTareas[Duracion],152),""))</f>
      </c>
      <c r="R159" s="64" t="str">
        <f>IF($A159="","",IF(AND(INDEX(TblTareas[Activa],152)=1,R$7&gt;=INDEX(TblTareas[Semana],152),R$7&lt;INDEX(TblTareas[Semana],152)+INDEX(TblTareas[Duracion],152)),INDEX(TblTareas[Horas],152)/INDEX(TblTareas[Duracion],152),""))</f>
      </c>
      <c r="S159" s="64" t="str">
        <f>IF($A159="","",IF(AND(INDEX(TblTareas[Activa],152)=1,S$7&gt;=INDEX(TblTareas[Semana],152),S$7&lt;INDEX(TblTareas[Semana],152)+INDEX(TblTareas[Duracion],152)),INDEX(TblTareas[Horas],152)/INDEX(TblTareas[Duracion],152),""))</f>
      </c>
      <c r="T159" s="64" t="str">
        <f>IF($A159="","",IF(AND(INDEX(TblTareas[Activa],152)=1,T$7&gt;=INDEX(TblTareas[Semana],152),T$7&lt;INDEX(TblTareas[Semana],152)+INDEX(TblTareas[Duracion],152)),INDEX(TblTareas[Horas],152)/INDEX(TblTareas[Duracion],152),""))</f>
      </c>
    </row>
    <row r="160" ht="34" customHeight="1">
      <c r="A160" s="62" t="str">
        <f>IFERROR(IF(INDEX(TblTareas[ID],153)="","",INDEX(TblTareas[ID],153)),"")</f>
      </c>
      <c r="B160" s="62" t="str">
        <f>IF($A160="","",IFERROR(INDEX(TblTareas[Responsable],153),""))</f>
      </c>
      <c r="C160" s="62" t="str">
        <f>IF($A160="","",IFERROR(INDEX(TblTareas[Trabajo],153),""))</f>
      </c>
      <c r="D160" s="62" t="str">
        <f>IF($A160="","",IFERROR(INDEX(TblTareas[Estado],153),""))</f>
      </c>
      <c r="E160" s="64" t="str">
        <f>IF($A160="","",IF(AND(INDEX(TblTareas[Activa],153)=1,E$7&gt;=INDEX(TblTareas[Semana],153),E$7&lt;INDEX(TblTareas[Semana],153)+INDEX(TblTareas[Duracion],153)),INDEX(TblTareas[Horas],153)/INDEX(TblTareas[Duracion],153),""))</f>
      </c>
      <c r="F160" s="64" t="str">
        <f>IF($A160="","",IF(AND(INDEX(TblTareas[Activa],153)=1,F$7&gt;=INDEX(TblTareas[Semana],153),F$7&lt;INDEX(TblTareas[Semana],153)+INDEX(TblTareas[Duracion],153)),INDEX(TblTareas[Horas],153)/INDEX(TblTareas[Duracion],153),""))</f>
      </c>
      <c r="G160" s="64" t="str">
        <f>IF($A160="","",IF(AND(INDEX(TblTareas[Activa],153)=1,G$7&gt;=INDEX(TblTareas[Semana],153),G$7&lt;INDEX(TblTareas[Semana],153)+INDEX(TblTareas[Duracion],153)),INDEX(TblTareas[Horas],153)/INDEX(TblTareas[Duracion],153),""))</f>
      </c>
      <c r="H160" s="64" t="str">
        <f>IF($A160="","",IF(AND(INDEX(TblTareas[Activa],153)=1,H$7&gt;=INDEX(TblTareas[Semana],153),H$7&lt;INDEX(TblTareas[Semana],153)+INDEX(TblTareas[Duracion],153)),INDEX(TblTareas[Horas],153)/INDEX(TblTareas[Duracion],153),""))</f>
      </c>
      <c r="I160" s="64" t="str">
        <f>IF($A160="","",IF(AND(INDEX(TblTareas[Activa],153)=1,I$7&gt;=INDEX(TblTareas[Semana],153),I$7&lt;INDEX(TblTareas[Semana],153)+INDEX(TblTareas[Duracion],153)),INDEX(TblTareas[Horas],153)/INDEX(TblTareas[Duracion],153),""))</f>
      </c>
      <c r="J160" s="64" t="str">
        <f>IF($A160="","",IF(AND(INDEX(TblTareas[Activa],153)=1,J$7&gt;=INDEX(TblTareas[Semana],153),J$7&lt;INDEX(TblTareas[Semana],153)+INDEX(TblTareas[Duracion],153)),INDEX(TblTareas[Horas],153)/INDEX(TblTareas[Duracion],153),""))</f>
      </c>
      <c r="K160" s="64" t="str">
        <f>IF($A160="","",IF(AND(INDEX(TblTareas[Activa],153)=1,K$7&gt;=INDEX(TblTareas[Semana],153),K$7&lt;INDEX(TblTareas[Semana],153)+INDEX(TblTareas[Duracion],153)),INDEX(TblTareas[Horas],153)/INDEX(TblTareas[Duracion],153),""))</f>
      </c>
      <c r="L160" s="64" t="str">
        <f>IF($A160="","",IF(AND(INDEX(TblTareas[Activa],153)=1,L$7&gt;=INDEX(TblTareas[Semana],153),L$7&lt;INDEX(TblTareas[Semana],153)+INDEX(TblTareas[Duracion],153)),INDEX(TblTareas[Horas],153)/INDEX(TblTareas[Duracion],153),""))</f>
      </c>
      <c r="M160" s="64" t="str">
        <f>IF($A160="","",IF(AND(INDEX(TblTareas[Activa],153)=1,M$7&gt;=INDEX(TblTareas[Semana],153),M$7&lt;INDEX(TblTareas[Semana],153)+INDEX(TblTareas[Duracion],153)),INDEX(TblTareas[Horas],153)/INDEX(TblTareas[Duracion],153),""))</f>
      </c>
      <c r="N160" s="64" t="str">
        <f>IF($A160="","",IF(AND(INDEX(TblTareas[Activa],153)=1,N$7&gt;=INDEX(TblTareas[Semana],153),N$7&lt;INDEX(TblTareas[Semana],153)+INDEX(TblTareas[Duracion],153)),INDEX(TblTareas[Horas],153)/INDEX(TblTareas[Duracion],153),""))</f>
      </c>
      <c r="O160" s="64" t="str">
        <f>IF($A160="","",IF(AND(INDEX(TblTareas[Activa],153)=1,O$7&gt;=INDEX(TblTareas[Semana],153),O$7&lt;INDEX(TblTareas[Semana],153)+INDEX(TblTareas[Duracion],153)),INDEX(TblTareas[Horas],153)/INDEX(TblTareas[Duracion],153),""))</f>
      </c>
      <c r="P160" s="64" t="str">
        <f>IF($A160="","",IF(AND(INDEX(TblTareas[Activa],153)=1,P$7&gt;=INDEX(TblTareas[Semana],153),P$7&lt;INDEX(TblTareas[Semana],153)+INDEX(TblTareas[Duracion],153)),INDEX(TblTareas[Horas],153)/INDEX(TblTareas[Duracion],153),""))</f>
      </c>
      <c r="Q160" s="64" t="str">
        <f>IF($A160="","",IF(AND(INDEX(TblTareas[Activa],153)=1,Q$7&gt;=INDEX(TblTareas[Semana],153),Q$7&lt;INDEX(TblTareas[Semana],153)+INDEX(TblTareas[Duracion],153)),INDEX(TblTareas[Horas],153)/INDEX(TblTareas[Duracion],153),""))</f>
      </c>
      <c r="R160" s="64" t="str">
        <f>IF($A160="","",IF(AND(INDEX(TblTareas[Activa],153)=1,R$7&gt;=INDEX(TblTareas[Semana],153),R$7&lt;INDEX(TblTareas[Semana],153)+INDEX(TblTareas[Duracion],153)),INDEX(TblTareas[Horas],153)/INDEX(TblTareas[Duracion],153),""))</f>
      </c>
      <c r="S160" s="64" t="str">
        <f>IF($A160="","",IF(AND(INDEX(TblTareas[Activa],153)=1,S$7&gt;=INDEX(TblTareas[Semana],153),S$7&lt;INDEX(TblTareas[Semana],153)+INDEX(TblTareas[Duracion],153)),INDEX(TblTareas[Horas],153)/INDEX(TblTareas[Duracion],153),""))</f>
      </c>
      <c r="T160" s="64" t="str">
        <f>IF($A160="","",IF(AND(INDEX(TblTareas[Activa],153)=1,T$7&gt;=INDEX(TblTareas[Semana],153),T$7&lt;INDEX(TblTareas[Semana],153)+INDEX(TblTareas[Duracion],153)),INDEX(TblTareas[Horas],153)/INDEX(TblTareas[Duracion],153),""))</f>
      </c>
    </row>
    <row r="161" ht="34" customHeight="1">
      <c r="A161" s="62" t="str">
        <f>IFERROR(IF(INDEX(TblTareas[ID],154)="","",INDEX(TblTareas[ID],154)),"")</f>
      </c>
      <c r="B161" s="62" t="str">
        <f>IF($A161="","",IFERROR(INDEX(TblTareas[Responsable],154),""))</f>
      </c>
      <c r="C161" s="62" t="str">
        <f>IF($A161="","",IFERROR(INDEX(TblTareas[Trabajo],154),""))</f>
      </c>
      <c r="D161" s="62" t="str">
        <f>IF($A161="","",IFERROR(INDEX(TblTareas[Estado],154),""))</f>
      </c>
      <c r="E161" s="64" t="str">
        <f>IF($A161="","",IF(AND(INDEX(TblTareas[Activa],154)=1,E$7&gt;=INDEX(TblTareas[Semana],154),E$7&lt;INDEX(TblTareas[Semana],154)+INDEX(TblTareas[Duracion],154)),INDEX(TblTareas[Horas],154)/INDEX(TblTareas[Duracion],154),""))</f>
      </c>
      <c r="F161" s="64" t="str">
        <f>IF($A161="","",IF(AND(INDEX(TblTareas[Activa],154)=1,F$7&gt;=INDEX(TblTareas[Semana],154),F$7&lt;INDEX(TblTareas[Semana],154)+INDEX(TblTareas[Duracion],154)),INDEX(TblTareas[Horas],154)/INDEX(TblTareas[Duracion],154),""))</f>
      </c>
      <c r="G161" s="64" t="str">
        <f>IF($A161="","",IF(AND(INDEX(TblTareas[Activa],154)=1,G$7&gt;=INDEX(TblTareas[Semana],154),G$7&lt;INDEX(TblTareas[Semana],154)+INDEX(TblTareas[Duracion],154)),INDEX(TblTareas[Horas],154)/INDEX(TblTareas[Duracion],154),""))</f>
      </c>
      <c r="H161" s="64" t="str">
        <f>IF($A161="","",IF(AND(INDEX(TblTareas[Activa],154)=1,H$7&gt;=INDEX(TblTareas[Semana],154),H$7&lt;INDEX(TblTareas[Semana],154)+INDEX(TblTareas[Duracion],154)),INDEX(TblTareas[Horas],154)/INDEX(TblTareas[Duracion],154),""))</f>
      </c>
      <c r="I161" s="64" t="str">
        <f>IF($A161="","",IF(AND(INDEX(TblTareas[Activa],154)=1,I$7&gt;=INDEX(TblTareas[Semana],154),I$7&lt;INDEX(TblTareas[Semana],154)+INDEX(TblTareas[Duracion],154)),INDEX(TblTareas[Horas],154)/INDEX(TblTareas[Duracion],154),""))</f>
      </c>
      <c r="J161" s="64" t="str">
        <f>IF($A161="","",IF(AND(INDEX(TblTareas[Activa],154)=1,J$7&gt;=INDEX(TblTareas[Semana],154),J$7&lt;INDEX(TblTareas[Semana],154)+INDEX(TblTareas[Duracion],154)),INDEX(TblTareas[Horas],154)/INDEX(TblTareas[Duracion],154),""))</f>
      </c>
      <c r="K161" s="64" t="str">
        <f>IF($A161="","",IF(AND(INDEX(TblTareas[Activa],154)=1,K$7&gt;=INDEX(TblTareas[Semana],154),K$7&lt;INDEX(TblTareas[Semana],154)+INDEX(TblTareas[Duracion],154)),INDEX(TblTareas[Horas],154)/INDEX(TblTareas[Duracion],154),""))</f>
      </c>
      <c r="L161" s="64" t="str">
        <f>IF($A161="","",IF(AND(INDEX(TblTareas[Activa],154)=1,L$7&gt;=INDEX(TblTareas[Semana],154),L$7&lt;INDEX(TblTareas[Semana],154)+INDEX(TblTareas[Duracion],154)),INDEX(TblTareas[Horas],154)/INDEX(TblTareas[Duracion],154),""))</f>
      </c>
      <c r="M161" s="64" t="str">
        <f>IF($A161="","",IF(AND(INDEX(TblTareas[Activa],154)=1,M$7&gt;=INDEX(TblTareas[Semana],154),M$7&lt;INDEX(TblTareas[Semana],154)+INDEX(TblTareas[Duracion],154)),INDEX(TblTareas[Horas],154)/INDEX(TblTareas[Duracion],154),""))</f>
      </c>
      <c r="N161" s="64" t="str">
        <f>IF($A161="","",IF(AND(INDEX(TblTareas[Activa],154)=1,N$7&gt;=INDEX(TblTareas[Semana],154),N$7&lt;INDEX(TblTareas[Semana],154)+INDEX(TblTareas[Duracion],154)),INDEX(TblTareas[Horas],154)/INDEX(TblTareas[Duracion],154),""))</f>
      </c>
      <c r="O161" s="64" t="str">
        <f>IF($A161="","",IF(AND(INDEX(TblTareas[Activa],154)=1,O$7&gt;=INDEX(TblTareas[Semana],154),O$7&lt;INDEX(TblTareas[Semana],154)+INDEX(TblTareas[Duracion],154)),INDEX(TblTareas[Horas],154)/INDEX(TblTareas[Duracion],154),""))</f>
      </c>
      <c r="P161" s="64" t="str">
        <f>IF($A161="","",IF(AND(INDEX(TblTareas[Activa],154)=1,P$7&gt;=INDEX(TblTareas[Semana],154),P$7&lt;INDEX(TblTareas[Semana],154)+INDEX(TblTareas[Duracion],154)),INDEX(TblTareas[Horas],154)/INDEX(TblTareas[Duracion],154),""))</f>
      </c>
      <c r="Q161" s="64" t="str">
        <f>IF($A161="","",IF(AND(INDEX(TblTareas[Activa],154)=1,Q$7&gt;=INDEX(TblTareas[Semana],154),Q$7&lt;INDEX(TblTareas[Semana],154)+INDEX(TblTareas[Duracion],154)),INDEX(TblTareas[Horas],154)/INDEX(TblTareas[Duracion],154),""))</f>
      </c>
      <c r="R161" s="64" t="str">
        <f>IF($A161="","",IF(AND(INDEX(TblTareas[Activa],154)=1,R$7&gt;=INDEX(TblTareas[Semana],154),R$7&lt;INDEX(TblTareas[Semana],154)+INDEX(TblTareas[Duracion],154)),INDEX(TblTareas[Horas],154)/INDEX(TblTareas[Duracion],154),""))</f>
      </c>
      <c r="S161" s="64" t="str">
        <f>IF($A161="","",IF(AND(INDEX(TblTareas[Activa],154)=1,S$7&gt;=INDEX(TblTareas[Semana],154),S$7&lt;INDEX(TblTareas[Semana],154)+INDEX(TblTareas[Duracion],154)),INDEX(TblTareas[Horas],154)/INDEX(TblTareas[Duracion],154),""))</f>
      </c>
      <c r="T161" s="64" t="str">
        <f>IF($A161="","",IF(AND(INDEX(TblTareas[Activa],154)=1,T$7&gt;=INDEX(TblTareas[Semana],154),T$7&lt;INDEX(TblTareas[Semana],154)+INDEX(TblTareas[Duracion],154)),INDEX(TblTareas[Horas],154)/INDEX(TblTareas[Duracion],154),""))</f>
      </c>
    </row>
    <row r="162" ht="34" customHeight="1">
      <c r="A162" s="62" t="str">
        <f>IFERROR(IF(INDEX(TblTareas[ID],155)="","",INDEX(TblTareas[ID],155)),"")</f>
      </c>
      <c r="B162" s="62" t="str">
        <f>IF($A162="","",IFERROR(INDEX(TblTareas[Responsable],155),""))</f>
      </c>
      <c r="C162" s="62" t="str">
        <f>IF($A162="","",IFERROR(INDEX(TblTareas[Trabajo],155),""))</f>
      </c>
      <c r="D162" s="62" t="str">
        <f>IF($A162="","",IFERROR(INDEX(TblTareas[Estado],155),""))</f>
      </c>
      <c r="E162" s="64" t="str">
        <f>IF($A162="","",IF(AND(INDEX(TblTareas[Activa],155)=1,E$7&gt;=INDEX(TblTareas[Semana],155),E$7&lt;INDEX(TblTareas[Semana],155)+INDEX(TblTareas[Duracion],155)),INDEX(TblTareas[Horas],155)/INDEX(TblTareas[Duracion],155),""))</f>
      </c>
      <c r="F162" s="64" t="str">
        <f>IF($A162="","",IF(AND(INDEX(TblTareas[Activa],155)=1,F$7&gt;=INDEX(TblTareas[Semana],155),F$7&lt;INDEX(TblTareas[Semana],155)+INDEX(TblTareas[Duracion],155)),INDEX(TblTareas[Horas],155)/INDEX(TblTareas[Duracion],155),""))</f>
      </c>
      <c r="G162" s="64" t="str">
        <f>IF($A162="","",IF(AND(INDEX(TblTareas[Activa],155)=1,G$7&gt;=INDEX(TblTareas[Semana],155),G$7&lt;INDEX(TblTareas[Semana],155)+INDEX(TblTareas[Duracion],155)),INDEX(TblTareas[Horas],155)/INDEX(TblTareas[Duracion],155),""))</f>
      </c>
      <c r="H162" s="64" t="str">
        <f>IF($A162="","",IF(AND(INDEX(TblTareas[Activa],155)=1,H$7&gt;=INDEX(TblTareas[Semana],155),H$7&lt;INDEX(TblTareas[Semana],155)+INDEX(TblTareas[Duracion],155)),INDEX(TblTareas[Horas],155)/INDEX(TblTareas[Duracion],155),""))</f>
      </c>
      <c r="I162" s="64" t="str">
        <f>IF($A162="","",IF(AND(INDEX(TblTareas[Activa],155)=1,I$7&gt;=INDEX(TblTareas[Semana],155),I$7&lt;INDEX(TblTareas[Semana],155)+INDEX(TblTareas[Duracion],155)),INDEX(TblTareas[Horas],155)/INDEX(TblTareas[Duracion],155),""))</f>
      </c>
      <c r="J162" s="64" t="str">
        <f>IF($A162="","",IF(AND(INDEX(TblTareas[Activa],155)=1,J$7&gt;=INDEX(TblTareas[Semana],155),J$7&lt;INDEX(TblTareas[Semana],155)+INDEX(TblTareas[Duracion],155)),INDEX(TblTareas[Horas],155)/INDEX(TblTareas[Duracion],155),""))</f>
      </c>
      <c r="K162" s="64" t="str">
        <f>IF($A162="","",IF(AND(INDEX(TblTareas[Activa],155)=1,K$7&gt;=INDEX(TblTareas[Semana],155),K$7&lt;INDEX(TblTareas[Semana],155)+INDEX(TblTareas[Duracion],155)),INDEX(TblTareas[Horas],155)/INDEX(TblTareas[Duracion],155),""))</f>
      </c>
      <c r="L162" s="64" t="str">
        <f>IF($A162="","",IF(AND(INDEX(TblTareas[Activa],155)=1,L$7&gt;=INDEX(TblTareas[Semana],155),L$7&lt;INDEX(TblTareas[Semana],155)+INDEX(TblTareas[Duracion],155)),INDEX(TblTareas[Horas],155)/INDEX(TblTareas[Duracion],155),""))</f>
      </c>
      <c r="M162" s="64" t="str">
        <f>IF($A162="","",IF(AND(INDEX(TblTareas[Activa],155)=1,M$7&gt;=INDEX(TblTareas[Semana],155),M$7&lt;INDEX(TblTareas[Semana],155)+INDEX(TblTareas[Duracion],155)),INDEX(TblTareas[Horas],155)/INDEX(TblTareas[Duracion],155),""))</f>
      </c>
      <c r="N162" s="64" t="str">
        <f>IF($A162="","",IF(AND(INDEX(TblTareas[Activa],155)=1,N$7&gt;=INDEX(TblTareas[Semana],155),N$7&lt;INDEX(TblTareas[Semana],155)+INDEX(TblTareas[Duracion],155)),INDEX(TblTareas[Horas],155)/INDEX(TblTareas[Duracion],155),""))</f>
      </c>
      <c r="O162" s="64" t="str">
        <f>IF($A162="","",IF(AND(INDEX(TblTareas[Activa],155)=1,O$7&gt;=INDEX(TblTareas[Semana],155),O$7&lt;INDEX(TblTareas[Semana],155)+INDEX(TblTareas[Duracion],155)),INDEX(TblTareas[Horas],155)/INDEX(TblTareas[Duracion],155),""))</f>
      </c>
      <c r="P162" s="64" t="str">
        <f>IF($A162="","",IF(AND(INDEX(TblTareas[Activa],155)=1,P$7&gt;=INDEX(TblTareas[Semana],155),P$7&lt;INDEX(TblTareas[Semana],155)+INDEX(TblTareas[Duracion],155)),INDEX(TblTareas[Horas],155)/INDEX(TblTareas[Duracion],155),""))</f>
      </c>
      <c r="Q162" s="64" t="str">
        <f>IF($A162="","",IF(AND(INDEX(TblTareas[Activa],155)=1,Q$7&gt;=INDEX(TblTareas[Semana],155),Q$7&lt;INDEX(TblTareas[Semana],155)+INDEX(TblTareas[Duracion],155)),INDEX(TblTareas[Horas],155)/INDEX(TblTareas[Duracion],155),""))</f>
      </c>
      <c r="R162" s="64" t="str">
        <f>IF($A162="","",IF(AND(INDEX(TblTareas[Activa],155)=1,R$7&gt;=INDEX(TblTareas[Semana],155),R$7&lt;INDEX(TblTareas[Semana],155)+INDEX(TblTareas[Duracion],155)),INDEX(TblTareas[Horas],155)/INDEX(TblTareas[Duracion],155),""))</f>
      </c>
      <c r="S162" s="64" t="str">
        <f>IF($A162="","",IF(AND(INDEX(TblTareas[Activa],155)=1,S$7&gt;=INDEX(TblTareas[Semana],155),S$7&lt;INDEX(TblTareas[Semana],155)+INDEX(TblTareas[Duracion],155)),INDEX(TblTareas[Horas],155)/INDEX(TblTareas[Duracion],155),""))</f>
      </c>
      <c r="T162" s="64" t="str">
        <f>IF($A162="","",IF(AND(INDEX(TblTareas[Activa],155)=1,T$7&gt;=INDEX(TblTareas[Semana],155),T$7&lt;INDEX(TblTareas[Semana],155)+INDEX(TblTareas[Duracion],155)),INDEX(TblTareas[Horas],155)/INDEX(TblTareas[Duracion],155),""))</f>
      </c>
    </row>
    <row r="163" ht="34" customHeight="1">
      <c r="A163" s="62" t="str">
        <f>IFERROR(IF(INDEX(TblTareas[ID],156)="","",INDEX(TblTareas[ID],156)),"")</f>
      </c>
      <c r="B163" s="62" t="str">
        <f>IF($A163="","",IFERROR(INDEX(TblTareas[Responsable],156),""))</f>
      </c>
      <c r="C163" s="62" t="str">
        <f>IF($A163="","",IFERROR(INDEX(TblTareas[Trabajo],156),""))</f>
      </c>
      <c r="D163" s="62" t="str">
        <f>IF($A163="","",IFERROR(INDEX(TblTareas[Estado],156),""))</f>
      </c>
      <c r="E163" s="64" t="str">
        <f>IF($A163="","",IF(AND(INDEX(TblTareas[Activa],156)=1,E$7&gt;=INDEX(TblTareas[Semana],156),E$7&lt;INDEX(TblTareas[Semana],156)+INDEX(TblTareas[Duracion],156)),INDEX(TblTareas[Horas],156)/INDEX(TblTareas[Duracion],156),""))</f>
      </c>
      <c r="F163" s="64" t="str">
        <f>IF($A163="","",IF(AND(INDEX(TblTareas[Activa],156)=1,F$7&gt;=INDEX(TblTareas[Semana],156),F$7&lt;INDEX(TblTareas[Semana],156)+INDEX(TblTareas[Duracion],156)),INDEX(TblTareas[Horas],156)/INDEX(TblTareas[Duracion],156),""))</f>
      </c>
      <c r="G163" s="64" t="str">
        <f>IF($A163="","",IF(AND(INDEX(TblTareas[Activa],156)=1,G$7&gt;=INDEX(TblTareas[Semana],156),G$7&lt;INDEX(TblTareas[Semana],156)+INDEX(TblTareas[Duracion],156)),INDEX(TblTareas[Horas],156)/INDEX(TblTareas[Duracion],156),""))</f>
      </c>
      <c r="H163" s="64" t="str">
        <f>IF($A163="","",IF(AND(INDEX(TblTareas[Activa],156)=1,H$7&gt;=INDEX(TblTareas[Semana],156),H$7&lt;INDEX(TblTareas[Semana],156)+INDEX(TblTareas[Duracion],156)),INDEX(TblTareas[Horas],156)/INDEX(TblTareas[Duracion],156),""))</f>
      </c>
      <c r="I163" s="64" t="str">
        <f>IF($A163="","",IF(AND(INDEX(TblTareas[Activa],156)=1,I$7&gt;=INDEX(TblTareas[Semana],156),I$7&lt;INDEX(TblTareas[Semana],156)+INDEX(TblTareas[Duracion],156)),INDEX(TblTareas[Horas],156)/INDEX(TblTareas[Duracion],156),""))</f>
      </c>
      <c r="J163" s="64" t="str">
        <f>IF($A163="","",IF(AND(INDEX(TblTareas[Activa],156)=1,J$7&gt;=INDEX(TblTareas[Semana],156),J$7&lt;INDEX(TblTareas[Semana],156)+INDEX(TblTareas[Duracion],156)),INDEX(TblTareas[Horas],156)/INDEX(TblTareas[Duracion],156),""))</f>
      </c>
      <c r="K163" s="64" t="str">
        <f>IF($A163="","",IF(AND(INDEX(TblTareas[Activa],156)=1,K$7&gt;=INDEX(TblTareas[Semana],156),K$7&lt;INDEX(TblTareas[Semana],156)+INDEX(TblTareas[Duracion],156)),INDEX(TblTareas[Horas],156)/INDEX(TblTareas[Duracion],156),""))</f>
      </c>
      <c r="L163" s="64" t="str">
        <f>IF($A163="","",IF(AND(INDEX(TblTareas[Activa],156)=1,L$7&gt;=INDEX(TblTareas[Semana],156),L$7&lt;INDEX(TblTareas[Semana],156)+INDEX(TblTareas[Duracion],156)),INDEX(TblTareas[Horas],156)/INDEX(TblTareas[Duracion],156),""))</f>
      </c>
      <c r="M163" s="64" t="str">
        <f>IF($A163="","",IF(AND(INDEX(TblTareas[Activa],156)=1,M$7&gt;=INDEX(TblTareas[Semana],156),M$7&lt;INDEX(TblTareas[Semana],156)+INDEX(TblTareas[Duracion],156)),INDEX(TblTareas[Horas],156)/INDEX(TblTareas[Duracion],156),""))</f>
      </c>
      <c r="N163" s="64" t="str">
        <f>IF($A163="","",IF(AND(INDEX(TblTareas[Activa],156)=1,N$7&gt;=INDEX(TblTareas[Semana],156),N$7&lt;INDEX(TblTareas[Semana],156)+INDEX(TblTareas[Duracion],156)),INDEX(TblTareas[Horas],156)/INDEX(TblTareas[Duracion],156),""))</f>
      </c>
      <c r="O163" s="64" t="str">
        <f>IF($A163="","",IF(AND(INDEX(TblTareas[Activa],156)=1,O$7&gt;=INDEX(TblTareas[Semana],156),O$7&lt;INDEX(TblTareas[Semana],156)+INDEX(TblTareas[Duracion],156)),INDEX(TblTareas[Horas],156)/INDEX(TblTareas[Duracion],156),""))</f>
      </c>
      <c r="P163" s="64" t="str">
        <f>IF($A163="","",IF(AND(INDEX(TblTareas[Activa],156)=1,P$7&gt;=INDEX(TblTareas[Semana],156),P$7&lt;INDEX(TblTareas[Semana],156)+INDEX(TblTareas[Duracion],156)),INDEX(TblTareas[Horas],156)/INDEX(TblTareas[Duracion],156),""))</f>
      </c>
      <c r="Q163" s="64" t="str">
        <f>IF($A163="","",IF(AND(INDEX(TblTareas[Activa],156)=1,Q$7&gt;=INDEX(TblTareas[Semana],156),Q$7&lt;INDEX(TblTareas[Semana],156)+INDEX(TblTareas[Duracion],156)),INDEX(TblTareas[Horas],156)/INDEX(TblTareas[Duracion],156),""))</f>
      </c>
      <c r="R163" s="64" t="str">
        <f>IF($A163="","",IF(AND(INDEX(TblTareas[Activa],156)=1,R$7&gt;=INDEX(TblTareas[Semana],156),R$7&lt;INDEX(TblTareas[Semana],156)+INDEX(TblTareas[Duracion],156)),INDEX(TblTareas[Horas],156)/INDEX(TblTareas[Duracion],156),""))</f>
      </c>
      <c r="S163" s="64" t="str">
        <f>IF($A163="","",IF(AND(INDEX(TblTareas[Activa],156)=1,S$7&gt;=INDEX(TblTareas[Semana],156),S$7&lt;INDEX(TblTareas[Semana],156)+INDEX(TblTareas[Duracion],156)),INDEX(TblTareas[Horas],156)/INDEX(TblTareas[Duracion],156),""))</f>
      </c>
      <c r="T163" s="64" t="str">
        <f>IF($A163="","",IF(AND(INDEX(TblTareas[Activa],156)=1,T$7&gt;=INDEX(TblTareas[Semana],156),T$7&lt;INDEX(TblTareas[Semana],156)+INDEX(TblTareas[Duracion],156)),INDEX(TblTareas[Horas],156)/INDEX(TblTareas[Duracion],156),""))</f>
      </c>
    </row>
    <row r="164" ht="34" customHeight="1">
      <c r="A164" s="62" t="str">
        <f>IFERROR(IF(INDEX(TblTareas[ID],157)="","",INDEX(TblTareas[ID],157)),"")</f>
      </c>
      <c r="B164" s="62" t="str">
        <f>IF($A164="","",IFERROR(INDEX(TblTareas[Responsable],157),""))</f>
      </c>
      <c r="C164" s="62" t="str">
        <f>IF($A164="","",IFERROR(INDEX(TblTareas[Trabajo],157),""))</f>
      </c>
      <c r="D164" s="62" t="str">
        <f>IF($A164="","",IFERROR(INDEX(TblTareas[Estado],157),""))</f>
      </c>
      <c r="E164" s="64" t="str">
        <f>IF($A164="","",IF(AND(INDEX(TblTareas[Activa],157)=1,E$7&gt;=INDEX(TblTareas[Semana],157),E$7&lt;INDEX(TblTareas[Semana],157)+INDEX(TblTareas[Duracion],157)),INDEX(TblTareas[Horas],157)/INDEX(TblTareas[Duracion],157),""))</f>
      </c>
      <c r="F164" s="64" t="str">
        <f>IF($A164="","",IF(AND(INDEX(TblTareas[Activa],157)=1,F$7&gt;=INDEX(TblTareas[Semana],157),F$7&lt;INDEX(TblTareas[Semana],157)+INDEX(TblTareas[Duracion],157)),INDEX(TblTareas[Horas],157)/INDEX(TblTareas[Duracion],157),""))</f>
      </c>
      <c r="G164" s="64" t="str">
        <f>IF($A164="","",IF(AND(INDEX(TblTareas[Activa],157)=1,G$7&gt;=INDEX(TblTareas[Semana],157),G$7&lt;INDEX(TblTareas[Semana],157)+INDEX(TblTareas[Duracion],157)),INDEX(TblTareas[Horas],157)/INDEX(TblTareas[Duracion],157),""))</f>
      </c>
      <c r="H164" s="64" t="str">
        <f>IF($A164="","",IF(AND(INDEX(TblTareas[Activa],157)=1,H$7&gt;=INDEX(TblTareas[Semana],157),H$7&lt;INDEX(TblTareas[Semana],157)+INDEX(TblTareas[Duracion],157)),INDEX(TblTareas[Horas],157)/INDEX(TblTareas[Duracion],157),""))</f>
      </c>
      <c r="I164" s="64" t="str">
        <f>IF($A164="","",IF(AND(INDEX(TblTareas[Activa],157)=1,I$7&gt;=INDEX(TblTareas[Semana],157),I$7&lt;INDEX(TblTareas[Semana],157)+INDEX(TblTareas[Duracion],157)),INDEX(TblTareas[Horas],157)/INDEX(TblTareas[Duracion],157),""))</f>
      </c>
      <c r="J164" s="64" t="str">
        <f>IF($A164="","",IF(AND(INDEX(TblTareas[Activa],157)=1,J$7&gt;=INDEX(TblTareas[Semana],157),J$7&lt;INDEX(TblTareas[Semana],157)+INDEX(TblTareas[Duracion],157)),INDEX(TblTareas[Horas],157)/INDEX(TblTareas[Duracion],157),""))</f>
      </c>
      <c r="K164" s="64" t="str">
        <f>IF($A164="","",IF(AND(INDEX(TblTareas[Activa],157)=1,K$7&gt;=INDEX(TblTareas[Semana],157),K$7&lt;INDEX(TblTareas[Semana],157)+INDEX(TblTareas[Duracion],157)),INDEX(TblTareas[Horas],157)/INDEX(TblTareas[Duracion],157),""))</f>
      </c>
      <c r="L164" s="64" t="str">
        <f>IF($A164="","",IF(AND(INDEX(TblTareas[Activa],157)=1,L$7&gt;=INDEX(TblTareas[Semana],157),L$7&lt;INDEX(TblTareas[Semana],157)+INDEX(TblTareas[Duracion],157)),INDEX(TblTareas[Horas],157)/INDEX(TblTareas[Duracion],157),""))</f>
      </c>
      <c r="M164" s="64" t="str">
        <f>IF($A164="","",IF(AND(INDEX(TblTareas[Activa],157)=1,M$7&gt;=INDEX(TblTareas[Semana],157),M$7&lt;INDEX(TblTareas[Semana],157)+INDEX(TblTareas[Duracion],157)),INDEX(TblTareas[Horas],157)/INDEX(TblTareas[Duracion],157),""))</f>
      </c>
      <c r="N164" s="64" t="str">
        <f>IF($A164="","",IF(AND(INDEX(TblTareas[Activa],157)=1,N$7&gt;=INDEX(TblTareas[Semana],157),N$7&lt;INDEX(TblTareas[Semana],157)+INDEX(TblTareas[Duracion],157)),INDEX(TblTareas[Horas],157)/INDEX(TblTareas[Duracion],157),""))</f>
      </c>
      <c r="O164" s="64" t="str">
        <f>IF($A164="","",IF(AND(INDEX(TblTareas[Activa],157)=1,O$7&gt;=INDEX(TblTareas[Semana],157),O$7&lt;INDEX(TblTareas[Semana],157)+INDEX(TblTareas[Duracion],157)),INDEX(TblTareas[Horas],157)/INDEX(TblTareas[Duracion],157),""))</f>
      </c>
      <c r="P164" s="64" t="str">
        <f>IF($A164="","",IF(AND(INDEX(TblTareas[Activa],157)=1,P$7&gt;=INDEX(TblTareas[Semana],157),P$7&lt;INDEX(TblTareas[Semana],157)+INDEX(TblTareas[Duracion],157)),INDEX(TblTareas[Horas],157)/INDEX(TblTareas[Duracion],157),""))</f>
      </c>
      <c r="Q164" s="64" t="str">
        <f>IF($A164="","",IF(AND(INDEX(TblTareas[Activa],157)=1,Q$7&gt;=INDEX(TblTareas[Semana],157),Q$7&lt;INDEX(TblTareas[Semana],157)+INDEX(TblTareas[Duracion],157)),INDEX(TblTareas[Horas],157)/INDEX(TblTareas[Duracion],157),""))</f>
      </c>
      <c r="R164" s="64" t="str">
        <f>IF($A164="","",IF(AND(INDEX(TblTareas[Activa],157)=1,R$7&gt;=INDEX(TblTareas[Semana],157),R$7&lt;INDEX(TblTareas[Semana],157)+INDEX(TblTareas[Duracion],157)),INDEX(TblTareas[Horas],157)/INDEX(TblTareas[Duracion],157),""))</f>
      </c>
      <c r="S164" s="64" t="str">
        <f>IF($A164="","",IF(AND(INDEX(TblTareas[Activa],157)=1,S$7&gt;=INDEX(TblTareas[Semana],157),S$7&lt;INDEX(TblTareas[Semana],157)+INDEX(TblTareas[Duracion],157)),INDEX(TblTareas[Horas],157)/INDEX(TblTareas[Duracion],157),""))</f>
      </c>
      <c r="T164" s="64" t="str">
        <f>IF($A164="","",IF(AND(INDEX(TblTareas[Activa],157)=1,T$7&gt;=INDEX(TblTareas[Semana],157),T$7&lt;INDEX(TblTareas[Semana],157)+INDEX(TblTareas[Duracion],157)),INDEX(TblTareas[Horas],157)/INDEX(TblTareas[Duracion],157),""))</f>
      </c>
    </row>
    <row r="165" ht="34" customHeight="1">
      <c r="A165" s="62" t="str">
        <f>IFERROR(IF(INDEX(TblTareas[ID],158)="","",INDEX(TblTareas[ID],158)),"")</f>
      </c>
      <c r="B165" s="62" t="str">
        <f>IF($A165="","",IFERROR(INDEX(TblTareas[Responsable],158),""))</f>
      </c>
      <c r="C165" s="62" t="str">
        <f>IF($A165="","",IFERROR(INDEX(TblTareas[Trabajo],158),""))</f>
      </c>
      <c r="D165" s="62" t="str">
        <f>IF($A165="","",IFERROR(INDEX(TblTareas[Estado],158),""))</f>
      </c>
      <c r="E165" s="64" t="str">
        <f>IF($A165="","",IF(AND(INDEX(TblTareas[Activa],158)=1,E$7&gt;=INDEX(TblTareas[Semana],158),E$7&lt;INDEX(TblTareas[Semana],158)+INDEX(TblTareas[Duracion],158)),INDEX(TblTareas[Horas],158)/INDEX(TblTareas[Duracion],158),""))</f>
      </c>
      <c r="F165" s="64" t="str">
        <f>IF($A165="","",IF(AND(INDEX(TblTareas[Activa],158)=1,F$7&gt;=INDEX(TblTareas[Semana],158),F$7&lt;INDEX(TblTareas[Semana],158)+INDEX(TblTareas[Duracion],158)),INDEX(TblTareas[Horas],158)/INDEX(TblTareas[Duracion],158),""))</f>
      </c>
      <c r="G165" s="64" t="str">
        <f>IF($A165="","",IF(AND(INDEX(TblTareas[Activa],158)=1,G$7&gt;=INDEX(TblTareas[Semana],158),G$7&lt;INDEX(TblTareas[Semana],158)+INDEX(TblTareas[Duracion],158)),INDEX(TblTareas[Horas],158)/INDEX(TblTareas[Duracion],158),""))</f>
      </c>
      <c r="H165" s="64" t="str">
        <f>IF($A165="","",IF(AND(INDEX(TblTareas[Activa],158)=1,H$7&gt;=INDEX(TblTareas[Semana],158),H$7&lt;INDEX(TblTareas[Semana],158)+INDEX(TblTareas[Duracion],158)),INDEX(TblTareas[Horas],158)/INDEX(TblTareas[Duracion],158),""))</f>
      </c>
      <c r="I165" s="64" t="str">
        <f>IF($A165="","",IF(AND(INDEX(TblTareas[Activa],158)=1,I$7&gt;=INDEX(TblTareas[Semana],158),I$7&lt;INDEX(TblTareas[Semana],158)+INDEX(TblTareas[Duracion],158)),INDEX(TblTareas[Horas],158)/INDEX(TblTareas[Duracion],158),""))</f>
      </c>
      <c r="J165" s="64" t="str">
        <f>IF($A165="","",IF(AND(INDEX(TblTareas[Activa],158)=1,J$7&gt;=INDEX(TblTareas[Semana],158),J$7&lt;INDEX(TblTareas[Semana],158)+INDEX(TblTareas[Duracion],158)),INDEX(TblTareas[Horas],158)/INDEX(TblTareas[Duracion],158),""))</f>
      </c>
      <c r="K165" s="64" t="str">
        <f>IF($A165="","",IF(AND(INDEX(TblTareas[Activa],158)=1,K$7&gt;=INDEX(TblTareas[Semana],158),K$7&lt;INDEX(TblTareas[Semana],158)+INDEX(TblTareas[Duracion],158)),INDEX(TblTareas[Horas],158)/INDEX(TblTareas[Duracion],158),""))</f>
      </c>
      <c r="L165" s="64" t="str">
        <f>IF($A165="","",IF(AND(INDEX(TblTareas[Activa],158)=1,L$7&gt;=INDEX(TblTareas[Semana],158),L$7&lt;INDEX(TblTareas[Semana],158)+INDEX(TblTareas[Duracion],158)),INDEX(TblTareas[Horas],158)/INDEX(TblTareas[Duracion],158),""))</f>
      </c>
      <c r="M165" s="64" t="str">
        <f>IF($A165="","",IF(AND(INDEX(TblTareas[Activa],158)=1,M$7&gt;=INDEX(TblTareas[Semana],158),M$7&lt;INDEX(TblTareas[Semana],158)+INDEX(TblTareas[Duracion],158)),INDEX(TblTareas[Horas],158)/INDEX(TblTareas[Duracion],158),""))</f>
      </c>
      <c r="N165" s="64" t="str">
        <f>IF($A165="","",IF(AND(INDEX(TblTareas[Activa],158)=1,N$7&gt;=INDEX(TblTareas[Semana],158),N$7&lt;INDEX(TblTareas[Semana],158)+INDEX(TblTareas[Duracion],158)),INDEX(TblTareas[Horas],158)/INDEX(TblTareas[Duracion],158),""))</f>
      </c>
      <c r="O165" s="64" t="str">
        <f>IF($A165="","",IF(AND(INDEX(TblTareas[Activa],158)=1,O$7&gt;=INDEX(TblTareas[Semana],158),O$7&lt;INDEX(TblTareas[Semana],158)+INDEX(TblTareas[Duracion],158)),INDEX(TblTareas[Horas],158)/INDEX(TblTareas[Duracion],158),""))</f>
      </c>
      <c r="P165" s="64" t="str">
        <f>IF($A165="","",IF(AND(INDEX(TblTareas[Activa],158)=1,P$7&gt;=INDEX(TblTareas[Semana],158),P$7&lt;INDEX(TblTareas[Semana],158)+INDEX(TblTareas[Duracion],158)),INDEX(TblTareas[Horas],158)/INDEX(TblTareas[Duracion],158),""))</f>
      </c>
      <c r="Q165" s="64" t="str">
        <f>IF($A165="","",IF(AND(INDEX(TblTareas[Activa],158)=1,Q$7&gt;=INDEX(TblTareas[Semana],158),Q$7&lt;INDEX(TblTareas[Semana],158)+INDEX(TblTareas[Duracion],158)),INDEX(TblTareas[Horas],158)/INDEX(TblTareas[Duracion],158),""))</f>
      </c>
      <c r="R165" s="64" t="str">
        <f>IF($A165="","",IF(AND(INDEX(TblTareas[Activa],158)=1,R$7&gt;=INDEX(TblTareas[Semana],158),R$7&lt;INDEX(TblTareas[Semana],158)+INDEX(TblTareas[Duracion],158)),INDEX(TblTareas[Horas],158)/INDEX(TblTareas[Duracion],158),""))</f>
      </c>
      <c r="S165" s="64" t="str">
        <f>IF($A165="","",IF(AND(INDEX(TblTareas[Activa],158)=1,S$7&gt;=INDEX(TblTareas[Semana],158),S$7&lt;INDEX(TblTareas[Semana],158)+INDEX(TblTareas[Duracion],158)),INDEX(TblTareas[Horas],158)/INDEX(TblTareas[Duracion],158),""))</f>
      </c>
      <c r="T165" s="64" t="str">
        <f>IF($A165="","",IF(AND(INDEX(TblTareas[Activa],158)=1,T$7&gt;=INDEX(TblTareas[Semana],158),T$7&lt;INDEX(TblTareas[Semana],158)+INDEX(TblTareas[Duracion],158)),INDEX(TblTareas[Horas],158)/INDEX(TblTareas[Duracion],158),""))</f>
      </c>
    </row>
    <row r="166" ht="34" customHeight="1">
      <c r="A166" s="62" t="str">
        <f>IFERROR(IF(INDEX(TblTareas[ID],159)="","",INDEX(TblTareas[ID],159)),"")</f>
      </c>
      <c r="B166" s="62" t="str">
        <f>IF($A166="","",IFERROR(INDEX(TblTareas[Responsable],159),""))</f>
      </c>
      <c r="C166" s="62" t="str">
        <f>IF($A166="","",IFERROR(INDEX(TblTareas[Trabajo],159),""))</f>
      </c>
      <c r="D166" s="62" t="str">
        <f>IF($A166="","",IFERROR(INDEX(TblTareas[Estado],159),""))</f>
      </c>
      <c r="E166" s="64" t="str">
        <f>IF($A166="","",IF(AND(INDEX(TblTareas[Activa],159)=1,E$7&gt;=INDEX(TblTareas[Semana],159),E$7&lt;INDEX(TblTareas[Semana],159)+INDEX(TblTareas[Duracion],159)),INDEX(TblTareas[Horas],159)/INDEX(TblTareas[Duracion],159),""))</f>
      </c>
      <c r="F166" s="64" t="str">
        <f>IF($A166="","",IF(AND(INDEX(TblTareas[Activa],159)=1,F$7&gt;=INDEX(TblTareas[Semana],159),F$7&lt;INDEX(TblTareas[Semana],159)+INDEX(TblTareas[Duracion],159)),INDEX(TblTareas[Horas],159)/INDEX(TblTareas[Duracion],159),""))</f>
      </c>
      <c r="G166" s="64" t="str">
        <f>IF($A166="","",IF(AND(INDEX(TblTareas[Activa],159)=1,G$7&gt;=INDEX(TblTareas[Semana],159),G$7&lt;INDEX(TblTareas[Semana],159)+INDEX(TblTareas[Duracion],159)),INDEX(TblTareas[Horas],159)/INDEX(TblTareas[Duracion],159),""))</f>
      </c>
      <c r="H166" s="64" t="str">
        <f>IF($A166="","",IF(AND(INDEX(TblTareas[Activa],159)=1,H$7&gt;=INDEX(TblTareas[Semana],159),H$7&lt;INDEX(TblTareas[Semana],159)+INDEX(TblTareas[Duracion],159)),INDEX(TblTareas[Horas],159)/INDEX(TblTareas[Duracion],159),""))</f>
      </c>
      <c r="I166" s="64" t="str">
        <f>IF($A166="","",IF(AND(INDEX(TblTareas[Activa],159)=1,I$7&gt;=INDEX(TblTareas[Semana],159),I$7&lt;INDEX(TblTareas[Semana],159)+INDEX(TblTareas[Duracion],159)),INDEX(TblTareas[Horas],159)/INDEX(TblTareas[Duracion],159),""))</f>
      </c>
      <c r="J166" s="64" t="str">
        <f>IF($A166="","",IF(AND(INDEX(TblTareas[Activa],159)=1,J$7&gt;=INDEX(TblTareas[Semana],159),J$7&lt;INDEX(TblTareas[Semana],159)+INDEX(TblTareas[Duracion],159)),INDEX(TblTareas[Horas],159)/INDEX(TblTareas[Duracion],159),""))</f>
      </c>
      <c r="K166" s="64" t="str">
        <f>IF($A166="","",IF(AND(INDEX(TblTareas[Activa],159)=1,K$7&gt;=INDEX(TblTareas[Semana],159),K$7&lt;INDEX(TblTareas[Semana],159)+INDEX(TblTareas[Duracion],159)),INDEX(TblTareas[Horas],159)/INDEX(TblTareas[Duracion],159),""))</f>
      </c>
      <c r="L166" s="64" t="str">
        <f>IF($A166="","",IF(AND(INDEX(TblTareas[Activa],159)=1,L$7&gt;=INDEX(TblTareas[Semana],159),L$7&lt;INDEX(TblTareas[Semana],159)+INDEX(TblTareas[Duracion],159)),INDEX(TblTareas[Horas],159)/INDEX(TblTareas[Duracion],159),""))</f>
      </c>
      <c r="M166" s="64" t="str">
        <f>IF($A166="","",IF(AND(INDEX(TblTareas[Activa],159)=1,M$7&gt;=INDEX(TblTareas[Semana],159),M$7&lt;INDEX(TblTareas[Semana],159)+INDEX(TblTareas[Duracion],159)),INDEX(TblTareas[Horas],159)/INDEX(TblTareas[Duracion],159),""))</f>
      </c>
      <c r="N166" s="64" t="str">
        <f>IF($A166="","",IF(AND(INDEX(TblTareas[Activa],159)=1,N$7&gt;=INDEX(TblTareas[Semana],159),N$7&lt;INDEX(TblTareas[Semana],159)+INDEX(TblTareas[Duracion],159)),INDEX(TblTareas[Horas],159)/INDEX(TblTareas[Duracion],159),""))</f>
      </c>
      <c r="O166" s="64" t="str">
        <f>IF($A166="","",IF(AND(INDEX(TblTareas[Activa],159)=1,O$7&gt;=INDEX(TblTareas[Semana],159),O$7&lt;INDEX(TblTareas[Semana],159)+INDEX(TblTareas[Duracion],159)),INDEX(TblTareas[Horas],159)/INDEX(TblTareas[Duracion],159),""))</f>
      </c>
      <c r="P166" s="64" t="str">
        <f>IF($A166="","",IF(AND(INDEX(TblTareas[Activa],159)=1,P$7&gt;=INDEX(TblTareas[Semana],159),P$7&lt;INDEX(TblTareas[Semana],159)+INDEX(TblTareas[Duracion],159)),INDEX(TblTareas[Horas],159)/INDEX(TblTareas[Duracion],159),""))</f>
      </c>
      <c r="Q166" s="64" t="str">
        <f>IF($A166="","",IF(AND(INDEX(TblTareas[Activa],159)=1,Q$7&gt;=INDEX(TblTareas[Semana],159),Q$7&lt;INDEX(TblTareas[Semana],159)+INDEX(TblTareas[Duracion],159)),INDEX(TblTareas[Horas],159)/INDEX(TblTareas[Duracion],159),""))</f>
      </c>
      <c r="R166" s="64" t="str">
        <f>IF($A166="","",IF(AND(INDEX(TblTareas[Activa],159)=1,R$7&gt;=INDEX(TblTareas[Semana],159),R$7&lt;INDEX(TblTareas[Semana],159)+INDEX(TblTareas[Duracion],159)),INDEX(TblTareas[Horas],159)/INDEX(TblTareas[Duracion],159),""))</f>
      </c>
      <c r="S166" s="64" t="str">
        <f>IF($A166="","",IF(AND(INDEX(TblTareas[Activa],159)=1,S$7&gt;=INDEX(TblTareas[Semana],159),S$7&lt;INDEX(TblTareas[Semana],159)+INDEX(TblTareas[Duracion],159)),INDEX(TblTareas[Horas],159)/INDEX(TblTareas[Duracion],159),""))</f>
      </c>
      <c r="T166" s="64" t="str">
        <f>IF($A166="","",IF(AND(INDEX(TblTareas[Activa],159)=1,T$7&gt;=INDEX(TblTareas[Semana],159),T$7&lt;INDEX(TblTareas[Semana],159)+INDEX(TblTareas[Duracion],159)),INDEX(TblTareas[Horas],159)/INDEX(TblTareas[Duracion],159),""))</f>
      </c>
    </row>
    <row r="167" ht="34" customHeight="1">
      <c r="A167" s="62" t="str">
        <f>IFERROR(IF(INDEX(TblTareas[ID],160)="","",INDEX(TblTareas[ID],160)),"")</f>
      </c>
      <c r="B167" s="62" t="str">
        <f>IF($A167="","",IFERROR(INDEX(TblTareas[Responsable],160),""))</f>
      </c>
      <c r="C167" s="62" t="str">
        <f>IF($A167="","",IFERROR(INDEX(TblTareas[Trabajo],160),""))</f>
      </c>
      <c r="D167" s="62" t="str">
        <f>IF($A167="","",IFERROR(INDEX(TblTareas[Estado],160),""))</f>
      </c>
      <c r="E167" s="64" t="str">
        <f>IF($A167="","",IF(AND(INDEX(TblTareas[Activa],160)=1,E$7&gt;=INDEX(TblTareas[Semana],160),E$7&lt;INDEX(TblTareas[Semana],160)+INDEX(TblTareas[Duracion],160)),INDEX(TblTareas[Horas],160)/INDEX(TblTareas[Duracion],160),""))</f>
      </c>
      <c r="F167" s="64" t="str">
        <f>IF($A167="","",IF(AND(INDEX(TblTareas[Activa],160)=1,F$7&gt;=INDEX(TblTareas[Semana],160),F$7&lt;INDEX(TblTareas[Semana],160)+INDEX(TblTareas[Duracion],160)),INDEX(TblTareas[Horas],160)/INDEX(TblTareas[Duracion],160),""))</f>
      </c>
      <c r="G167" s="64" t="str">
        <f>IF($A167="","",IF(AND(INDEX(TblTareas[Activa],160)=1,G$7&gt;=INDEX(TblTareas[Semana],160),G$7&lt;INDEX(TblTareas[Semana],160)+INDEX(TblTareas[Duracion],160)),INDEX(TblTareas[Horas],160)/INDEX(TblTareas[Duracion],160),""))</f>
      </c>
      <c r="H167" s="64" t="str">
        <f>IF($A167="","",IF(AND(INDEX(TblTareas[Activa],160)=1,H$7&gt;=INDEX(TblTareas[Semana],160),H$7&lt;INDEX(TblTareas[Semana],160)+INDEX(TblTareas[Duracion],160)),INDEX(TblTareas[Horas],160)/INDEX(TblTareas[Duracion],160),""))</f>
      </c>
      <c r="I167" s="64" t="str">
        <f>IF($A167="","",IF(AND(INDEX(TblTareas[Activa],160)=1,I$7&gt;=INDEX(TblTareas[Semana],160),I$7&lt;INDEX(TblTareas[Semana],160)+INDEX(TblTareas[Duracion],160)),INDEX(TblTareas[Horas],160)/INDEX(TblTareas[Duracion],160),""))</f>
      </c>
      <c r="J167" s="64" t="str">
        <f>IF($A167="","",IF(AND(INDEX(TblTareas[Activa],160)=1,J$7&gt;=INDEX(TblTareas[Semana],160),J$7&lt;INDEX(TblTareas[Semana],160)+INDEX(TblTareas[Duracion],160)),INDEX(TblTareas[Horas],160)/INDEX(TblTareas[Duracion],160),""))</f>
      </c>
      <c r="K167" s="64" t="str">
        <f>IF($A167="","",IF(AND(INDEX(TblTareas[Activa],160)=1,K$7&gt;=INDEX(TblTareas[Semana],160),K$7&lt;INDEX(TblTareas[Semana],160)+INDEX(TblTareas[Duracion],160)),INDEX(TblTareas[Horas],160)/INDEX(TblTareas[Duracion],160),""))</f>
      </c>
      <c r="L167" s="64" t="str">
        <f>IF($A167="","",IF(AND(INDEX(TblTareas[Activa],160)=1,L$7&gt;=INDEX(TblTareas[Semana],160),L$7&lt;INDEX(TblTareas[Semana],160)+INDEX(TblTareas[Duracion],160)),INDEX(TblTareas[Horas],160)/INDEX(TblTareas[Duracion],160),""))</f>
      </c>
      <c r="M167" s="64" t="str">
        <f>IF($A167="","",IF(AND(INDEX(TblTareas[Activa],160)=1,M$7&gt;=INDEX(TblTareas[Semana],160),M$7&lt;INDEX(TblTareas[Semana],160)+INDEX(TblTareas[Duracion],160)),INDEX(TblTareas[Horas],160)/INDEX(TblTareas[Duracion],160),""))</f>
      </c>
      <c r="N167" s="64" t="str">
        <f>IF($A167="","",IF(AND(INDEX(TblTareas[Activa],160)=1,N$7&gt;=INDEX(TblTareas[Semana],160),N$7&lt;INDEX(TblTareas[Semana],160)+INDEX(TblTareas[Duracion],160)),INDEX(TblTareas[Horas],160)/INDEX(TblTareas[Duracion],160),""))</f>
      </c>
      <c r="O167" s="64" t="str">
        <f>IF($A167="","",IF(AND(INDEX(TblTareas[Activa],160)=1,O$7&gt;=INDEX(TblTareas[Semana],160),O$7&lt;INDEX(TblTareas[Semana],160)+INDEX(TblTareas[Duracion],160)),INDEX(TblTareas[Horas],160)/INDEX(TblTareas[Duracion],160),""))</f>
      </c>
      <c r="P167" s="64" t="str">
        <f>IF($A167="","",IF(AND(INDEX(TblTareas[Activa],160)=1,P$7&gt;=INDEX(TblTareas[Semana],160),P$7&lt;INDEX(TblTareas[Semana],160)+INDEX(TblTareas[Duracion],160)),INDEX(TblTareas[Horas],160)/INDEX(TblTareas[Duracion],160),""))</f>
      </c>
      <c r="Q167" s="64" t="str">
        <f>IF($A167="","",IF(AND(INDEX(TblTareas[Activa],160)=1,Q$7&gt;=INDEX(TblTareas[Semana],160),Q$7&lt;INDEX(TblTareas[Semana],160)+INDEX(TblTareas[Duracion],160)),INDEX(TblTareas[Horas],160)/INDEX(TblTareas[Duracion],160),""))</f>
      </c>
      <c r="R167" s="64" t="str">
        <f>IF($A167="","",IF(AND(INDEX(TblTareas[Activa],160)=1,R$7&gt;=INDEX(TblTareas[Semana],160),R$7&lt;INDEX(TblTareas[Semana],160)+INDEX(TblTareas[Duracion],160)),INDEX(TblTareas[Horas],160)/INDEX(TblTareas[Duracion],160),""))</f>
      </c>
      <c r="S167" s="64" t="str">
        <f>IF($A167="","",IF(AND(INDEX(TblTareas[Activa],160)=1,S$7&gt;=INDEX(TblTareas[Semana],160),S$7&lt;INDEX(TblTareas[Semana],160)+INDEX(TblTareas[Duracion],160)),INDEX(TblTareas[Horas],160)/INDEX(TblTareas[Duracion],160),""))</f>
      </c>
      <c r="T167" s="64" t="str">
        <f>IF($A167="","",IF(AND(INDEX(TblTareas[Activa],160)=1,T$7&gt;=INDEX(TblTareas[Semana],160),T$7&lt;INDEX(TblTareas[Semana],160)+INDEX(TblTareas[Duracion],160)),INDEX(TblTareas[Horas],160)/INDEX(TblTareas[Duracion],160),""))</f>
      </c>
    </row>
    <row r="168" ht="34" customHeight="1">
      <c r="A168" s="62" t="str">
        <f>IFERROR(IF(INDEX(TblTareas[ID],161)="","",INDEX(TblTareas[ID],161)),"")</f>
      </c>
      <c r="B168" s="62" t="str">
        <f>IF($A168="","",IFERROR(INDEX(TblTareas[Responsable],161),""))</f>
      </c>
      <c r="C168" s="62" t="str">
        <f>IF($A168="","",IFERROR(INDEX(TblTareas[Trabajo],161),""))</f>
      </c>
      <c r="D168" s="62" t="str">
        <f>IF($A168="","",IFERROR(INDEX(TblTareas[Estado],161),""))</f>
      </c>
      <c r="E168" s="64" t="str">
        <f>IF($A168="","",IF(AND(INDEX(TblTareas[Activa],161)=1,E$7&gt;=INDEX(TblTareas[Semana],161),E$7&lt;INDEX(TblTareas[Semana],161)+INDEX(TblTareas[Duracion],161)),INDEX(TblTareas[Horas],161)/INDEX(TblTareas[Duracion],161),""))</f>
      </c>
      <c r="F168" s="64" t="str">
        <f>IF($A168="","",IF(AND(INDEX(TblTareas[Activa],161)=1,F$7&gt;=INDEX(TblTareas[Semana],161),F$7&lt;INDEX(TblTareas[Semana],161)+INDEX(TblTareas[Duracion],161)),INDEX(TblTareas[Horas],161)/INDEX(TblTareas[Duracion],161),""))</f>
      </c>
      <c r="G168" s="64" t="str">
        <f>IF($A168="","",IF(AND(INDEX(TblTareas[Activa],161)=1,G$7&gt;=INDEX(TblTareas[Semana],161),G$7&lt;INDEX(TblTareas[Semana],161)+INDEX(TblTareas[Duracion],161)),INDEX(TblTareas[Horas],161)/INDEX(TblTareas[Duracion],161),""))</f>
      </c>
      <c r="H168" s="64" t="str">
        <f>IF($A168="","",IF(AND(INDEX(TblTareas[Activa],161)=1,H$7&gt;=INDEX(TblTareas[Semana],161),H$7&lt;INDEX(TblTareas[Semana],161)+INDEX(TblTareas[Duracion],161)),INDEX(TblTareas[Horas],161)/INDEX(TblTareas[Duracion],161),""))</f>
      </c>
      <c r="I168" s="64" t="str">
        <f>IF($A168="","",IF(AND(INDEX(TblTareas[Activa],161)=1,I$7&gt;=INDEX(TblTareas[Semana],161),I$7&lt;INDEX(TblTareas[Semana],161)+INDEX(TblTareas[Duracion],161)),INDEX(TblTareas[Horas],161)/INDEX(TblTareas[Duracion],161),""))</f>
      </c>
      <c r="J168" s="64" t="str">
        <f>IF($A168="","",IF(AND(INDEX(TblTareas[Activa],161)=1,J$7&gt;=INDEX(TblTareas[Semana],161),J$7&lt;INDEX(TblTareas[Semana],161)+INDEX(TblTareas[Duracion],161)),INDEX(TblTareas[Horas],161)/INDEX(TblTareas[Duracion],161),""))</f>
      </c>
      <c r="K168" s="64" t="str">
        <f>IF($A168="","",IF(AND(INDEX(TblTareas[Activa],161)=1,K$7&gt;=INDEX(TblTareas[Semana],161),K$7&lt;INDEX(TblTareas[Semana],161)+INDEX(TblTareas[Duracion],161)),INDEX(TblTareas[Horas],161)/INDEX(TblTareas[Duracion],161),""))</f>
      </c>
      <c r="L168" s="64" t="str">
        <f>IF($A168="","",IF(AND(INDEX(TblTareas[Activa],161)=1,L$7&gt;=INDEX(TblTareas[Semana],161),L$7&lt;INDEX(TblTareas[Semana],161)+INDEX(TblTareas[Duracion],161)),INDEX(TblTareas[Horas],161)/INDEX(TblTareas[Duracion],161),""))</f>
      </c>
      <c r="M168" s="64" t="str">
        <f>IF($A168="","",IF(AND(INDEX(TblTareas[Activa],161)=1,M$7&gt;=INDEX(TblTareas[Semana],161),M$7&lt;INDEX(TblTareas[Semana],161)+INDEX(TblTareas[Duracion],161)),INDEX(TblTareas[Horas],161)/INDEX(TblTareas[Duracion],161),""))</f>
      </c>
      <c r="N168" s="64" t="str">
        <f>IF($A168="","",IF(AND(INDEX(TblTareas[Activa],161)=1,N$7&gt;=INDEX(TblTareas[Semana],161),N$7&lt;INDEX(TblTareas[Semana],161)+INDEX(TblTareas[Duracion],161)),INDEX(TblTareas[Horas],161)/INDEX(TblTareas[Duracion],161),""))</f>
      </c>
      <c r="O168" s="64" t="str">
        <f>IF($A168="","",IF(AND(INDEX(TblTareas[Activa],161)=1,O$7&gt;=INDEX(TblTareas[Semana],161),O$7&lt;INDEX(TblTareas[Semana],161)+INDEX(TblTareas[Duracion],161)),INDEX(TblTareas[Horas],161)/INDEX(TblTareas[Duracion],161),""))</f>
      </c>
      <c r="P168" s="64" t="str">
        <f>IF($A168="","",IF(AND(INDEX(TblTareas[Activa],161)=1,P$7&gt;=INDEX(TblTareas[Semana],161),P$7&lt;INDEX(TblTareas[Semana],161)+INDEX(TblTareas[Duracion],161)),INDEX(TblTareas[Horas],161)/INDEX(TblTareas[Duracion],161),""))</f>
      </c>
      <c r="Q168" s="64" t="str">
        <f>IF($A168="","",IF(AND(INDEX(TblTareas[Activa],161)=1,Q$7&gt;=INDEX(TblTareas[Semana],161),Q$7&lt;INDEX(TblTareas[Semana],161)+INDEX(TblTareas[Duracion],161)),INDEX(TblTareas[Horas],161)/INDEX(TblTareas[Duracion],161),""))</f>
      </c>
      <c r="R168" s="64" t="str">
        <f>IF($A168="","",IF(AND(INDEX(TblTareas[Activa],161)=1,R$7&gt;=INDEX(TblTareas[Semana],161),R$7&lt;INDEX(TblTareas[Semana],161)+INDEX(TblTareas[Duracion],161)),INDEX(TblTareas[Horas],161)/INDEX(TblTareas[Duracion],161),""))</f>
      </c>
      <c r="S168" s="64" t="str">
        <f>IF($A168="","",IF(AND(INDEX(TblTareas[Activa],161)=1,S$7&gt;=INDEX(TblTareas[Semana],161),S$7&lt;INDEX(TblTareas[Semana],161)+INDEX(TblTareas[Duracion],161)),INDEX(TblTareas[Horas],161)/INDEX(TblTareas[Duracion],161),""))</f>
      </c>
      <c r="T168" s="64" t="str">
        <f>IF($A168="","",IF(AND(INDEX(TblTareas[Activa],161)=1,T$7&gt;=INDEX(TblTareas[Semana],161),T$7&lt;INDEX(TblTareas[Semana],161)+INDEX(TblTareas[Duracion],161)),INDEX(TblTareas[Horas],161)/INDEX(TblTareas[Duracion],161),""))</f>
      </c>
    </row>
    <row r="169" ht="34" customHeight="1">
      <c r="A169" s="62" t="str">
        <f>IFERROR(IF(INDEX(TblTareas[ID],162)="","",INDEX(TblTareas[ID],162)),"")</f>
      </c>
      <c r="B169" s="62" t="str">
        <f>IF($A169="","",IFERROR(INDEX(TblTareas[Responsable],162),""))</f>
      </c>
      <c r="C169" s="62" t="str">
        <f>IF($A169="","",IFERROR(INDEX(TblTareas[Trabajo],162),""))</f>
      </c>
      <c r="D169" s="62" t="str">
        <f>IF($A169="","",IFERROR(INDEX(TblTareas[Estado],162),""))</f>
      </c>
      <c r="E169" s="64" t="str">
        <f>IF($A169="","",IF(AND(INDEX(TblTareas[Activa],162)=1,E$7&gt;=INDEX(TblTareas[Semana],162),E$7&lt;INDEX(TblTareas[Semana],162)+INDEX(TblTareas[Duracion],162)),INDEX(TblTareas[Horas],162)/INDEX(TblTareas[Duracion],162),""))</f>
      </c>
      <c r="F169" s="64" t="str">
        <f>IF($A169="","",IF(AND(INDEX(TblTareas[Activa],162)=1,F$7&gt;=INDEX(TblTareas[Semana],162),F$7&lt;INDEX(TblTareas[Semana],162)+INDEX(TblTareas[Duracion],162)),INDEX(TblTareas[Horas],162)/INDEX(TblTareas[Duracion],162),""))</f>
      </c>
      <c r="G169" s="64" t="str">
        <f>IF($A169="","",IF(AND(INDEX(TblTareas[Activa],162)=1,G$7&gt;=INDEX(TblTareas[Semana],162),G$7&lt;INDEX(TblTareas[Semana],162)+INDEX(TblTareas[Duracion],162)),INDEX(TblTareas[Horas],162)/INDEX(TblTareas[Duracion],162),""))</f>
      </c>
      <c r="H169" s="64" t="str">
        <f>IF($A169="","",IF(AND(INDEX(TblTareas[Activa],162)=1,H$7&gt;=INDEX(TblTareas[Semana],162),H$7&lt;INDEX(TblTareas[Semana],162)+INDEX(TblTareas[Duracion],162)),INDEX(TblTareas[Horas],162)/INDEX(TblTareas[Duracion],162),""))</f>
      </c>
      <c r="I169" s="64" t="str">
        <f>IF($A169="","",IF(AND(INDEX(TblTareas[Activa],162)=1,I$7&gt;=INDEX(TblTareas[Semana],162),I$7&lt;INDEX(TblTareas[Semana],162)+INDEX(TblTareas[Duracion],162)),INDEX(TblTareas[Horas],162)/INDEX(TblTareas[Duracion],162),""))</f>
      </c>
      <c r="J169" s="64" t="str">
        <f>IF($A169="","",IF(AND(INDEX(TblTareas[Activa],162)=1,J$7&gt;=INDEX(TblTareas[Semana],162),J$7&lt;INDEX(TblTareas[Semana],162)+INDEX(TblTareas[Duracion],162)),INDEX(TblTareas[Horas],162)/INDEX(TblTareas[Duracion],162),""))</f>
      </c>
      <c r="K169" s="64" t="str">
        <f>IF($A169="","",IF(AND(INDEX(TblTareas[Activa],162)=1,K$7&gt;=INDEX(TblTareas[Semana],162),K$7&lt;INDEX(TblTareas[Semana],162)+INDEX(TblTareas[Duracion],162)),INDEX(TblTareas[Horas],162)/INDEX(TblTareas[Duracion],162),""))</f>
      </c>
      <c r="L169" s="64" t="str">
        <f>IF($A169="","",IF(AND(INDEX(TblTareas[Activa],162)=1,L$7&gt;=INDEX(TblTareas[Semana],162),L$7&lt;INDEX(TblTareas[Semana],162)+INDEX(TblTareas[Duracion],162)),INDEX(TblTareas[Horas],162)/INDEX(TblTareas[Duracion],162),""))</f>
      </c>
      <c r="M169" s="64" t="str">
        <f>IF($A169="","",IF(AND(INDEX(TblTareas[Activa],162)=1,M$7&gt;=INDEX(TblTareas[Semana],162),M$7&lt;INDEX(TblTareas[Semana],162)+INDEX(TblTareas[Duracion],162)),INDEX(TblTareas[Horas],162)/INDEX(TblTareas[Duracion],162),""))</f>
      </c>
      <c r="N169" s="64" t="str">
        <f>IF($A169="","",IF(AND(INDEX(TblTareas[Activa],162)=1,N$7&gt;=INDEX(TblTareas[Semana],162),N$7&lt;INDEX(TblTareas[Semana],162)+INDEX(TblTareas[Duracion],162)),INDEX(TblTareas[Horas],162)/INDEX(TblTareas[Duracion],162),""))</f>
      </c>
      <c r="O169" s="64" t="str">
        <f>IF($A169="","",IF(AND(INDEX(TblTareas[Activa],162)=1,O$7&gt;=INDEX(TblTareas[Semana],162),O$7&lt;INDEX(TblTareas[Semana],162)+INDEX(TblTareas[Duracion],162)),INDEX(TblTareas[Horas],162)/INDEX(TblTareas[Duracion],162),""))</f>
      </c>
      <c r="P169" s="64" t="str">
        <f>IF($A169="","",IF(AND(INDEX(TblTareas[Activa],162)=1,P$7&gt;=INDEX(TblTareas[Semana],162),P$7&lt;INDEX(TblTareas[Semana],162)+INDEX(TblTareas[Duracion],162)),INDEX(TblTareas[Horas],162)/INDEX(TblTareas[Duracion],162),""))</f>
      </c>
      <c r="Q169" s="64" t="str">
        <f>IF($A169="","",IF(AND(INDEX(TblTareas[Activa],162)=1,Q$7&gt;=INDEX(TblTareas[Semana],162),Q$7&lt;INDEX(TblTareas[Semana],162)+INDEX(TblTareas[Duracion],162)),INDEX(TblTareas[Horas],162)/INDEX(TblTareas[Duracion],162),""))</f>
      </c>
      <c r="R169" s="64" t="str">
        <f>IF($A169="","",IF(AND(INDEX(TblTareas[Activa],162)=1,R$7&gt;=INDEX(TblTareas[Semana],162),R$7&lt;INDEX(TblTareas[Semana],162)+INDEX(TblTareas[Duracion],162)),INDEX(TblTareas[Horas],162)/INDEX(TblTareas[Duracion],162),""))</f>
      </c>
      <c r="S169" s="64" t="str">
        <f>IF($A169="","",IF(AND(INDEX(TblTareas[Activa],162)=1,S$7&gt;=INDEX(TblTareas[Semana],162),S$7&lt;INDEX(TblTareas[Semana],162)+INDEX(TblTareas[Duracion],162)),INDEX(TblTareas[Horas],162)/INDEX(TblTareas[Duracion],162),""))</f>
      </c>
      <c r="T169" s="64" t="str">
        <f>IF($A169="","",IF(AND(INDEX(TblTareas[Activa],162)=1,T$7&gt;=INDEX(TblTareas[Semana],162),T$7&lt;INDEX(TblTareas[Semana],162)+INDEX(TblTareas[Duracion],162)),INDEX(TblTareas[Horas],162)/INDEX(TblTareas[Duracion],162),""))</f>
      </c>
    </row>
    <row r="170" ht="34" customHeight="1">
      <c r="A170" s="62" t="str">
        <f>IFERROR(IF(INDEX(TblTareas[ID],163)="","",INDEX(TblTareas[ID],163)),"")</f>
      </c>
      <c r="B170" s="62" t="str">
        <f>IF($A170="","",IFERROR(INDEX(TblTareas[Responsable],163),""))</f>
      </c>
      <c r="C170" s="62" t="str">
        <f>IF($A170="","",IFERROR(INDEX(TblTareas[Trabajo],163),""))</f>
      </c>
      <c r="D170" s="62" t="str">
        <f>IF($A170="","",IFERROR(INDEX(TblTareas[Estado],163),""))</f>
      </c>
      <c r="E170" s="64" t="str">
        <f>IF($A170="","",IF(AND(INDEX(TblTareas[Activa],163)=1,E$7&gt;=INDEX(TblTareas[Semana],163),E$7&lt;INDEX(TblTareas[Semana],163)+INDEX(TblTareas[Duracion],163)),INDEX(TblTareas[Horas],163)/INDEX(TblTareas[Duracion],163),""))</f>
      </c>
      <c r="F170" s="64" t="str">
        <f>IF($A170="","",IF(AND(INDEX(TblTareas[Activa],163)=1,F$7&gt;=INDEX(TblTareas[Semana],163),F$7&lt;INDEX(TblTareas[Semana],163)+INDEX(TblTareas[Duracion],163)),INDEX(TblTareas[Horas],163)/INDEX(TblTareas[Duracion],163),""))</f>
      </c>
      <c r="G170" s="64" t="str">
        <f>IF($A170="","",IF(AND(INDEX(TblTareas[Activa],163)=1,G$7&gt;=INDEX(TblTareas[Semana],163),G$7&lt;INDEX(TblTareas[Semana],163)+INDEX(TblTareas[Duracion],163)),INDEX(TblTareas[Horas],163)/INDEX(TblTareas[Duracion],163),""))</f>
      </c>
      <c r="H170" s="64" t="str">
        <f>IF($A170="","",IF(AND(INDEX(TblTareas[Activa],163)=1,H$7&gt;=INDEX(TblTareas[Semana],163),H$7&lt;INDEX(TblTareas[Semana],163)+INDEX(TblTareas[Duracion],163)),INDEX(TblTareas[Horas],163)/INDEX(TblTareas[Duracion],163),""))</f>
      </c>
      <c r="I170" s="64" t="str">
        <f>IF($A170="","",IF(AND(INDEX(TblTareas[Activa],163)=1,I$7&gt;=INDEX(TblTareas[Semana],163),I$7&lt;INDEX(TblTareas[Semana],163)+INDEX(TblTareas[Duracion],163)),INDEX(TblTareas[Horas],163)/INDEX(TblTareas[Duracion],163),""))</f>
      </c>
      <c r="J170" s="64" t="str">
        <f>IF($A170="","",IF(AND(INDEX(TblTareas[Activa],163)=1,J$7&gt;=INDEX(TblTareas[Semana],163),J$7&lt;INDEX(TblTareas[Semana],163)+INDEX(TblTareas[Duracion],163)),INDEX(TblTareas[Horas],163)/INDEX(TblTareas[Duracion],163),""))</f>
      </c>
      <c r="K170" s="64" t="str">
        <f>IF($A170="","",IF(AND(INDEX(TblTareas[Activa],163)=1,K$7&gt;=INDEX(TblTareas[Semana],163),K$7&lt;INDEX(TblTareas[Semana],163)+INDEX(TblTareas[Duracion],163)),INDEX(TblTareas[Horas],163)/INDEX(TblTareas[Duracion],163),""))</f>
      </c>
      <c r="L170" s="64" t="str">
        <f>IF($A170="","",IF(AND(INDEX(TblTareas[Activa],163)=1,L$7&gt;=INDEX(TblTareas[Semana],163),L$7&lt;INDEX(TblTareas[Semana],163)+INDEX(TblTareas[Duracion],163)),INDEX(TblTareas[Horas],163)/INDEX(TblTareas[Duracion],163),""))</f>
      </c>
      <c r="M170" s="64" t="str">
        <f>IF($A170="","",IF(AND(INDEX(TblTareas[Activa],163)=1,M$7&gt;=INDEX(TblTareas[Semana],163),M$7&lt;INDEX(TblTareas[Semana],163)+INDEX(TblTareas[Duracion],163)),INDEX(TblTareas[Horas],163)/INDEX(TblTareas[Duracion],163),""))</f>
      </c>
      <c r="N170" s="64" t="str">
        <f>IF($A170="","",IF(AND(INDEX(TblTareas[Activa],163)=1,N$7&gt;=INDEX(TblTareas[Semana],163),N$7&lt;INDEX(TblTareas[Semana],163)+INDEX(TblTareas[Duracion],163)),INDEX(TblTareas[Horas],163)/INDEX(TblTareas[Duracion],163),""))</f>
      </c>
      <c r="O170" s="64" t="str">
        <f>IF($A170="","",IF(AND(INDEX(TblTareas[Activa],163)=1,O$7&gt;=INDEX(TblTareas[Semana],163),O$7&lt;INDEX(TblTareas[Semana],163)+INDEX(TblTareas[Duracion],163)),INDEX(TblTareas[Horas],163)/INDEX(TblTareas[Duracion],163),""))</f>
      </c>
      <c r="P170" s="64" t="str">
        <f>IF($A170="","",IF(AND(INDEX(TblTareas[Activa],163)=1,P$7&gt;=INDEX(TblTareas[Semana],163),P$7&lt;INDEX(TblTareas[Semana],163)+INDEX(TblTareas[Duracion],163)),INDEX(TblTareas[Horas],163)/INDEX(TblTareas[Duracion],163),""))</f>
      </c>
      <c r="Q170" s="64" t="str">
        <f>IF($A170="","",IF(AND(INDEX(TblTareas[Activa],163)=1,Q$7&gt;=INDEX(TblTareas[Semana],163),Q$7&lt;INDEX(TblTareas[Semana],163)+INDEX(TblTareas[Duracion],163)),INDEX(TblTareas[Horas],163)/INDEX(TblTareas[Duracion],163),""))</f>
      </c>
      <c r="R170" s="64" t="str">
        <f>IF($A170="","",IF(AND(INDEX(TblTareas[Activa],163)=1,R$7&gt;=INDEX(TblTareas[Semana],163),R$7&lt;INDEX(TblTareas[Semana],163)+INDEX(TblTareas[Duracion],163)),INDEX(TblTareas[Horas],163)/INDEX(TblTareas[Duracion],163),""))</f>
      </c>
      <c r="S170" s="64" t="str">
        <f>IF($A170="","",IF(AND(INDEX(TblTareas[Activa],163)=1,S$7&gt;=INDEX(TblTareas[Semana],163),S$7&lt;INDEX(TblTareas[Semana],163)+INDEX(TblTareas[Duracion],163)),INDEX(TblTareas[Horas],163)/INDEX(TblTareas[Duracion],163),""))</f>
      </c>
      <c r="T170" s="64" t="str">
        <f>IF($A170="","",IF(AND(INDEX(TblTareas[Activa],163)=1,T$7&gt;=INDEX(TblTareas[Semana],163),T$7&lt;INDEX(TblTareas[Semana],163)+INDEX(TblTareas[Duracion],163)),INDEX(TblTareas[Horas],163)/INDEX(TblTareas[Duracion],163),""))</f>
      </c>
    </row>
    <row r="171" ht="34" customHeight="1">
      <c r="A171" s="62" t="str">
        <f>IFERROR(IF(INDEX(TblTareas[ID],164)="","",INDEX(TblTareas[ID],164)),"")</f>
      </c>
      <c r="B171" s="62" t="str">
        <f>IF($A171="","",IFERROR(INDEX(TblTareas[Responsable],164),""))</f>
      </c>
      <c r="C171" s="62" t="str">
        <f>IF($A171="","",IFERROR(INDEX(TblTareas[Trabajo],164),""))</f>
      </c>
      <c r="D171" s="62" t="str">
        <f>IF($A171="","",IFERROR(INDEX(TblTareas[Estado],164),""))</f>
      </c>
      <c r="E171" s="64" t="str">
        <f>IF($A171="","",IF(AND(INDEX(TblTareas[Activa],164)=1,E$7&gt;=INDEX(TblTareas[Semana],164),E$7&lt;INDEX(TblTareas[Semana],164)+INDEX(TblTareas[Duracion],164)),INDEX(TblTareas[Horas],164)/INDEX(TblTareas[Duracion],164),""))</f>
      </c>
      <c r="F171" s="64" t="str">
        <f>IF($A171="","",IF(AND(INDEX(TblTareas[Activa],164)=1,F$7&gt;=INDEX(TblTareas[Semana],164),F$7&lt;INDEX(TblTareas[Semana],164)+INDEX(TblTareas[Duracion],164)),INDEX(TblTareas[Horas],164)/INDEX(TblTareas[Duracion],164),""))</f>
      </c>
      <c r="G171" s="64" t="str">
        <f>IF($A171="","",IF(AND(INDEX(TblTareas[Activa],164)=1,G$7&gt;=INDEX(TblTareas[Semana],164),G$7&lt;INDEX(TblTareas[Semana],164)+INDEX(TblTareas[Duracion],164)),INDEX(TblTareas[Horas],164)/INDEX(TblTareas[Duracion],164),""))</f>
      </c>
      <c r="H171" s="64" t="str">
        <f>IF($A171="","",IF(AND(INDEX(TblTareas[Activa],164)=1,H$7&gt;=INDEX(TblTareas[Semana],164),H$7&lt;INDEX(TblTareas[Semana],164)+INDEX(TblTareas[Duracion],164)),INDEX(TblTareas[Horas],164)/INDEX(TblTareas[Duracion],164),""))</f>
      </c>
      <c r="I171" s="64" t="str">
        <f>IF($A171="","",IF(AND(INDEX(TblTareas[Activa],164)=1,I$7&gt;=INDEX(TblTareas[Semana],164),I$7&lt;INDEX(TblTareas[Semana],164)+INDEX(TblTareas[Duracion],164)),INDEX(TblTareas[Horas],164)/INDEX(TblTareas[Duracion],164),""))</f>
      </c>
      <c r="J171" s="64" t="str">
        <f>IF($A171="","",IF(AND(INDEX(TblTareas[Activa],164)=1,J$7&gt;=INDEX(TblTareas[Semana],164),J$7&lt;INDEX(TblTareas[Semana],164)+INDEX(TblTareas[Duracion],164)),INDEX(TblTareas[Horas],164)/INDEX(TblTareas[Duracion],164),""))</f>
      </c>
      <c r="K171" s="64" t="str">
        <f>IF($A171="","",IF(AND(INDEX(TblTareas[Activa],164)=1,K$7&gt;=INDEX(TblTareas[Semana],164),K$7&lt;INDEX(TblTareas[Semana],164)+INDEX(TblTareas[Duracion],164)),INDEX(TblTareas[Horas],164)/INDEX(TblTareas[Duracion],164),""))</f>
      </c>
      <c r="L171" s="64" t="str">
        <f>IF($A171="","",IF(AND(INDEX(TblTareas[Activa],164)=1,L$7&gt;=INDEX(TblTareas[Semana],164),L$7&lt;INDEX(TblTareas[Semana],164)+INDEX(TblTareas[Duracion],164)),INDEX(TblTareas[Horas],164)/INDEX(TblTareas[Duracion],164),""))</f>
      </c>
      <c r="M171" s="64" t="str">
        <f>IF($A171="","",IF(AND(INDEX(TblTareas[Activa],164)=1,M$7&gt;=INDEX(TblTareas[Semana],164),M$7&lt;INDEX(TblTareas[Semana],164)+INDEX(TblTareas[Duracion],164)),INDEX(TblTareas[Horas],164)/INDEX(TblTareas[Duracion],164),""))</f>
      </c>
      <c r="N171" s="64" t="str">
        <f>IF($A171="","",IF(AND(INDEX(TblTareas[Activa],164)=1,N$7&gt;=INDEX(TblTareas[Semana],164),N$7&lt;INDEX(TblTareas[Semana],164)+INDEX(TblTareas[Duracion],164)),INDEX(TblTareas[Horas],164)/INDEX(TblTareas[Duracion],164),""))</f>
      </c>
      <c r="O171" s="64" t="str">
        <f>IF($A171="","",IF(AND(INDEX(TblTareas[Activa],164)=1,O$7&gt;=INDEX(TblTareas[Semana],164),O$7&lt;INDEX(TblTareas[Semana],164)+INDEX(TblTareas[Duracion],164)),INDEX(TblTareas[Horas],164)/INDEX(TblTareas[Duracion],164),""))</f>
      </c>
      <c r="P171" s="64" t="str">
        <f>IF($A171="","",IF(AND(INDEX(TblTareas[Activa],164)=1,P$7&gt;=INDEX(TblTareas[Semana],164),P$7&lt;INDEX(TblTareas[Semana],164)+INDEX(TblTareas[Duracion],164)),INDEX(TblTareas[Horas],164)/INDEX(TblTareas[Duracion],164),""))</f>
      </c>
      <c r="Q171" s="64" t="str">
        <f>IF($A171="","",IF(AND(INDEX(TblTareas[Activa],164)=1,Q$7&gt;=INDEX(TblTareas[Semana],164),Q$7&lt;INDEX(TblTareas[Semana],164)+INDEX(TblTareas[Duracion],164)),INDEX(TblTareas[Horas],164)/INDEX(TblTareas[Duracion],164),""))</f>
      </c>
      <c r="R171" s="64" t="str">
        <f>IF($A171="","",IF(AND(INDEX(TblTareas[Activa],164)=1,R$7&gt;=INDEX(TblTareas[Semana],164),R$7&lt;INDEX(TblTareas[Semana],164)+INDEX(TblTareas[Duracion],164)),INDEX(TblTareas[Horas],164)/INDEX(TblTareas[Duracion],164),""))</f>
      </c>
      <c r="S171" s="64" t="str">
        <f>IF($A171="","",IF(AND(INDEX(TblTareas[Activa],164)=1,S$7&gt;=INDEX(TblTareas[Semana],164),S$7&lt;INDEX(TblTareas[Semana],164)+INDEX(TblTareas[Duracion],164)),INDEX(TblTareas[Horas],164)/INDEX(TblTareas[Duracion],164),""))</f>
      </c>
      <c r="T171" s="64" t="str">
        <f>IF($A171="","",IF(AND(INDEX(TblTareas[Activa],164)=1,T$7&gt;=INDEX(TblTareas[Semana],164),T$7&lt;INDEX(TblTareas[Semana],164)+INDEX(TblTareas[Duracion],164)),INDEX(TblTareas[Horas],164)/INDEX(TblTareas[Duracion],164),""))</f>
      </c>
    </row>
    <row r="172" ht="34" customHeight="1">
      <c r="A172" s="62" t="str">
        <f>IFERROR(IF(INDEX(TblTareas[ID],165)="","",INDEX(TblTareas[ID],165)),"")</f>
      </c>
      <c r="B172" s="62" t="str">
        <f>IF($A172="","",IFERROR(INDEX(TblTareas[Responsable],165),""))</f>
      </c>
      <c r="C172" s="62" t="str">
        <f>IF($A172="","",IFERROR(INDEX(TblTareas[Trabajo],165),""))</f>
      </c>
      <c r="D172" s="62" t="str">
        <f>IF($A172="","",IFERROR(INDEX(TblTareas[Estado],165),""))</f>
      </c>
      <c r="E172" s="64" t="str">
        <f>IF($A172="","",IF(AND(INDEX(TblTareas[Activa],165)=1,E$7&gt;=INDEX(TblTareas[Semana],165),E$7&lt;INDEX(TblTareas[Semana],165)+INDEX(TblTareas[Duracion],165)),INDEX(TblTareas[Horas],165)/INDEX(TblTareas[Duracion],165),""))</f>
      </c>
      <c r="F172" s="64" t="str">
        <f>IF($A172="","",IF(AND(INDEX(TblTareas[Activa],165)=1,F$7&gt;=INDEX(TblTareas[Semana],165),F$7&lt;INDEX(TblTareas[Semana],165)+INDEX(TblTareas[Duracion],165)),INDEX(TblTareas[Horas],165)/INDEX(TblTareas[Duracion],165),""))</f>
      </c>
      <c r="G172" s="64" t="str">
        <f>IF($A172="","",IF(AND(INDEX(TblTareas[Activa],165)=1,G$7&gt;=INDEX(TblTareas[Semana],165),G$7&lt;INDEX(TblTareas[Semana],165)+INDEX(TblTareas[Duracion],165)),INDEX(TblTareas[Horas],165)/INDEX(TblTareas[Duracion],165),""))</f>
      </c>
      <c r="H172" s="64" t="str">
        <f>IF($A172="","",IF(AND(INDEX(TblTareas[Activa],165)=1,H$7&gt;=INDEX(TblTareas[Semana],165),H$7&lt;INDEX(TblTareas[Semana],165)+INDEX(TblTareas[Duracion],165)),INDEX(TblTareas[Horas],165)/INDEX(TblTareas[Duracion],165),""))</f>
      </c>
      <c r="I172" s="64" t="str">
        <f>IF($A172="","",IF(AND(INDEX(TblTareas[Activa],165)=1,I$7&gt;=INDEX(TblTareas[Semana],165),I$7&lt;INDEX(TblTareas[Semana],165)+INDEX(TblTareas[Duracion],165)),INDEX(TblTareas[Horas],165)/INDEX(TblTareas[Duracion],165),""))</f>
      </c>
      <c r="J172" s="64" t="str">
        <f>IF($A172="","",IF(AND(INDEX(TblTareas[Activa],165)=1,J$7&gt;=INDEX(TblTareas[Semana],165),J$7&lt;INDEX(TblTareas[Semana],165)+INDEX(TblTareas[Duracion],165)),INDEX(TblTareas[Horas],165)/INDEX(TblTareas[Duracion],165),""))</f>
      </c>
      <c r="K172" s="64" t="str">
        <f>IF($A172="","",IF(AND(INDEX(TblTareas[Activa],165)=1,K$7&gt;=INDEX(TblTareas[Semana],165),K$7&lt;INDEX(TblTareas[Semana],165)+INDEX(TblTareas[Duracion],165)),INDEX(TblTareas[Horas],165)/INDEX(TblTareas[Duracion],165),""))</f>
      </c>
      <c r="L172" s="64" t="str">
        <f>IF($A172="","",IF(AND(INDEX(TblTareas[Activa],165)=1,L$7&gt;=INDEX(TblTareas[Semana],165),L$7&lt;INDEX(TblTareas[Semana],165)+INDEX(TblTareas[Duracion],165)),INDEX(TblTareas[Horas],165)/INDEX(TblTareas[Duracion],165),""))</f>
      </c>
      <c r="M172" s="64" t="str">
        <f>IF($A172="","",IF(AND(INDEX(TblTareas[Activa],165)=1,M$7&gt;=INDEX(TblTareas[Semana],165),M$7&lt;INDEX(TblTareas[Semana],165)+INDEX(TblTareas[Duracion],165)),INDEX(TblTareas[Horas],165)/INDEX(TblTareas[Duracion],165),""))</f>
      </c>
      <c r="N172" s="64" t="str">
        <f>IF($A172="","",IF(AND(INDEX(TblTareas[Activa],165)=1,N$7&gt;=INDEX(TblTareas[Semana],165),N$7&lt;INDEX(TblTareas[Semana],165)+INDEX(TblTareas[Duracion],165)),INDEX(TblTareas[Horas],165)/INDEX(TblTareas[Duracion],165),""))</f>
      </c>
      <c r="O172" s="64" t="str">
        <f>IF($A172="","",IF(AND(INDEX(TblTareas[Activa],165)=1,O$7&gt;=INDEX(TblTareas[Semana],165),O$7&lt;INDEX(TblTareas[Semana],165)+INDEX(TblTareas[Duracion],165)),INDEX(TblTareas[Horas],165)/INDEX(TblTareas[Duracion],165),""))</f>
      </c>
      <c r="P172" s="64" t="str">
        <f>IF($A172="","",IF(AND(INDEX(TblTareas[Activa],165)=1,P$7&gt;=INDEX(TblTareas[Semana],165),P$7&lt;INDEX(TblTareas[Semana],165)+INDEX(TblTareas[Duracion],165)),INDEX(TblTareas[Horas],165)/INDEX(TblTareas[Duracion],165),""))</f>
      </c>
      <c r="Q172" s="64" t="str">
        <f>IF($A172="","",IF(AND(INDEX(TblTareas[Activa],165)=1,Q$7&gt;=INDEX(TblTareas[Semana],165),Q$7&lt;INDEX(TblTareas[Semana],165)+INDEX(TblTareas[Duracion],165)),INDEX(TblTareas[Horas],165)/INDEX(TblTareas[Duracion],165),""))</f>
      </c>
      <c r="R172" s="64" t="str">
        <f>IF($A172="","",IF(AND(INDEX(TblTareas[Activa],165)=1,R$7&gt;=INDEX(TblTareas[Semana],165),R$7&lt;INDEX(TblTareas[Semana],165)+INDEX(TblTareas[Duracion],165)),INDEX(TblTareas[Horas],165)/INDEX(TblTareas[Duracion],165),""))</f>
      </c>
      <c r="S172" s="64" t="str">
        <f>IF($A172="","",IF(AND(INDEX(TblTareas[Activa],165)=1,S$7&gt;=INDEX(TblTareas[Semana],165),S$7&lt;INDEX(TblTareas[Semana],165)+INDEX(TblTareas[Duracion],165)),INDEX(TblTareas[Horas],165)/INDEX(TblTareas[Duracion],165),""))</f>
      </c>
      <c r="T172" s="64" t="str">
        <f>IF($A172="","",IF(AND(INDEX(TblTareas[Activa],165)=1,T$7&gt;=INDEX(TblTareas[Semana],165),T$7&lt;INDEX(TblTareas[Semana],165)+INDEX(TblTareas[Duracion],165)),INDEX(TblTareas[Horas],165)/INDEX(TblTareas[Duracion],165),""))</f>
      </c>
    </row>
    <row r="173" ht="34" customHeight="1">
      <c r="A173" s="62" t="str">
        <f>IFERROR(IF(INDEX(TblTareas[ID],166)="","",INDEX(TblTareas[ID],166)),"")</f>
      </c>
      <c r="B173" s="62" t="str">
        <f>IF($A173="","",IFERROR(INDEX(TblTareas[Responsable],166),""))</f>
      </c>
      <c r="C173" s="62" t="str">
        <f>IF($A173="","",IFERROR(INDEX(TblTareas[Trabajo],166),""))</f>
      </c>
      <c r="D173" s="62" t="str">
        <f>IF($A173="","",IFERROR(INDEX(TblTareas[Estado],166),""))</f>
      </c>
      <c r="E173" s="64" t="str">
        <f>IF($A173="","",IF(AND(INDEX(TblTareas[Activa],166)=1,E$7&gt;=INDEX(TblTareas[Semana],166),E$7&lt;INDEX(TblTareas[Semana],166)+INDEX(TblTareas[Duracion],166)),INDEX(TblTareas[Horas],166)/INDEX(TblTareas[Duracion],166),""))</f>
      </c>
      <c r="F173" s="64" t="str">
        <f>IF($A173="","",IF(AND(INDEX(TblTareas[Activa],166)=1,F$7&gt;=INDEX(TblTareas[Semana],166),F$7&lt;INDEX(TblTareas[Semana],166)+INDEX(TblTareas[Duracion],166)),INDEX(TblTareas[Horas],166)/INDEX(TblTareas[Duracion],166),""))</f>
      </c>
      <c r="G173" s="64" t="str">
        <f>IF($A173="","",IF(AND(INDEX(TblTareas[Activa],166)=1,G$7&gt;=INDEX(TblTareas[Semana],166),G$7&lt;INDEX(TblTareas[Semana],166)+INDEX(TblTareas[Duracion],166)),INDEX(TblTareas[Horas],166)/INDEX(TblTareas[Duracion],166),""))</f>
      </c>
      <c r="H173" s="64" t="str">
        <f>IF($A173="","",IF(AND(INDEX(TblTareas[Activa],166)=1,H$7&gt;=INDEX(TblTareas[Semana],166),H$7&lt;INDEX(TblTareas[Semana],166)+INDEX(TblTareas[Duracion],166)),INDEX(TblTareas[Horas],166)/INDEX(TblTareas[Duracion],166),""))</f>
      </c>
      <c r="I173" s="64" t="str">
        <f>IF($A173="","",IF(AND(INDEX(TblTareas[Activa],166)=1,I$7&gt;=INDEX(TblTareas[Semana],166),I$7&lt;INDEX(TblTareas[Semana],166)+INDEX(TblTareas[Duracion],166)),INDEX(TblTareas[Horas],166)/INDEX(TblTareas[Duracion],166),""))</f>
      </c>
      <c r="J173" s="64" t="str">
        <f>IF($A173="","",IF(AND(INDEX(TblTareas[Activa],166)=1,J$7&gt;=INDEX(TblTareas[Semana],166),J$7&lt;INDEX(TblTareas[Semana],166)+INDEX(TblTareas[Duracion],166)),INDEX(TblTareas[Horas],166)/INDEX(TblTareas[Duracion],166),""))</f>
      </c>
      <c r="K173" s="64" t="str">
        <f>IF($A173="","",IF(AND(INDEX(TblTareas[Activa],166)=1,K$7&gt;=INDEX(TblTareas[Semana],166),K$7&lt;INDEX(TblTareas[Semana],166)+INDEX(TblTareas[Duracion],166)),INDEX(TblTareas[Horas],166)/INDEX(TblTareas[Duracion],166),""))</f>
      </c>
      <c r="L173" s="64" t="str">
        <f>IF($A173="","",IF(AND(INDEX(TblTareas[Activa],166)=1,L$7&gt;=INDEX(TblTareas[Semana],166),L$7&lt;INDEX(TblTareas[Semana],166)+INDEX(TblTareas[Duracion],166)),INDEX(TblTareas[Horas],166)/INDEX(TblTareas[Duracion],166),""))</f>
      </c>
      <c r="M173" s="64" t="str">
        <f>IF($A173="","",IF(AND(INDEX(TblTareas[Activa],166)=1,M$7&gt;=INDEX(TblTareas[Semana],166),M$7&lt;INDEX(TblTareas[Semana],166)+INDEX(TblTareas[Duracion],166)),INDEX(TblTareas[Horas],166)/INDEX(TblTareas[Duracion],166),""))</f>
      </c>
      <c r="N173" s="64" t="str">
        <f>IF($A173="","",IF(AND(INDEX(TblTareas[Activa],166)=1,N$7&gt;=INDEX(TblTareas[Semana],166),N$7&lt;INDEX(TblTareas[Semana],166)+INDEX(TblTareas[Duracion],166)),INDEX(TblTareas[Horas],166)/INDEX(TblTareas[Duracion],166),""))</f>
      </c>
      <c r="O173" s="64" t="str">
        <f>IF($A173="","",IF(AND(INDEX(TblTareas[Activa],166)=1,O$7&gt;=INDEX(TblTareas[Semana],166),O$7&lt;INDEX(TblTareas[Semana],166)+INDEX(TblTareas[Duracion],166)),INDEX(TblTareas[Horas],166)/INDEX(TblTareas[Duracion],166),""))</f>
      </c>
      <c r="P173" s="64" t="str">
        <f>IF($A173="","",IF(AND(INDEX(TblTareas[Activa],166)=1,P$7&gt;=INDEX(TblTareas[Semana],166),P$7&lt;INDEX(TblTareas[Semana],166)+INDEX(TblTareas[Duracion],166)),INDEX(TblTareas[Horas],166)/INDEX(TblTareas[Duracion],166),""))</f>
      </c>
      <c r="Q173" s="64" t="str">
        <f>IF($A173="","",IF(AND(INDEX(TblTareas[Activa],166)=1,Q$7&gt;=INDEX(TblTareas[Semana],166),Q$7&lt;INDEX(TblTareas[Semana],166)+INDEX(TblTareas[Duracion],166)),INDEX(TblTareas[Horas],166)/INDEX(TblTareas[Duracion],166),""))</f>
      </c>
      <c r="R173" s="64" t="str">
        <f>IF($A173="","",IF(AND(INDEX(TblTareas[Activa],166)=1,R$7&gt;=INDEX(TblTareas[Semana],166),R$7&lt;INDEX(TblTareas[Semana],166)+INDEX(TblTareas[Duracion],166)),INDEX(TblTareas[Horas],166)/INDEX(TblTareas[Duracion],166),""))</f>
      </c>
      <c r="S173" s="64" t="str">
        <f>IF($A173="","",IF(AND(INDEX(TblTareas[Activa],166)=1,S$7&gt;=INDEX(TblTareas[Semana],166),S$7&lt;INDEX(TblTareas[Semana],166)+INDEX(TblTareas[Duracion],166)),INDEX(TblTareas[Horas],166)/INDEX(TblTareas[Duracion],166),""))</f>
      </c>
      <c r="T173" s="64" t="str">
        <f>IF($A173="","",IF(AND(INDEX(TblTareas[Activa],166)=1,T$7&gt;=INDEX(TblTareas[Semana],166),T$7&lt;INDEX(TblTareas[Semana],166)+INDEX(TblTareas[Duracion],166)),INDEX(TblTareas[Horas],166)/INDEX(TblTareas[Duracion],166),""))</f>
      </c>
    </row>
    <row r="174" ht="34" customHeight="1">
      <c r="A174" s="62" t="str">
        <f>IFERROR(IF(INDEX(TblTareas[ID],167)="","",INDEX(TblTareas[ID],167)),"")</f>
      </c>
      <c r="B174" s="62" t="str">
        <f>IF($A174="","",IFERROR(INDEX(TblTareas[Responsable],167),""))</f>
      </c>
      <c r="C174" s="62" t="str">
        <f>IF($A174="","",IFERROR(INDEX(TblTareas[Trabajo],167),""))</f>
      </c>
      <c r="D174" s="62" t="str">
        <f>IF($A174="","",IFERROR(INDEX(TblTareas[Estado],167),""))</f>
      </c>
      <c r="E174" s="64" t="str">
        <f>IF($A174="","",IF(AND(INDEX(TblTareas[Activa],167)=1,E$7&gt;=INDEX(TblTareas[Semana],167),E$7&lt;INDEX(TblTareas[Semana],167)+INDEX(TblTareas[Duracion],167)),INDEX(TblTareas[Horas],167)/INDEX(TblTareas[Duracion],167),""))</f>
      </c>
      <c r="F174" s="64" t="str">
        <f>IF($A174="","",IF(AND(INDEX(TblTareas[Activa],167)=1,F$7&gt;=INDEX(TblTareas[Semana],167),F$7&lt;INDEX(TblTareas[Semana],167)+INDEX(TblTareas[Duracion],167)),INDEX(TblTareas[Horas],167)/INDEX(TblTareas[Duracion],167),""))</f>
      </c>
      <c r="G174" s="64" t="str">
        <f>IF($A174="","",IF(AND(INDEX(TblTareas[Activa],167)=1,G$7&gt;=INDEX(TblTareas[Semana],167),G$7&lt;INDEX(TblTareas[Semana],167)+INDEX(TblTareas[Duracion],167)),INDEX(TblTareas[Horas],167)/INDEX(TblTareas[Duracion],167),""))</f>
      </c>
      <c r="H174" s="64" t="str">
        <f>IF($A174="","",IF(AND(INDEX(TblTareas[Activa],167)=1,H$7&gt;=INDEX(TblTareas[Semana],167),H$7&lt;INDEX(TblTareas[Semana],167)+INDEX(TblTareas[Duracion],167)),INDEX(TblTareas[Horas],167)/INDEX(TblTareas[Duracion],167),""))</f>
      </c>
      <c r="I174" s="64" t="str">
        <f>IF($A174="","",IF(AND(INDEX(TblTareas[Activa],167)=1,I$7&gt;=INDEX(TblTareas[Semana],167),I$7&lt;INDEX(TblTareas[Semana],167)+INDEX(TblTareas[Duracion],167)),INDEX(TblTareas[Horas],167)/INDEX(TblTareas[Duracion],167),""))</f>
      </c>
      <c r="J174" s="64" t="str">
        <f>IF($A174="","",IF(AND(INDEX(TblTareas[Activa],167)=1,J$7&gt;=INDEX(TblTareas[Semana],167),J$7&lt;INDEX(TblTareas[Semana],167)+INDEX(TblTareas[Duracion],167)),INDEX(TblTareas[Horas],167)/INDEX(TblTareas[Duracion],167),""))</f>
      </c>
      <c r="K174" s="64" t="str">
        <f>IF($A174="","",IF(AND(INDEX(TblTareas[Activa],167)=1,K$7&gt;=INDEX(TblTareas[Semana],167),K$7&lt;INDEX(TblTareas[Semana],167)+INDEX(TblTareas[Duracion],167)),INDEX(TblTareas[Horas],167)/INDEX(TblTareas[Duracion],167),""))</f>
      </c>
      <c r="L174" s="64" t="str">
        <f>IF($A174="","",IF(AND(INDEX(TblTareas[Activa],167)=1,L$7&gt;=INDEX(TblTareas[Semana],167),L$7&lt;INDEX(TblTareas[Semana],167)+INDEX(TblTareas[Duracion],167)),INDEX(TblTareas[Horas],167)/INDEX(TblTareas[Duracion],167),""))</f>
      </c>
      <c r="M174" s="64" t="str">
        <f>IF($A174="","",IF(AND(INDEX(TblTareas[Activa],167)=1,M$7&gt;=INDEX(TblTareas[Semana],167),M$7&lt;INDEX(TblTareas[Semana],167)+INDEX(TblTareas[Duracion],167)),INDEX(TblTareas[Horas],167)/INDEX(TblTareas[Duracion],167),""))</f>
      </c>
      <c r="N174" s="64" t="str">
        <f>IF($A174="","",IF(AND(INDEX(TblTareas[Activa],167)=1,N$7&gt;=INDEX(TblTareas[Semana],167),N$7&lt;INDEX(TblTareas[Semana],167)+INDEX(TblTareas[Duracion],167)),INDEX(TblTareas[Horas],167)/INDEX(TblTareas[Duracion],167),""))</f>
      </c>
      <c r="O174" s="64" t="str">
        <f>IF($A174="","",IF(AND(INDEX(TblTareas[Activa],167)=1,O$7&gt;=INDEX(TblTareas[Semana],167),O$7&lt;INDEX(TblTareas[Semana],167)+INDEX(TblTareas[Duracion],167)),INDEX(TblTareas[Horas],167)/INDEX(TblTareas[Duracion],167),""))</f>
      </c>
      <c r="P174" s="64" t="str">
        <f>IF($A174="","",IF(AND(INDEX(TblTareas[Activa],167)=1,P$7&gt;=INDEX(TblTareas[Semana],167),P$7&lt;INDEX(TblTareas[Semana],167)+INDEX(TblTareas[Duracion],167)),INDEX(TblTareas[Horas],167)/INDEX(TblTareas[Duracion],167),""))</f>
      </c>
      <c r="Q174" s="64" t="str">
        <f>IF($A174="","",IF(AND(INDEX(TblTareas[Activa],167)=1,Q$7&gt;=INDEX(TblTareas[Semana],167),Q$7&lt;INDEX(TblTareas[Semana],167)+INDEX(TblTareas[Duracion],167)),INDEX(TblTareas[Horas],167)/INDEX(TblTareas[Duracion],167),""))</f>
      </c>
      <c r="R174" s="64" t="str">
        <f>IF($A174="","",IF(AND(INDEX(TblTareas[Activa],167)=1,R$7&gt;=INDEX(TblTareas[Semana],167),R$7&lt;INDEX(TblTareas[Semana],167)+INDEX(TblTareas[Duracion],167)),INDEX(TblTareas[Horas],167)/INDEX(TblTareas[Duracion],167),""))</f>
      </c>
      <c r="S174" s="64" t="str">
        <f>IF($A174="","",IF(AND(INDEX(TblTareas[Activa],167)=1,S$7&gt;=INDEX(TblTareas[Semana],167),S$7&lt;INDEX(TblTareas[Semana],167)+INDEX(TblTareas[Duracion],167)),INDEX(TblTareas[Horas],167)/INDEX(TblTareas[Duracion],167),""))</f>
      </c>
      <c r="T174" s="64" t="str">
        <f>IF($A174="","",IF(AND(INDEX(TblTareas[Activa],167)=1,T$7&gt;=INDEX(TblTareas[Semana],167),T$7&lt;INDEX(TblTareas[Semana],167)+INDEX(TblTareas[Duracion],167)),INDEX(TblTareas[Horas],167)/INDEX(TblTareas[Duracion],167),""))</f>
      </c>
    </row>
    <row r="175" ht="34" customHeight="1">
      <c r="A175" s="62" t="str">
        <f>IFERROR(IF(INDEX(TblTareas[ID],168)="","",INDEX(TblTareas[ID],168)),"")</f>
      </c>
      <c r="B175" s="62" t="str">
        <f>IF($A175="","",IFERROR(INDEX(TblTareas[Responsable],168),""))</f>
      </c>
      <c r="C175" s="62" t="str">
        <f>IF($A175="","",IFERROR(INDEX(TblTareas[Trabajo],168),""))</f>
      </c>
      <c r="D175" s="62" t="str">
        <f>IF($A175="","",IFERROR(INDEX(TblTareas[Estado],168),""))</f>
      </c>
      <c r="E175" s="64" t="str">
        <f>IF($A175="","",IF(AND(INDEX(TblTareas[Activa],168)=1,E$7&gt;=INDEX(TblTareas[Semana],168),E$7&lt;INDEX(TblTareas[Semana],168)+INDEX(TblTareas[Duracion],168)),INDEX(TblTareas[Horas],168)/INDEX(TblTareas[Duracion],168),""))</f>
      </c>
      <c r="F175" s="64" t="str">
        <f>IF($A175="","",IF(AND(INDEX(TblTareas[Activa],168)=1,F$7&gt;=INDEX(TblTareas[Semana],168),F$7&lt;INDEX(TblTareas[Semana],168)+INDEX(TblTareas[Duracion],168)),INDEX(TblTareas[Horas],168)/INDEX(TblTareas[Duracion],168),""))</f>
      </c>
      <c r="G175" s="64" t="str">
        <f>IF($A175="","",IF(AND(INDEX(TblTareas[Activa],168)=1,G$7&gt;=INDEX(TblTareas[Semana],168),G$7&lt;INDEX(TblTareas[Semana],168)+INDEX(TblTareas[Duracion],168)),INDEX(TblTareas[Horas],168)/INDEX(TblTareas[Duracion],168),""))</f>
      </c>
      <c r="H175" s="64" t="str">
        <f>IF($A175="","",IF(AND(INDEX(TblTareas[Activa],168)=1,H$7&gt;=INDEX(TblTareas[Semana],168),H$7&lt;INDEX(TblTareas[Semana],168)+INDEX(TblTareas[Duracion],168)),INDEX(TblTareas[Horas],168)/INDEX(TblTareas[Duracion],168),""))</f>
      </c>
      <c r="I175" s="64" t="str">
        <f>IF($A175="","",IF(AND(INDEX(TblTareas[Activa],168)=1,I$7&gt;=INDEX(TblTareas[Semana],168),I$7&lt;INDEX(TblTareas[Semana],168)+INDEX(TblTareas[Duracion],168)),INDEX(TblTareas[Horas],168)/INDEX(TblTareas[Duracion],168),""))</f>
      </c>
      <c r="J175" s="64" t="str">
        <f>IF($A175="","",IF(AND(INDEX(TblTareas[Activa],168)=1,J$7&gt;=INDEX(TblTareas[Semana],168),J$7&lt;INDEX(TblTareas[Semana],168)+INDEX(TblTareas[Duracion],168)),INDEX(TblTareas[Horas],168)/INDEX(TblTareas[Duracion],168),""))</f>
      </c>
      <c r="K175" s="64" t="str">
        <f>IF($A175="","",IF(AND(INDEX(TblTareas[Activa],168)=1,K$7&gt;=INDEX(TblTareas[Semana],168),K$7&lt;INDEX(TblTareas[Semana],168)+INDEX(TblTareas[Duracion],168)),INDEX(TblTareas[Horas],168)/INDEX(TblTareas[Duracion],168),""))</f>
      </c>
      <c r="L175" s="64" t="str">
        <f>IF($A175="","",IF(AND(INDEX(TblTareas[Activa],168)=1,L$7&gt;=INDEX(TblTareas[Semana],168),L$7&lt;INDEX(TblTareas[Semana],168)+INDEX(TblTareas[Duracion],168)),INDEX(TblTareas[Horas],168)/INDEX(TblTareas[Duracion],168),""))</f>
      </c>
      <c r="M175" s="64" t="str">
        <f>IF($A175="","",IF(AND(INDEX(TblTareas[Activa],168)=1,M$7&gt;=INDEX(TblTareas[Semana],168),M$7&lt;INDEX(TblTareas[Semana],168)+INDEX(TblTareas[Duracion],168)),INDEX(TblTareas[Horas],168)/INDEX(TblTareas[Duracion],168),""))</f>
      </c>
      <c r="N175" s="64" t="str">
        <f>IF($A175="","",IF(AND(INDEX(TblTareas[Activa],168)=1,N$7&gt;=INDEX(TblTareas[Semana],168),N$7&lt;INDEX(TblTareas[Semana],168)+INDEX(TblTareas[Duracion],168)),INDEX(TblTareas[Horas],168)/INDEX(TblTareas[Duracion],168),""))</f>
      </c>
      <c r="O175" s="64" t="str">
        <f>IF($A175="","",IF(AND(INDEX(TblTareas[Activa],168)=1,O$7&gt;=INDEX(TblTareas[Semana],168),O$7&lt;INDEX(TblTareas[Semana],168)+INDEX(TblTareas[Duracion],168)),INDEX(TblTareas[Horas],168)/INDEX(TblTareas[Duracion],168),""))</f>
      </c>
      <c r="P175" s="64" t="str">
        <f>IF($A175="","",IF(AND(INDEX(TblTareas[Activa],168)=1,P$7&gt;=INDEX(TblTareas[Semana],168),P$7&lt;INDEX(TblTareas[Semana],168)+INDEX(TblTareas[Duracion],168)),INDEX(TblTareas[Horas],168)/INDEX(TblTareas[Duracion],168),""))</f>
      </c>
      <c r="Q175" s="64" t="str">
        <f>IF($A175="","",IF(AND(INDEX(TblTareas[Activa],168)=1,Q$7&gt;=INDEX(TblTareas[Semana],168),Q$7&lt;INDEX(TblTareas[Semana],168)+INDEX(TblTareas[Duracion],168)),INDEX(TblTareas[Horas],168)/INDEX(TblTareas[Duracion],168),""))</f>
      </c>
      <c r="R175" s="64" t="str">
        <f>IF($A175="","",IF(AND(INDEX(TblTareas[Activa],168)=1,R$7&gt;=INDEX(TblTareas[Semana],168),R$7&lt;INDEX(TblTareas[Semana],168)+INDEX(TblTareas[Duracion],168)),INDEX(TblTareas[Horas],168)/INDEX(TblTareas[Duracion],168),""))</f>
      </c>
      <c r="S175" s="64" t="str">
        <f>IF($A175="","",IF(AND(INDEX(TblTareas[Activa],168)=1,S$7&gt;=INDEX(TblTareas[Semana],168),S$7&lt;INDEX(TblTareas[Semana],168)+INDEX(TblTareas[Duracion],168)),INDEX(TblTareas[Horas],168)/INDEX(TblTareas[Duracion],168),""))</f>
      </c>
      <c r="T175" s="64" t="str">
        <f>IF($A175="","",IF(AND(INDEX(TblTareas[Activa],168)=1,T$7&gt;=INDEX(TblTareas[Semana],168),T$7&lt;INDEX(TblTareas[Semana],168)+INDEX(TblTareas[Duracion],168)),INDEX(TblTareas[Horas],168)/INDEX(TblTareas[Duracion],168),""))</f>
      </c>
    </row>
    <row r="176" ht="34" customHeight="1">
      <c r="A176" s="62" t="str">
        <f>IFERROR(IF(INDEX(TblTareas[ID],169)="","",INDEX(TblTareas[ID],169)),"")</f>
      </c>
      <c r="B176" s="62" t="str">
        <f>IF($A176="","",IFERROR(INDEX(TblTareas[Responsable],169),""))</f>
      </c>
      <c r="C176" s="62" t="str">
        <f>IF($A176="","",IFERROR(INDEX(TblTareas[Trabajo],169),""))</f>
      </c>
      <c r="D176" s="62" t="str">
        <f>IF($A176="","",IFERROR(INDEX(TblTareas[Estado],169),""))</f>
      </c>
      <c r="E176" s="64" t="str">
        <f>IF($A176="","",IF(AND(INDEX(TblTareas[Activa],169)=1,E$7&gt;=INDEX(TblTareas[Semana],169),E$7&lt;INDEX(TblTareas[Semana],169)+INDEX(TblTareas[Duracion],169)),INDEX(TblTareas[Horas],169)/INDEX(TblTareas[Duracion],169),""))</f>
      </c>
      <c r="F176" s="64" t="str">
        <f>IF($A176="","",IF(AND(INDEX(TblTareas[Activa],169)=1,F$7&gt;=INDEX(TblTareas[Semana],169),F$7&lt;INDEX(TblTareas[Semana],169)+INDEX(TblTareas[Duracion],169)),INDEX(TblTareas[Horas],169)/INDEX(TblTareas[Duracion],169),""))</f>
      </c>
      <c r="G176" s="64" t="str">
        <f>IF($A176="","",IF(AND(INDEX(TblTareas[Activa],169)=1,G$7&gt;=INDEX(TblTareas[Semana],169),G$7&lt;INDEX(TblTareas[Semana],169)+INDEX(TblTareas[Duracion],169)),INDEX(TblTareas[Horas],169)/INDEX(TblTareas[Duracion],169),""))</f>
      </c>
      <c r="H176" s="64" t="str">
        <f>IF($A176="","",IF(AND(INDEX(TblTareas[Activa],169)=1,H$7&gt;=INDEX(TblTareas[Semana],169),H$7&lt;INDEX(TblTareas[Semana],169)+INDEX(TblTareas[Duracion],169)),INDEX(TblTareas[Horas],169)/INDEX(TblTareas[Duracion],169),""))</f>
      </c>
      <c r="I176" s="64" t="str">
        <f>IF($A176="","",IF(AND(INDEX(TblTareas[Activa],169)=1,I$7&gt;=INDEX(TblTareas[Semana],169),I$7&lt;INDEX(TblTareas[Semana],169)+INDEX(TblTareas[Duracion],169)),INDEX(TblTareas[Horas],169)/INDEX(TblTareas[Duracion],169),""))</f>
      </c>
      <c r="J176" s="64" t="str">
        <f>IF($A176="","",IF(AND(INDEX(TblTareas[Activa],169)=1,J$7&gt;=INDEX(TblTareas[Semana],169),J$7&lt;INDEX(TblTareas[Semana],169)+INDEX(TblTareas[Duracion],169)),INDEX(TblTareas[Horas],169)/INDEX(TblTareas[Duracion],169),""))</f>
      </c>
      <c r="K176" s="64" t="str">
        <f>IF($A176="","",IF(AND(INDEX(TblTareas[Activa],169)=1,K$7&gt;=INDEX(TblTareas[Semana],169),K$7&lt;INDEX(TblTareas[Semana],169)+INDEX(TblTareas[Duracion],169)),INDEX(TblTareas[Horas],169)/INDEX(TblTareas[Duracion],169),""))</f>
      </c>
      <c r="L176" s="64" t="str">
        <f>IF($A176="","",IF(AND(INDEX(TblTareas[Activa],169)=1,L$7&gt;=INDEX(TblTareas[Semana],169),L$7&lt;INDEX(TblTareas[Semana],169)+INDEX(TblTareas[Duracion],169)),INDEX(TblTareas[Horas],169)/INDEX(TblTareas[Duracion],169),""))</f>
      </c>
      <c r="M176" s="64" t="str">
        <f>IF($A176="","",IF(AND(INDEX(TblTareas[Activa],169)=1,M$7&gt;=INDEX(TblTareas[Semana],169),M$7&lt;INDEX(TblTareas[Semana],169)+INDEX(TblTareas[Duracion],169)),INDEX(TblTareas[Horas],169)/INDEX(TblTareas[Duracion],169),""))</f>
      </c>
      <c r="N176" s="64" t="str">
        <f>IF($A176="","",IF(AND(INDEX(TblTareas[Activa],169)=1,N$7&gt;=INDEX(TblTareas[Semana],169),N$7&lt;INDEX(TblTareas[Semana],169)+INDEX(TblTareas[Duracion],169)),INDEX(TblTareas[Horas],169)/INDEX(TblTareas[Duracion],169),""))</f>
      </c>
      <c r="O176" s="64" t="str">
        <f>IF($A176="","",IF(AND(INDEX(TblTareas[Activa],169)=1,O$7&gt;=INDEX(TblTareas[Semana],169),O$7&lt;INDEX(TblTareas[Semana],169)+INDEX(TblTareas[Duracion],169)),INDEX(TblTareas[Horas],169)/INDEX(TblTareas[Duracion],169),""))</f>
      </c>
      <c r="P176" s="64" t="str">
        <f>IF($A176="","",IF(AND(INDEX(TblTareas[Activa],169)=1,P$7&gt;=INDEX(TblTareas[Semana],169),P$7&lt;INDEX(TblTareas[Semana],169)+INDEX(TblTareas[Duracion],169)),INDEX(TblTareas[Horas],169)/INDEX(TblTareas[Duracion],169),""))</f>
      </c>
      <c r="Q176" s="64" t="str">
        <f>IF($A176="","",IF(AND(INDEX(TblTareas[Activa],169)=1,Q$7&gt;=INDEX(TblTareas[Semana],169),Q$7&lt;INDEX(TblTareas[Semana],169)+INDEX(TblTareas[Duracion],169)),INDEX(TblTareas[Horas],169)/INDEX(TblTareas[Duracion],169),""))</f>
      </c>
      <c r="R176" s="64" t="str">
        <f>IF($A176="","",IF(AND(INDEX(TblTareas[Activa],169)=1,R$7&gt;=INDEX(TblTareas[Semana],169),R$7&lt;INDEX(TblTareas[Semana],169)+INDEX(TblTareas[Duracion],169)),INDEX(TblTareas[Horas],169)/INDEX(TblTareas[Duracion],169),""))</f>
      </c>
      <c r="S176" s="64" t="str">
        <f>IF($A176="","",IF(AND(INDEX(TblTareas[Activa],169)=1,S$7&gt;=INDEX(TblTareas[Semana],169),S$7&lt;INDEX(TblTareas[Semana],169)+INDEX(TblTareas[Duracion],169)),INDEX(TblTareas[Horas],169)/INDEX(TblTareas[Duracion],169),""))</f>
      </c>
      <c r="T176" s="64" t="str">
        <f>IF($A176="","",IF(AND(INDEX(TblTareas[Activa],169)=1,T$7&gt;=INDEX(TblTareas[Semana],169),T$7&lt;INDEX(TblTareas[Semana],169)+INDEX(TblTareas[Duracion],169)),INDEX(TblTareas[Horas],169)/INDEX(TblTareas[Duracion],169),""))</f>
      </c>
    </row>
    <row r="177" ht="34" customHeight="1">
      <c r="A177" s="62" t="str">
        <f>IFERROR(IF(INDEX(TblTareas[ID],170)="","",INDEX(TblTareas[ID],170)),"")</f>
      </c>
      <c r="B177" s="62" t="str">
        <f>IF($A177="","",IFERROR(INDEX(TblTareas[Responsable],170),""))</f>
      </c>
      <c r="C177" s="62" t="str">
        <f>IF($A177="","",IFERROR(INDEX(TblTareas[Trabajo],170),""))</f>
      </c>
      <c r="D177" s="62" t="str">
        <f>IF($A177="","",IFERROR(INDEX(TblTareas[Estado],170),""))</f>
      </c>
      <c r="E177" s="64" t="str">
        <f>IF($A177="","",IF(AND(INDEX(TblTareas[Activa],170)=1,E$7&gt;=INDEX(TblTareas[Semana],170),E$7&lt;INDEX(TblTareas[Semana],170)+INDEX(TblTareas[Duracion],170)),INDEX(TblTareas[Horas],170)/INDEX(TblTareas[Duracion],170),""))</f>
      </c>
      <c r="F177" s="64" t="str">
        <f>IF($A177="","",IF(AND(INDEX(TblTareas[Activa],170)=1,F$7&gt;=INDEX(TblTareas[Semana],170),F$7&lt;INDEX(TblTareas[Semana],170)+INDEX(TblTareas[Duracion],170)),INDEX(TblTareas[Horas],170)/INDEX(TblTareas[Duracion],170),""))</f>
      </c>
      <c r="G177" s="64" t="str">
        <f>IF($A177="","",IF(AND(INDEX(TblTareas[Activa],170)=1,G$7&gt;=INDEX(TblTareas[Semana],170),G$7&lt;INDEX(TblTareas[Semana],170)+INDEX(TblTareas[Duracion],170)),INDEX(TblTareas[Horas],170)/INDEX(TblTareas[Duracion],170),""))</f>
      </c>
      <c r="H177" s="64" t="str">
        <f>IF($A177="","",IF(AND(INDEX(TblTareas[Activa],170)=1,H$7&gt;=INDEX(TblTareas[Semana],170),H$7&lt;INDEX(TblTareas[Semana],170)+INDEX(TblTareas[Duracion],170)),INDEX(TblTareas[Horas],170)/INDEX(TblTareas[Duracion],170),""))</f>
      </c>
      <c r="I177" s="64" t="str">
        <f>IF($A177="","",IF(AND(INDEX(TblTareas[Activa],170)=1,I$7&gt;=INDEX(TblTareas[Semana],170),I$7&lt;INDEX(TblTareas[Semana],170)+INDEX(TblTareas[Duracion],170)),INDEX(TblTareas[Horas],170)/INDEX(TblTareas[Duracion],170),""))</f>
      </c>
      <c r="J177" s="64" t="str">
        <f>IF($A177="","",IF(AND(INDEX(TblTareas[Activa],170)=1,J$7&gt;=INDEX(TblTareas[Semana],170),J$7&lt;INDEX(TblTareas[Semana],170)+INDEX(TblTareas[Duracion],170)),INDEX(TblTareas[Horas],170)/INDEX(TblTareas[Duracion],170),""))</f>
      </c>
      <c r="K177" s="64" t="str">
        <f>IF($A177="","",IF(AND(INDEX(TblTareas[Activa],170)=1,K$7&gt;=INDEX(TblTareas[Semana],170),K$7&lt;INDEX(TblTareas[Semana],170)+INDEX(TblTareas[Duracion],170)),INDEX(TblTareas[Horas],170)/INDEX(TblTareas[Duracion],170),""))</f>
      </c>
      <c r="L177" s="64" t="str">
        <f>IF($A177="","",IF(AND(INDEX(TblTareas[Activa],170)=1,L$7&gt;=INDEX(TblTareas[Semana],170),L$7&lt;INDEX(TblTareas[Semana],170)+INDEX(TblTareas[Duracion],170)),INDEX(TblTareas[Horas],170)/INDEX(TblTareas[Duracion],170),""))</f>
      </c>
      <c r="M177" s="64" t="str">
        <f>IF($A177="","",IF(AND(INDEX(TblTareas[Activa],170)=1,M$7&gt;=INDEX(TblTareas[Semana],170),M$7&lt;INDEX(TblTareas[Semana],170)+INDEX(TblTareas[Duracion],170)),INDEX(TblTareas[Horas],170)/INDEX(TblTareas[Duracion],170),""))</f>
      </c>
      <c r="N177" s="64" t="str">
        <f>IF($A177="","",IF(AND(INDEX(TblTareas[Activa],170)=1,N$7&gt;=INDEX(TblTareas[Semana],170),N$7&lt;INDEX(TblTareas[Semana],170)+INDEX(TblTareas[Duracion],170)),INDEX(TblTareas[Horas],170)/INDEX(TblTareas[Duracion],170),""))</f>
      </c>
      <c r="O177" s="64" t="str">
        <f>IF($A177="","",IF(AND(INDEX(TblTareas[Activa],170)=1,O$7&gt;=INDEX(TblTareas[Semana],170),O$7&lt;INDEX(TblTareas[Semana],170)+INDEX(TblTareas[Duracion],170)),INDEX(TblTareas[Horas],170)/INDEX(TblTareas[Duracion],170),""))</f>
      </c>
      <c r="P177" s="64" t="str">
        <f>IF($A177="","",IF(AND(INDEX(TblTareas[Activa],170)=1,P$7&gt;=INDEX(TblTareas[Semana],170),P$7&lt;INDEX(TblTareas[Semana],170)+INDEX(TblTareas[Duracion],170)),INDEX(TblTareas[Horas],170)/INDEX(TblTareas[Duracion],170),""))</f>
      </c>
      <c r="Q177" s="64" t="str">
        <f>IF($A177="","",IF(AND(INDEX(TblTareas[Activa],170)=1,Q$7&gt;=INDEX(TblTareas[Semana],170),Q$7&lt;INDEX(TblTareas[Semana],170)+INDEX(TblTareas[Duracion],170)),INDEX(TblTareas[Horas],170)/INDEX(TblTareas[Duracion],170),""))</f>
      </c>
      <c r="R177" s="64" t="str">
        <f>IF($A177="","",IF(AND(INDEX(TblTareas[Activa],170)=1,R$7&gt;=INDEX(TblTareas[Semana],170),R$7&lt;INDEX(TblTareas[Semana],170)+INDEX(TblTareas[Duracion],170)),INDEX(TblTareas[Horas],170)/INDEX(TblTareas[Duracion],170),""))</f>
      </c>
      <c r="S177" s="64" t="str">
        <f>IF($A177="","",IF(AND(INDEX(TblTareas[Activa],170)=1,S$7&gt;=INDEX(TblTareas[Semana],170),S$7&lt;INDEX(TblTareas[Semana],170)+INDEX(TblTareas[Duracion],170)),INDEX(TblTareas[Horas],170)/INDEX(TblTareas[Duracion],170),""))</f>
      </c>
      <c r="T177" s="64" t="str">
        <f>IF($A177="","",IF(AND(INDEX(TblTareas[Activa],170)=1,T$7&gt;=INDEX(TblTareas[Semana],170),T$7&lt;INDEX(TblTareas[Semana],170)+INDEX(TblTareas[Duracion],170)),INDEX(TblTareas[Horas],170)/INDEX(TblTareas[Duracion],170),""))</f>
      </c>
    </row>
    <row r="178" ht="34" customHeight="1">
      <c r="A178" s="62" t="str">
        <f>IFERROR(IF(INDEX(TblTareas[ID],171)="","",INDEX(TblTareas[ID],171)),"")</f>
      </c>
      <c r="B178" s="62" t="str">
        <f>IF($A178="","",IFERROR(INDEX(TblTareas[Responsable],171),""))</f>
      </c>
      <c r="C178" s="62" t="str">
        <f>IF($A178="","",IFERROR(INDEX(TblTareas[Trabajo],171),""))</f>
      </c>
      <c r="D178" s="62" t="str">
        <f>IF($A178="","",IFERROR(INDEX(TblTareas[Estado],171),""))</f>
      </c>
      <c r="E178" s="64" t="str">
        <f>IF($A178="","",IF(AND(INDEX(TblTareas[Activa],171)=1,E$7&gt;=INDEX(TblTareas[Semana],171),E$7&lt;INDEX(TblTareas[Semana],171)+INDEX(TblTareas[Duracion],171)),INDEX(TblTareas[Horas],171)/INDEX(TblTareas[Duracion],171),""))</f>
      </c>
      <c r="F178" s="64" t="str">
        <f>IF($A178="","",IF(AND(INDEX(TblTareas[Activa],171)=1,F$7&gt;=INDEX(TblTareas[Semana],171),F$7&lt;INDEX(TblTareas[Semana],171)+INDEX(TblTareas[Duracion],171)),INDEX(TblTareas[Horas],171)/INDEX(TblTareas[Duracion],171),""))</f>
      </c>
      <c r="G178" s="64" t="str">
        <f>IF($A178="","",IF(AND(INDEX(TblTareas[Activa],171)=1,G$7&gt;=INDEX(TblTareas[Semana],171),G$7&lt;INDEX(TblTareas[Semana],171)+INDEX(TblTareas[Duracion],171)),INDEX(TblTareas[Horas],171)/INDEX(TblTareas[Duracion],171),""))</f>
      </c>
      <c r="H178" s="64" t="str">
        <f>IF($A178="","",IF(AND(INDEX(TblTareas[Activa],171)=1,H$7&gt;=INDEX(TblTareas[Semana],171),H$7&lt;INDEX(TblTareas[Semana],171)+INDEX(TblTareas[Duracion],171)),INDEX(TblTareas[Horas],171)/INDEX(TblTareas[Duracion],171),""))</f>
      </c>
      <c r="I178" s="64" t="str">
        <f>IF($A178="","",IF(AND(INDEX(TblTareas[Activa],171)=1,I$7&gt;=INDEX(TblTareas[Semana],171),I$7&lt;INDEX(TblTareas[Semana],171)+INDEX(TblTareas[Duracion],171)),INDEX(TblTareas[Horas],171)/INDEX(TblTareas[Duracion],171),""))</f>
      </c>
      <c r="J178" s="64" t="str">
        <f>IF($A178="","",IF(AND(INDEX(TblTareas[Activa],171)=1,J$7&gt;=INDEX(TblTareas[Semana],171),J$7&lt;INDEX(TblTareas[Semana],171)+INDEX(TblTareas[Duracion],171)),INDEX(TblTareas[Horas],171)/INDEX(TblTareas[Duracion],171),""))</f>
      </c>
      <c r="K178" s="64" t="str">
        <f>IF($A178="","",IF(AND(INDEX(TblTareas[Activa],171)=1,K$7&gt;=INDEX(TblTareas[Semana],171),K$7&lt;INDEX(TblTareas[Semana],171)+INDEX(TblTareas[Duracion],171)),INDEX(TblTareas[Horas],171)/INDEX(TblTareas[Duracion],171),""))</f>
      </c>
      <c r="L178" s="64" t="str">
        <f>IF($A178="","",IF(AND(INDEX(TblTareas[Activa],171)=1,L$7&gt;=INDEX(TblTareas[Semana],171),L$7&lt;INDEX(TblTareas[Semana],171)+INDEX(TblTareas[Duracion],171)),INDEX(TblTareas[Horas],171)/INDEX(TblTareas[Duracion],171),""))</f>
      </c>
      <c r="M178" s="64" t="str">
        <f>IF($A178="","",IF(AND(INDEX(TblTareas[Activa],171)=1,M$7&gt;=INDEX(TblTareas[Semana],171),M$7&lt;INDEX(TblTareas[Semana],171)+INDEX(TblTareas[Duracion],171)),INDEX(TblTareas[Horas],171)/INDEX(TblTareas[Duracion],171),""))</f>
      </c>
      <c r="N178" s="64" t="str">
        <f>IF($A178="","",IF(AND(INDEX(TblTareas[Activa],171)=1,N$7&gt;=INDEX(TblTareas[Semana],171),N$7&lt;INDEX(TblTareas[Semana],171)+INDEX(TblTareas[Duracion],171)),INDEX(TblTareas[Horas],171)/INDEX(TblTareas[Duracion],171),""))</f>
      </c>
      <c r="O178" s="64" t="str">
        <f>IF($A178="","",IF(AND(INDEX(TblTareas[Activa],171)=1,O$7&gt;=INDEX(TblTareas[Semana],171),O$7&lt;INDEX(TblTareas[Semana],171)+INDEX(TblTareas[Duracion],171)),INDEX(TblTareas[Horas],171)/INDEX(TblTareas[Duracion],171),""))</f>
      </c>
      <c r="P178" s="64" t="str">
        <f>IF($A178="","",IF(AND(INDEX(TblTareas[Activa],171)=1,P$7&gt;=INDEX(TblTareas[Semana],171),P$7&lt;INDEX(TblTareas[Semana],171)+INDEX(TblTareas[Duracion],171)),INDEX(TblTareas[Horas],171)/INDEX(TblTareas[Duracion],171),""))</f>
      </c>
      <c r="Q178" s="64" t="str">
        <f>IF($A178="","",IF(AND(INDEX(TblTareas[Activa],171)=1,Q$7&gt;=INDEX(TblTareas[Semana],171),Q$7&lt;INDEX(TblTareas[Semana],171)+INDEX(TblTareas[Duracion],171)),INDEX(TblTareas[Horas],171)/INDEX(TblTareas[Duracion],171),""))</f>
      </c>
      <c r="R178" s="64" t="str">
        <f>IF($A178="","",IF(AND(INDEX(TblTareas[Activa],171)=1,R$7&gt;=INDEX(TblTareas[Semana],171),R$7&lt;INDEX(TblTareas[Semana],171)+INDEX(TblTareas[Duracion],171)),INDEX(TblTareas[Horas],171)/INDEX(TblTareas[Duracion],171),""))</f>
      </c>
      <c r="S178" s="64" t="str">
        <f>IF($A178="","",IF(AND(INDEX(TblTareas[Activa],171)=1,S$7&gt;=INDEX(TblTareas[Semana],171),S$7&lt;INDEX(TblTareas[Semana],171)+INDEX(TblTareas[Duracion],171)),INDEX(TblTareas[Horas],171)/INDEX(TblTareas[Duracion],171),""))</f>
      </c>
      <c r="T178" s="64" t="str">
        <f>IF($A178="","",IF(AND(INDEX(TblTareas[Activa],171)=1,T$7&gt;=INDEX(TblTareas[Semana],171),T$7&lt;INDEX(TblTareas[Semana],171)+INDEX(TblTareas[Duracion],171)),INDEX(TblTareas[Horas],171)/INDEX(TblTareas[Duracion],171),""))</f>
      </c>
    </row>
    <row r="179" ht="34" customHeight="1">
      <c r="A179" s="62" t="str">
        <f>IFERROR(IF(INDEX(TblTareas[ID],172)="","",INDEX(TblTareas[ID],172)),"")</f>
      </c>
      <c r="B179" s="62" t="str">
        <f>IF($A179="","",IFERROR(INDEX(TblTareas[Responsable],172),""))</f>
      </c>
      <c r="C179" s="62" t="str">
        <f>IF($A179="","",IFERROR(INDEX(TblTareas[Trabajo],172),""))</f>
      </c>
      <c r="D179" s="62" t="str">
        <f>IF($A179="","",IFERROR(INDEX(TblTareas[Estado],172),""))</f>
      </c>
      <c r="E179" s="64" t="str">
        <f>IF($A179="","",IF(AND(INDEX(TblTareas[Activa],172)=1,E$7&gt;=INDEX(TblTareas[Semana],172),E$7&lt;INDEX(TblTareas[Semana],172)+INDEX(TblTareas[Duracion],172)),INDEX(TblTareas[Horas],172)/INDEX(TblTareas[Duracion],172),""))</f>
      </c>
      <c r="F179" s="64" t="str">
        <f>IF($A179="","",IF(AND(INDEX(TblTareas[Activa],172)=1,F$7&gt;=INDEX(TblTareas[Semana],172),F$7&lt;INDEX(TblTareas[Semana],172)+INDEX(TblTareas[Duracion],172)),INDEX(TblTareas[Horas],172)/INDEX(TblTareas[Duracion],172),""))</f>
      </c>
      <c r="G179" s="64" t="str">
        <f>IF($A179="","",IF(AND(INDEX(TblTareas[Activa],172)=1,G$7&gt;=INDEX(TblTareas[Semana],172),G$7&lt;INDEX(TblTareas[Semana],172)+INDEX(TblTareas[Duracion],172)),INDEX(TblTareas[Horas],172)/INDEX(TblTareas[Duracion],172),""))</f>
      </c>
      <c r="H179" s="64" t="str">
        <f>IF($A179="","",IF(AND(INDEX(TblTareas[Activa],172)=1,H$7&gt;=INDEX(TblTareas[Semana],172),H$7&lt;INDEX(TblTareas[Semana],172)+INDEX(TblTareas[Duracion],172)),INDEX(TblTareas[Horas],172)/INDEX(TblTareas[Duracion],172),""))</f>
      </c>
      <c r="I179" s="64" t="str">
        <f>IF($A179="","",IF(AND(INDEX(TblTareas[Activa],172)=1,I$7&gt;=INDEX(TblTareas[Semana],172),I$7&lt;INDEX(TblTareas[Semana],172)+INDEX(TblTareas[Duracion],172)),INDEX(TblTareas[Horas],172)/INDEX(TblTareas[Duracion],172),""))</f>
      </c>
      <c r="J179" s="64" t="str">
        <f>IF($A179="","",IF(AND(INDEX(TblTareas[Activa],172)=1,J$7&gt;=INDEX(TblTareas[Semana],172),J$7&lt;INDEX(TblTareas[Semana],172)+INDEX(TblTareas[Duracion],172)),INDEX(TblTareas[Horas],172)/INDEX(TblTareas[Duracion],172),""))</f>
      </c>
      <c r="K179" s="64" t="str">
        <f>IF($A179="","",IF(AND(INDEX(TblTareas[Activa],172)=1,K$7&gt;=INDEX(TblTareas[Semana],172),K$7&lt;INDEX(TblTareas[Semana],172)+INDEX(TblTareas[Duracion],172)),INDEX(TblTareas[Horas],172)/INDEX(TblTareas[Duracion],172),""))</f>
      </c>
      <c r="L179" s="64" t="str">
        <f>IF($A179="","",IF(AND(INDEX(TblTareas[Activa],172)=1,L$7&gt;=INDEX(TblTareas[Semana],172),L$7&lt;INDEX(TblTareas[Semana],172)+INDEX(TblTareas[Duracion],172)),INDEX(TblTareas[Horas],172)/INDEX(TblTareas[Duracion],172),""))</f>
      </c>
      <c r="M179" s="64" t="str">
        <f>IF($A179="","",IF(AND(INDEX(TblTareas[Activa],172)=1,M$7&gt;=INDEX(TblTareas[Semana],172),M$7&lt;INDEX(TblTareas[Semana],172)+INDEX(TblTareas[Duracion],172)),INDEX(TblTareas[Horas],172)/INDEX(TblTareas[Duracion],172),""))</f>
      </c>
      <c r="N179" s="64" t="str">
        <f>IF($A179="","",IF(AND(INDEX(TblTareas[Activa],172)=1,N$7&gt;=INDEX(TblTareas[Semana],172),N$7&lt;INDEX(TblTareas[Semana],172)+INDEX(TblTareas[Duracion],172)),INDEX(TblTareas[Horas],172)/INDEX(TblTareas[Duracion],172),""))</f>
      </c>
      <c r="O179" s="64" t="str">
        <f>IF($A179="","",IF(AND(INDEX(TblTareas[Activa],172)=1,O$7&gt;=INDEX(TblTareas[Semana],172),O$7&lt;INDEX(TblTareas[Semana],172)+INDEX(TblTareas[Duracion],172)),INDEX(TblTareas[Horas],172)/INDEX(TblTareas[Duracion],172),""))</f>
      </c>
      <c r="P179" s="64" t="str">
        <f>IF($A179="","",IF(AND(INDEX(TblTareas[Activa],172)=1,P$7&gt;=INDEX(TblTareas[Semana],172),P$7&lt;INDEX(TblTareas[Semana],172)+INDEX(TblTareas[Duracion],172)),INDEX(TblTareas[Horas],172)/INDEX(TblTareas[Duracion],172),""))</f>
      </c>
      <c r="Q179" s="64" t="str">
        <f>IF($A179="","",IF(AND(INDEX(TblTareas[Activa],172)=1,Q$7&gt;=INDEX(TblTareas[Semana],172),Q$7&lt;INDEX(TblTareas[Semana],172)+INDEX(TblTareas[Duracion],172)),INDEX(TblTareas[Horas],172)/INDEX(TblTareas[Duracion],172),""))</f>
      </c>
      <c r="R179" s="64" t="str">
        <f>IF($A179="","",IF(AND(INDEX(TblTareas[Activa],172)=1,R$7&gt;=INDEX(TblTareas[Semana],172),R$7&lt;INDEX(TblTareas[Semana],172)+INDEX(TblTareas[Duracion],172)),INDEX(TblTareas[Horas],172)/INDEX(TblTareas[Duracion],172),""))</f>
      </c>
      <c r="S179" s="64" t="str">
        <f>IF($A179="","",IF(AND(INDEX(TblTareas[Activa],172)=1,S$7&gt;=INDEX(TblTareas[Semana],172),S$7&lt;INDEX(TblTareas[Semana],172)+INDEX(TblTareas[Duracion],172)),INDEX(TblTareas[Horas],172)/INDEX(TblTareas[Duracion],172),""))</f>
      </c>
      <c r="T179" s="64" t="str">
        <f>IF($A179="","",IF(AND(INDEX(TblTareas[Activa],172)=1,T$7&gt;=INDEX(TblTareas[Semana],172),T$7&lt;INDEX(TblTareas[Semana],172)+INDEX(TblTareas[Duracion],172)),INDEX(TblTareas[Horas],172)/INDEX(TblTareas[Duracion],172),""))</f>
      </c>
    </row>
    <row r="180" ht="34" customHeight="1">
      <c r="A180" s="62" t="str">
        <f>IFERROR(IF(INDEX(TblTareas[ID],173)="","",INDEX(TblTareas[ID],173)),"")</f>
      </c>
      <c r="B180" s="62" t="str">
        <f>IF($A180="","",IFERROR(INDEX(TblTareas[Responsable],173),""))</f>
      </c>
      <c r="C180" s="62" t="str">
        <f>IF($A180="","",IFERROR(INDEX(TblTareas[Trabajo],173),""))</f>
      </c>
      <c r="D180" s="62" t="str">
        <f>IF($A180="","",IFERROR(INDEX(TblTareas[Estado],173),""))</f>
      </c>
      <c r="E180" s="64" t="str">
        <f>IF($A180="","",IF(AND(INDEX(TblTareas[Activa],173)=1,E$7&gt;=INDEX(TblTareas[Semana],173),E$7&lt;INDEX(TblTareas[Semana],173)+INDEX(TblTareas[Duracion],173)),INDEX(TblTareas[Horas],173)/INDEX(TblTareas[Duracion],173),""))</f>
      </c>
      <c r="F180" s="64" t="str">
        <f>IF($A180="","",IF(AND(INDEX(TblTareas[Activa],173)=1,F$7&gt;=INDEX(TblTareas[Semana],173),F$7&lt;INDEX(TblTareas[Semana],173)+INDEX(TblTareas[Duracion],173)),INDEX(TblTareas[Horas],173)/INDEX(TblTareas[Duracion],173),""))</f>
      </c>
      <c r="G180" s="64" t="str">
        <f>IF($A180="","",IF(AND(INDEX(TblTareas[Activa],173)=1,G$7&gt;=INDEX(TblTareas[Semana],173),G$7&lt;INDEX(TblTareas[Semana],173)+INDEX(TblTareas[Duracion],173)),INDEX(TblTareas[Horas],173)/INDEX(TblTareas[Duracion],173),""))</f>
      </c>
      <c r="H180" s="64" t="str">
        <f>IF($A180="","",IF(AND(INDEX(TblTareas[Activa],173)=1,H$7&gt;=INDEX(TblTareas[Semana],173),H$7&lt;INDEX(TblTareas[Semana],173)+INDEX(TblTareas[Duracion],173)),INDEX(TblTareas[Horas],173)/INDEX(TblTareas[Duracion],173),""))</f>
      </c>
      <c r="I180" s="64" t="str">
        <f>IF($A180="","",IF(AND(INDEX(TblTareas[Activa],173)=1,I$7&gt;=INDEX(TblTareas[Semana],173),I$7&lt;INDEX(TblTareas[Semana],173)+INDEX(TblTareas[Duracion],173)),INDEX(TblTareas[Horas],173)/INDEX(TblTareas[Duracion],173),""))</f>
      </c>
      <c r="J180" s="64" t="str">
        <f>IF($A180="","",IF(AND(INDEX(TblTareas[Activa],173)=1,J$7&gt;=INDEX(TblTareas[Semana],173),J$7&lt;INDEX(TblTareas[Semana],173)+INDEX(TblTareas[Duracion],173)),INDEX(TblTareas[Horas],173)/INDEX(TblTareas[Duracion],173),""))</f>
      </c>
      <c r="K180" s="64" t="str">
        <f>IF($A180="","",IF(AND(INDEX(TblTareas[Activa],173)=1,K$7&gt;=INDEX(TblTareas[Semana],173),K$7&lt;INDEX(TblTareas[Semana],173)+INDEX(TblTareas[Duracion],173)),INDEX(TblTareas[Horas],173)/INDEX(TblTareas[Duracion],173),""))</f>
      </c>
      <c r="L180" s="64" t="str">
        <f>IF($A180="","",IF(AND(INDEX(TblTareas[Activa],173)=1,L$7&gt;=INDEX(TblTareas[Semana],173),L$7&lt;INDEX(TblTareas[Semana],173)+INDEX(TblTareas[Duracion],173)),INDEX(TblTareas[Horas],173)/INDEX(TblTareas[Duracion],173),""))</f>
      </c>
      <c r="M180" s="64" t="str">
        <f>IF($A180="","",IF(AND(INDEX(TblTareas[Activa],173)=1,M$7&gt;=INDEX(TblTareas[Semana],173),M$7&lt;INDEX(TblTareas[Semana],173)+INDEX(TblTareas[Duracion],173)),INDEX(TblTareas[Horas],173)/INDEX(TblTareas[Duracion],173),""))</f>
      </c>
      <c r="N180" s="64" t="str">
        <f>IF($A180="","",IF(AND(INDEX(TblTareas[Activa],173)=1,N$7&gt;=INDEX(TblTareas[Semana],173),N$7&lt;INDEX(TblTareas[Semana],173)+INDEX(TblTareas[Duracion],173)),INDEX(TblTareas[Horas],173)/INDEX(TblTareas[Duracion],173),""))</f>
      </c>
      <c r="O180" s="64" t="str">
        <f>IF($A180="","",IF(AND(INDEX(TblTareas[Activa],173)=1,O$7&gt;=INDEX(TblTareas[Semana],173),O$7&lt;INDEX(TblTareas[Semana],173)+INDEX(TblTareas[Duracion],173)),INDEX(TblTareas[Horas],173)/INDEX(TblTareas[Duracion],173),""))</f>
      </c>
      <c r="P180" s="64" t="str">
        <f>IF($A180="","",IF(AND(INDEX(TblTareas[Activa],173)=1,P$7&gt;=INDEX(TblTareas[Semana],173),P$7&lt;INDEX(TblTareas[Semana],173)+INDEX(TblTareas[Duracion],173)),INDEX(TblTareas[Horas],173)/INDEX(TblTareas[Duracion],173),""))</f>
      </c>
      <c r="Q180" s="64" t="str">
        <f>IF($A180="","",IF(AND(INDEX(TblTareas[Activa],173)=1,Q$7&gt;=INDEX(TblTareas[Semana],173),Q$7&lt;INDEX(TblTareas[Semana],173)+INDEX(TblTareas[Duracion],173)),INDEX(TblTareas[Horas],173)/INDEX(TblTareas[Duracion],173),""))</f>
      </c>
      <c r="R180" s="64" t="str">
        <f>IF($A180="","",IF(AND(INDEX(TblTareas[Activa],173)=1,R$7&gt;=INDEX(TblTareas[Semana],173),R$7&lt;INDEX(TblTareas[Semana],173)+INDEX(TblTareas[Duracion],173)),INDEX(TblTareas[Horas],173)/INDEX(TblTareas[Duracion],173),""))</f>
      </c>
      <c r="S180" s="64" t="str">
        <f>IF($A180="","",IF(AND(INDEX(TblTareas[Activa],173)=1,S$7&gt;=INDEX(TblTareas[Semana],173),S$7&lt;INDEX(TblTareas[Semana],173)+INDEX(TblTareas[Duracion],173)),INDEX(TblTareas[Horas],173)/INDEX(TblTareas[Duracion],173),""))</f>
      </c>
      <c r="T180" s="64" t="str">
        <f>IF($A180="","",IF(AND(INDEX(TblTareas[Activa],173)=1,T$7&gt;=INDEX(TblTareas[Semana],173),T$7&lt;INDEX(TblTareas[Semana],173)+INDEX(TblTareas[Duracion],173)),INDEX(TblTareas[Horas],173)/INDEX(TblTareas[Duracion],173),""))</f>
      </c>
    </row>
    <row r="181" ht="34" customHeight="1">
      <c r="A181" s="62" t="str">
        <f>IFERROR(IF(INDEX(TblTareas[ID],174)="","",INDEX(TblTareas[ID],174)),"")</f>
      </c>
      <c r="B181" s="62" t="str">
        <f>IF($A181="","",IFERROR(INDEX(TblTareas[Responsable],174),""))</f>
      </c>
      <c r="C181" s="62" t="str">
        <f>IF($A181="","",IFERROR(INDEX(TblTareas[Trabajo],174),""))</f>
      </c>
      <c r="D181" s="62" t="str">
        <f>IF($A181="","",IFERROR(INDEX(TblTareas[Estado],174),""))</f>
      </c>
      <c r="E181" s="64" t="str">
        <f>IF($A181="","",IF(AND(INDEX(TblTareas[Activa],174)=1,E$7&gt;=INDEX(TblTareas[Semana],174),E$7&lt;INDEX(TblTareas[Semana],174)+INDEX(TblTareas[Duracion],174)),INDEX(TblTareas[Horas],174)/INDEX(TblTareas[Duracion],174),""))</f>
      </c>
      <c r="F181" s="64" t="str">
        <f>IF($A181="","",IF(AND(INDEX(TblTareas[Activa],174)=1,F$7&gt;=INDEX(TblTareas[Semana],174),F$7&lt;INDEX(TblTareas[Semana],174)+INDEX(TblTareas[Duracion],174)),INDEX(TblTareas[Horas],174)/INDEX(TblTareas[Duracion],174),""))</f>
      </c>
      <c r="G181" s="64" t="str">
        <f>IF($A181="","",IF(AND(INDEX(TblTareas[Activa],174)=1,G$7&gt;=INDEX(TblTareas[Semana],174),G$7&lt;INDEX(TblTareas[Semana],174)+INDEX(TblTareas[Duracion],174)),INDEX(TblTareas[Horas],174)/INDEX(TblTareas[Duracion],174),""))</f>
      </c>
      <c r="H181" s="64" t="str">
        <f>IF($A181="","",IF(AND(INDEX(TblTareas[Activa],174)=1,H$7&gt;=INDEX(TblTareas[Semana],174),H$7&lt;INDEX(TblTareas[Semana],174)+INDEX(TblTareas[Duracion],174)),INDEX(TblTareas[Horas],174)/INDEX(TblTareas[Duracion],174),""))</f>
      </c>
      <c r="I181" s="64" t="str">
        <f>IF($A181="","",IF(AND(INDEX(TblTareas[Activa],174)=1,I$7&gt;=INDEX(TblTareas[Semana],174),I$7&lt;INDEX(TblTareas[Semana],174)+INDEX(TblTareas[Duracion],174)),INDEX(TblTareas[Horas],174)/INDEX(TblTareas[Duracion],174),""))</f>
      </c>
      <c r="J181" s="64" t="str">
        <f>IF($A181="","",IF(AND(INDEX(TblTareas[Activa],174)=1,J$7&gt;=INDEX(TblTareas[Semana],174),J$7&lt;INDEX(TblTareas[Semana],174)+INDEX(TblTareas[Duracion],174)),INDEX(TblTareas[Horas],174)/INDEX(TblTareas[Duracion],174),""))</f>
      </c>
      <c r="K181" s="64" t="str">
        <f>IF($A181="","",IF(AND(INDEX(TblTareas[Activa],174)=1,K$7&gt;=INDEX(TblTareas[Semana],174),K$7&lt;INDEX(TblTareas[Semana],174)+INDEX(TblTareas[Duracion],174)),INDEX(TblTareas[Horas],174)/INDEX(TblTareas[Duracion],174),""))</f>
      </c>
      <c r="L181" s="64" t="str">
        <f>IF($A181="","",IF(AND(INDEX(TblTareas[Activa],174)=1,L$7&gt;=INDEX(TblTareas[Semana],174),L$7&lt;INDEX(TblTareas[Semana],174)+INDEX(TblTareas[Duracion],174)),INDEX(TblTareas[Horas],174)/INDEX(TblTareas[Duracion],174),""))</f>
      </c>
      <c r="M181" s="64" t="str">
        <f>IF($A181="","",IF(AND(INDEX(TblTareas[Activa],174)=1,M$7&gt;=INDEX(TblTareas[Semana],174),M$7&lt;INDEX(TblTareas[Semana],174)+INDEX(TblTareas[Duracion],174)),INDEX(TblTareas[Horas],174)/INDEX(TblTareas[Duracion],174),""))</f>
      </c>
      <c r="N181" s="64" t="str">
        <f>IF($A181="","",IF(AND(INDEX(TblTareas[Activa],174)=1,N$7&gt;=INDEX(TblTareas[Semana],174),N$7&lt;INDEX(TblTareas[Semana],174)+INDEX(TblTareas[Duracion],174)),INDEX(TblTareas[Horas],174)/INDEX(TblTareas[Duracion],174),""))</f>
      </c>
      <c r="O181" s="64" t="str">
        <f>IF($A181="","",IF(AND(INDEX(TblTareas[Activa],174)=1,O$7&gt;=INDEX(TblTareas[Semana],174),O$7&lt;INDEX(TblTareas[Semana],174)+INDEX(TblTareas[Duracion],174)),INDEX(TblTareas[Horas],174)/INDEX(TblTareas[Duracion],174),""))</f>
      </c>
      <c r="P181" s="64" t="str">
        <f>IF($A181="","",IF(AND(INDEX(TblTareas[Activa],174)=1,P$7&gt;=INDEX(TblTareas[Semana],174),P$7&lt;INDEX(TblTareas[Semana],174)+INDEX(TblTareas[Duracion],174)),INDEX(TblTareas[Horas],174)/INDEX(TblTareas[Duracion],174),""))</f>
      </c>
      <c r="Q181" s="64" t="str">
        <f>IF($A181="","",IF(AND(INDEX(TblTareas[Activa],174)=1,Q$7&gt;=INDEX(TblTareas[Semana],174),Q$7&lt;INDEX(TblTareas[Semana],174)+INDEX(TblTareas[Duracion],174)),INDEX(TblTareas[Horas],174)/INDEX(TblTareas[Duracion],174),""))</f>
      </c>
      <c r="R181" s="64" t="str">
        <f>IF($A181="","",IF(AND(INDEX(TblTareas[Activa],174)=1,R$7&gt;=INDEX(TblTareas[Semana],174),R$7&lt;INDEX(TblTareas[Semana],174)+INDEX(TblTareas[Duracion],174)),INDEX(TblTareas[Horas],174)/INDEX(TblTareas[Duracion],174),""))</f>
      </c>
      <c r="S181" s="64" t="str">
        <f>IF($A181="","",IF(AND(INDEX(TblTareas[Activa],174)=1,S$7&gt;=INDEX(TblTareas[Semana],174),S$7&lt;INDEX(TblTareas[Semana],174)+INDEX(TblTareas[Duracion],174)),INDEX(TblTareas[Horas],174)/INDEX(TblTareas[Duracion],174),""))</f>
      </c>
      <c r="T181" s="64" t="str">
        <f>IF($A181="","",IF(AND(INDEX(TblTareas[Activa],174)=1,T$7&gt;=INDEX(TblTareas[Semana],174),T$7&lt;INDEX(TblTareas[Semana],174)+INDEX(TblTareas[Duracion],174)),INDEX(TblTareas[Horas],174)/INDEX(TblTareas[Duracion],174),""))</f>
      </c>
    </row>
    <row r="182" ht="34" customHeight="1">
      <c r="A182" s="62" t="str">
        <f>IFERROR(IF(INDEX(TblTareas[ID],175)="","",INDEX(TblTareas[ID],175)),"")</f>
      </c>
      <c r="B182" s="62" t="str">
        <f>IF($A182="","",IFERROR(INDEX(TblTareas[Responsable],175),""))</f>
      </c>
      <c r="C182" s="62" t="str">
        <f>IF($A182="","",IFERROR(INDEX(TblTareas[Trabajo],175),""))</f>
      </c>
      <c r="D182" s="62" t="str">
        <f>IF($A182="","",IFERROR(INDEX(TblTareas[Estado],175),""))</f>
      </c>
      <c r="E182" s="64" t="str">
        <f>IF($A182="","",IF(AND(INDEX(TblTareas[Activa],175)=1,E$7&gt;=INDEX(TblTareas[Semana],175),E$7&lt;INDEX(TblTareas[Semana],175)+INDEX(TblTareas[Duracion],175)),INDEX(TblTareas[Horas],175)/INDEX(TblTareas[Duracion],175),""))</f>
      </c>
      <c r="F182" s="64" t="str">
        <f>IF($A182="","",IF(AND(INDEX(TblTareas[Activa],175)=1,F$7&gt;=INDEX(TblTareas[Semana],175),F$7&lt;INDEX(TblTareas[Semana],175)+INDEX(TblTareas[Duracion],175)),INDEX(TblTareas[Horas],175)/INDEX(TblTareas[Duracion],175),""))</f>
      </c>
      <c r="G182" s="64" t="str">
        <f>IF($A182="","",IF(AND(INDEX(TblTareas[Activa],175)=1,G$7&gt;=INDEX(TblTareas[Semana],175),G$7&lt;INDEX(TblTareas[Semana],175)+INDEX(TblTareas[Duracion],175)),INDEX(TblTareas[Horas],175)/INDEX(TblTareas[Duracion],175),""))</f>
      </c>
      <c r="H182" s="64" t="str">
        <f>IF($A182="","",IF(AND(INDEX(TblTareas[Activa],175)=1,H$7&gt;=INDEX(TblTareas[Semana],175),H$7&lt;INDEX(TblTareas[Semana],175)+INDEX(TblTareas[Duracion],175)),INDEX(TblTareas[Horas],175)/INDEX(TblTareas[Duracion],175),""))</f>
      </c>
      <c r="I182" s="64" t="str">
        <f>IF($A182="","",IF(AND(INDEX(TblTareas[Activa],175)=1,I$7&gt;=INDEX(TblTareas[Semana],175),I$7&lt;INDEX(TblTareas[Semana],175)+INDEX(TblTareas[Duracion],175)),INDEX(TblTareas[Horas],175)/INDEX(TblTareas[Duracion],175),""))</f>
      </c>
      <c r="J182" s="64" t="str">
        <f>IF($A182="","",IF(AND(INDEX(TblTareas[Activa],175)=1,J$7&gt;=INDEX(TblTareas[Semana],175),J$7&lt;INDEX(TblTareas[Semana],175)+INDEX(TblTareas[Duracion],175)),INDEX(TblTareas[Horas],175)/INDEX(TblTareas[Duracion],175),""))</f>
      </c>
      <c r="K182" s="64" t="str">
        <f>IF($A182="","",IF(AND(INDEX(TblTareas[Activa],175)=1,K$7&gt;=INDEX(TblTareas[Semana],175),K$7&lt;INDEX(TblTareas[Semana],175)+INDEX(TblTareas[Duracion],175)),INDEX(TblTareas[Horas],175)/INDEX(TblTareas[Duracion],175),""))</f>
      </c>
      <c r="L182" s="64" t="str">
        <f>IF($A182="","",IF(AND(INDEX(TblTareas[Activa],175)=1,L$7&gt;=INDEX(TblTareas[Semana],175),L$7&lt;INDEX(TblTareas[Semana],175)+INDEX(TblTareas[Duracion],175)),INDEX(TblTareas[Horas],175)/INDEX(TblTareas[Duracion],175),""))</f>
      </c>
      <c r="M182" s="64" t="str">
        <f>IF($A182="","",IF(AND(INDEX(TblTareas[Activa],175)=1,M$7&gt;=INDEX(TblTareas[Semana],175),M$7&lt;INDEX(TblTareas[Semana],175)+INDEX(TblTareas[Duracion],175)),INDEX(TblTareas[Horas],175)/INDEX(TblTareas[Duracion],175),""))</f>
      </c>
      <c r="N182" s="64" t="str">
        <f>IF($A182="","",IF(AND(INDEX(TblTareas[Activa],175)=1,N$7&gt;=INDEX(TblTareas[Semana],175),N$7&lt;INDEX(TblTareas[Semana],175)+INDEX(TblTareas[Duracion],175)),INDEX(TblTareas[Horas],175)/INDEX(TblTareas[Duracion],175),""))</f>
      </c>
      <c r="O182" s="64" t="str">
        <f>IF($A182="","",IF(AND(INDEX(TblTareas[Activa],175)=1,O$7&gt;=INDEX(TblTareas[Semana],175),O$7&lt;INDEX(TblTareas[Semana],175)+INDEX(TblTareas[Duracion],175)),INDEX(TblTareas[Horas],175)/INDEX(TblTareas[Duracion],175),""))</f>
      </c>
      <c r="P182" s="64" t="str">
        <f>IF($A182="","",IF(AND(INDEX(TblTareas[Activa],175)=1,P$7&gt;=INDEX(TblTareas[Semana],175),P$7&lt;INDEX(TblTareas[Semana],175)+INDEX(TblTareas[Duracion],175)),INDEX(TblTareas[Horas],175)/INDEX(TblTareas[Duracion],175),""))</f>
      </c>
      <c r="Q182" s="64" t="str">
        <f>IF($A182="","",IF(AND(INDEX(TblTareas[Activa],175)=1,Q$7&gt;=INDEX(TblTareas[Semana],175),Q$7&lt;INDEX(TblTareas[Semana],175)+INDEX(TblTareas[Duracion],175)),INDEX(TblTareas[Horas],175)/INDEX(TblTareas[Duracion],175),""))</f>
      </c>
      <c r="R182" s="64" t="str">
        <f>IF($A182="","",IF(AND(INDEX(TblTareas[Activa],175)=1,R$7&gt;=INDEX(TblTareas[Semana],175),R$7&lt;INDEX(TblTareas[Semana],175)+INDEX(TblTareas[Duracion],175)),INDEX(TblTareas[Horas],175)/INDEX(TblTareas[Duracion],175),""))</f>
      </c>
      <c r="S182" s="64" t="str">
        <f>IF($A182="","",IF(AND(INDEX(TblTareas[Activa],175)=1,S$7&gt;=INDEX(TblTareas[Semana],175),S$7&lt;INDEX(TblTareas[Semana],175)+INDEX(TblTareas[Duracion],175)),INDEX(TblTareas[Horas],175)/INDEX(TblTareas[Duracion],175),""))</f>
      </c>
      <c r="T182" s="64" t="str">
        <f>IF($A182="","",IF(AND(INDEX(TblTareas[Activa],175)=1,T$7&gt;=INDEX(TblTareas[Semana],175),T$7&lt;INDEX(TblTareas[Semana],175)+INDEX(TblTareas[Duracion],175)),INDEX(TblTareas[Horas],175)/INDEX(TblTareas[Duracion],175),""))</f>
      </c>
    </row>
    <row r="183" ht="34" customHeight="1">
      <c r="A183" s="62" t="str">
        <f>IFERROR(IF(INDEX(TblTareas[ID],176)="","",INDEX(TblTareas[ID],176)),"")</f>
      </c>
      <c r="B183" s="62" t="str">
        <f>IF($A183="","",IFERROR(INDEX(TblTareas[Responsable],176),""))</f>
      </c>
      <c r="C183" s="62" t="str">
        <f>IF($A183="","",IFERROR(INDEX(TblTareas[Trabajo],176),""))</f>
      </c>
      <c r="D183" s="62" t="str">
        <f>IF($A183="","",IFERROR(INDEX(TblTareas[Estado],176),""))</f>
      </c>
      <c r="E183" s="64" t="str">
        <f>IF($A183="","",IF(AND(INDEX(TblTareas[Activa],176)=1,E$7&gt;=INDEX(TblTareas[Semana],176),E$7&lt;INDEX(TblTareas[Semana],176)+INDEX(TblTareas[Duracion],176)),INDEX(TblTareas[Horas],176)/INDEX(TblTareas[Duracion],176),""))</f>
      </c>
      <c r="F183" s="64" t="str">
        <f>IF($A183="","",IF(AND(INDEX(TblTareas[Activa],176)=1,F$7&gt;=INDEX(TblTareas[Semana],176),F$7&lt;INDEX(TblTareas[Semana],176)+INDEX(TblTareas[Duracion],176)),INDEX(TblTareas[Horas],176)/INDEX(TblTareas[Duracion],176),""))</f>
      </c>
      <c r="G183" s="64" t="str">
        <f>IF($A183="","",IF(AND(INDEX(TblTareas[Activa],176)=1,G$7&gt;=INDEX(TblTareas[Semana],176),G$7&lt;INDEX(TblTareas[Semana],176)+INDEX(TblTareas[Duracion],176)),INDEX(TblTareas[Horas],176)/INDEX(TblTareas[Duracion],176),""))</f>
      </c>
      <c r="H183" s="64" t="str">
        <f>IF($A183="","",IF(AND(INDEX(TblTareas[Activa],176)=1,H$7&gt;=INDEX(TblTareas[Semana],176),H$7&lt;INDEX(TblTareas[Semana],176)+INDEX(TblTareas[Duracion],176)),INDEX(TblTareas[Horas],176)/INDEX(TblTareas[Duracion],176),""))</f>
      </c>
      <c r="I183" s="64" t="str">
        <f>IF($A183="","",IF(AND(INDEX(TblTareas[Activa],176)=1,I$7&gt;=INDEX(TblTareas[Semana],176),I$7&lt;INDEX(TblTareas[Semana],176)+INDEX(TblTareas[Duracion],176)),INDEX(TblTareas[Horas],176)/INDEX(TblTareas[Duracion],176),""))</f>
      </c>
      <c r="J183" s="64" t="str">
        <f>IF($A183="","",IF(AND(INDEX(TblTareas[Activa],176)=1,J$7&gt;=INDEX(TblTareas[Semana],176),J$7&lt;INDEX(TblTareas[Semana],176)+INDEX(TblTareas[Duracion],176)),INDEX(TblTareas[Horas],176)/INDEX(TblTareas[Duracion],176),""))</f>
      </c>
      <c r="K183" s="64" t="str">
        <f>IF($A183="","",IF(AND(INDEX(TblTareas[Activa],176)=1,K$7&gt;=INDEX(TblTareas[Semana],176),K$7&lt;INDEX(TblTareas[Semana],176)+INDEX(TblTareas[Duracion],176)),INDEX(TblTareas[Horas],176)/INDEX(TblTareas[Duracion],176),""))</f>
      </c>
      <c r="L183" s="64" t="str">
        <f>IF($A183="","",IF(AND(INDEX(TblTareas[Activa],176)=1,L$7&gt;=INDEX(TblTareas[Semana],176),L$7&lt;INDEX(TblTareas[Semana],176)+INDEX(TblTareas[Duracion],176)),INDEX(TblTareas[Horas],176)/INDEX(TblTareas[Duracion],176),""))</f>
      </c>
      <c r="M183" s="64" t="str">
        <f>IF($A183="","",IF(AND(INDEX(TblTareas[Activa],176)=1,M$7&gt;=INDEX(TblTareas[Semana],176),M$7&lt;INDEX(TblTareas[Semana],176)+INDEX(TblTareas[Duracion],176)),INDEX(TblTareas[Horas],176)/INDEX(TblTareas[Duracion],176),""))</f>
      </c>
      <c r="N183" s="64" t="str">
        <f>IF($A183="","",IF(AND(INDEX(TblTareas[Activa],176)=1,N$7&gt;=INDEX(TblTareas[Semana],176),N$7&lt;INDEX(TblTareas[Semana],176)+INDEX(TblTareas[Duracion],176)),INDEX(TblTareas[Horas],176)/INDEX(TblTareas[Duracion],176),""))</f>
      </c>
      <c r="O183" s="64" t="str">
        <f>IF($A183="","",IF(AND(INDEX(TblTareas[Activa],176)=1,O$7&gt;=INDEX(TblTareas[Semana],176),O$7&lt;INDEX(TblTareas[Semana],176)+INDEX(TblTareas[Duracion],176)),INDEX(TblTareas[Horas],176)/INDEX(TblTareas[Duracion],176),""))</f>
      </c>
      <c r="P183" s="64" t="str">
        <f>IF($A183="","",IF(AND(INDEX(TblTareas[Activa],176)=1,P$7&gt;=INDEX(TblTareas[Semana],176),P$7&lt;INDEX(TblTareas[Semana],176)+INDEX(TblTareas[Duracion],176)),INDEX(TblTareas[Horas],176)/INDEX(TblTareas[Duracion],176),""))</f>
      </c>
      <c r="Q183" s="64" t="str">
        <f>IF($A183="","",IF(AND(INDEX(TblTareas[Activa],176)=1,Q$7&gt;=INDEX(TblTareas[Semana],176),Q$7&lt;INDEX(TblTareas[Semana],176)+INDEX(TblTareas[Duracion],176)),INDEX(TblTareas[Horas],176)/INDEX(TblTareas[Duracion],176),""))</f>
      </c>
      <c r="R183" s="64" t="str">
        <f>IF($A183="","",IF(AND(INDEX(TblTareas[Activa],176)=1,R$7&gt;=INDEX(TblTareas[Semana],176),R$7&lt;INDEX(TblTareas[Semana],176)+INDEX(TblTareas[Duracion],176)),INDEX(TblTareas[Horas],176)/INDEX(TblTareas[Duracion],176),""))</f>
      </c>
      <c r="S183" s="64" t="str">
        <f>IF($A183="","",IF(AND(INDEX(TblTareas[Activa],176)=1,S$7&gt;=INDEX(TblTareas[Semana],176),S$7&lt;INDEX(TblTareas[Semana],176)+INDEX(TblTareas[Duracion],176)),INDEX(TblTareas[Horas],176)/INDEX(TblTareas[Duracion],176),""))</f>
      </c>
      <c r="T183" s="64" t="str">
        <f>IF($A183="","",IF(AND(INDEX(TblTareas[Activa],176)=1,T$7&gt;=INDEX(TblTareas[Semana],176),T$7&lt;INDEX(TblTareas[Semana],176)+INDEX(TblTareas[Duracion],176)),INDEX(TblTareas[Horas],176)/INDEX(TblTareas[Duracion],176),""))</f>
      </c>
    </row>
    <row r="184" ht="34" customHeight="1">
      <c r="A184" s="62" t="str">
        <f>IFERROR(IF(INDEX(TblTareas[ID],177)="","",INDEX(TblTareas[ID],177)),"")</f>
      </c>
      <c r="B184" s="62" t="str">
        <f>IF($A184="","",IFERROR(INDEX(TblTareas[Responsable],177),""))</f>
      </c>
      <c r="C184" s="62" t="str">
        <f>IF($A184="","",IFERROR(INDEX(TblTareas[Trabajo],177),""))</f>
      </c>
      <c r="D184" s="62" t="str">
        <f>IF($A184="","",IFERROR(INDEX(TblTareas[Estado],177),""))</f>
      </c>
      <c r="E184" s="64" t="str">
        <f>IF($A184="","",IF(AND(INDEX(TblTareas[Activa],177)=1,E$7&gt;=INDEX(TblTareas[Semana],177),E$7&lt;INDEX(TblTareas[Semana],177)+INDEX(TblTareas[Duracion],177)),INDEX(TblTareas[Horas],177)/INDEX(TblTareas[Duracion],177),""))</f>
      </c>
      <c r="F184" s="64" t="str">
        <f>IF($A184="","",IF(AND(INDEX(TblTareas[Activa],177)=1,F$7&gt;=INDEX(TblTareas[Semana],177),F$7&lt;INDEX(TblTareas[Semana],177)+INDEX(TblTareas[Duracion],177)),INDEX(TblTareas[Horas],177)/INDEX(TblTareas[Duracion],177),""))</f>
      </c>
      <c r="G184" s="64" t="str">
        <f>IF($A184="","",IF(AND(INDEX(TblTareas[Activa],177)=1,G$7&gt;=INDEX(TblTareas[Semana],177),G$7&lt;INDEX(TblTareas[Semana],177)+INDEX(TblTareas[Duracion],177)),INDEX(TblTareas[Horas],177)/INDEX(TblTareas[Duracion],177),""))</f>
      </c>
      <c r="H184" s="64" t="str">
        <f>IF($A184="","",IF(AND(INDEX(TblTareas[Activa],177)=1,H$7&gt;=INDEX(TblTareas[Semana],177),H$7&lt;INDEX(TblTareas[Semana],177)+INDEX(TblTareas[Duracion],177)),INDEX(TblTareas[Horas],177)/INDEX(TblTareas[Duracion],177),""))</f>
      </c>
      <c r="I184" s="64" t="str">
        <f>IF($A184="","",IF(AND(INDEX(TblTareas[Activa],177)=1,I$7&gt;=INDEX(TblTareas[Semana],177),I$7&lt;INDEX(TblTareas[Semana],177)+INDEX(TblTareas[Duracion],177)),INDEX(TblTareas[Horas],177)/INDEX(TblTareas[Duracion],177),""))</f>
      </c>
      <c r="J184" s="64" t="str">
        <f>IF($A184="","",IF(AND(INDEX(TblTareas[Activa],177)=1,J$7&gt;=INDEX(TblTareas[Semana],177),J$7&lt;INDEX(TblTareas[Semana],177)+INDEX(TblTareas[Duracion],177)),INDEX(TblTareas[Horas],177)/INDEX(TblTareas[Duracion],177),""))</f>
      </c>
      <c r="K184" s="64" t="str">
        <f>IF($A184="","",IF(AND(INDEX(TblTareas[Activa],177)=1,K$7&gt;=INDEX(TblTareas[Semana],177),K$7&lt;INDEX(TblTareas[Semana],177)+INDEX(TblTareas[Duracion],177)),INDEX(TblTareas[Horas],177)/INDEX(TblTareas[Duracion],177),""))</f>
      </c>
      <c r="L184" s="64" t="str">
        <f>IF($A184="","",IF(AND(INDEX(TblTareas[Activa],177)=1,L$7&gt;=INDEX(TblTareas[Semana],177),L$7&lt;INDEX(TblTareas[Semana],177)+INDEX(TblTareas[Duracion],177)),INDEX(TblTareas[Horas],177)/INDEX(TblTareas[Duracion],177),""))</f>
      </c>
      <c r="M184" s="64" t="str">
        <f>IF($A184="","",IF(AND(INDEX(TblTareas[Activa],177)=1,M$7&gt;=INDEX(TblTareas[Semana],177),M$7&lt;INDEX(TblTareas[Semana],177)+INDEX(TblTareas[Duracion],177)),INDEX(TblTareas[Horas],177)/INDEX(TblTareas[Duracion],177),""))</f>
      </c>
      <c r="N184" s="64" t="str">
        <f>IF($A184="","",IF(AND(INDEX(TblTareas[Activa],177)=1,N$7&gt;=INDEX(TblTareas[Semana],177),N$7&lt;INDEX(TblTareas[Semana],177)+INDEX(TblTareas[Duracion],177)),INDEX(TblTareas[Horas],177)/INDEX(TblTareas[Duracion],177),""))</f>
      </c>
      <c r="O184" s="64" t="str">
        <f>IF($A184="","",IF(AND(INDEX(TblTareas[Activa],177)=1,O$7&gt;=INDEX(TblTareas[Semana],177),O$7&lt;INDEX(TblTareas[Semana],177)+INDEX(TblTareas[Duracion],177)),INDEX(TblTareas[Horas],177)/INDEX(TblTareas[Duracion],177),""))</f>
      </c>
      <c r="P184" s="64" t="str">
        <f>IF($A184="","",IF(AND(INDEX(TblTareas[Activa],177)=1,P$7&gt;=INDEX(TblTareas[Semana],177),P$7&lt;INDEX(TblTareas[Semana],177)+INDEX(TblTareas[Duracion],177)),INDEX(TblTareas[Horas],177)/INDEX(TblTareas[Duracion],177),""))</f>
      </c>
      <c r="Q184" s="64" t="str">
        <f>IF($A184="","",IF(AND(INDEX(TblTareas[Activa],177)=1,Q$7&gt;=INDEX(TblTareas[Semana],177),Q$7&lt;INDEX(TblTareas[Semana],177)+INDEX(TblTareas[Duracion],177)),INDEX(TblTareas[Horas],177)/INDEX(TblTareas[Duracion],177),""))</f>
      </c>
      <c r="R184" s="64" t="str">
        <f>IF($A184="","",IF(AND(INDEX(TblTareas[Activa],177)=1,R$7&gt;=INDEX(TblTareas[Semana],177),R$7&lt;INDEX(TblTareas[Semana],177)+INDEX(TblTareas[Duracion],177)),INDEX(TblTareas[Horas],177)/INDEX(TblTareas[Duracion],177),""))</f>
      </c>
      <c r="S184" s="64" t="str">
        <f>IF($A184="","",IF(AND(INDEX(TblTareas[Activa],177)=1,S$7&gt;=INDEX(TblTareas[Semana],177),S$7&lt;INDEX(TblTareas[Semana],177)+INDEX(TblTareas[Duracion],177)),INDEX(TblTareas[Horas],177)/INDEX(TblTareas[Duracion],177),""))</f>
      </c>
      <c r="T184" s="64" t="str">
        <f>IF($A184="","",IF(AND(INDEX(TblTareas[Activa],177)=1,T$7&gt;=INDEX(TblTareas[Semana],177),T$7&lt;INDEX(TblTareas[Semana],177)+INDEX(TblTareas[Duracion],177)),INDEX(TblTareas[Horas],177)/INDEX(TblTareas[Duracion],177),""))</f>
      </c>
    </row>
    <row r="185" ht="34" customHeight="1">
      <c r="A185" s="62" t="str">
        <f>IFERROR(IF(INDEX(TblTareas[ID],178)="","",INDEX(TblTareas[ID],178)),"")</f>
      </c>
      <c r="B185" s="62" t="str">
        <f>IF($A185="","",IFERROR(INDEX(TblTareas[Responsable],178),""))</f>
      </c>
      <c r="C185" s="62" t="str">
        <f>IF($A185="","",IFERROR(INDEX(TblTareas[Trabajo],178),""))</f>
      </c>
      <c r="D185" s="62" t="str">
        <f>IF($A185="","",IFERROR(INDEX(TblTareas[Estado],178),""))</f>
      </c>
      <c r="E185" s="64" t="str">
        <f>IF($A185="","",IF(AND(INDEX(TblTareas[Activa],178)=1,E$7&gt;=INDEX(TblTareas[Semana],178),E$7&lt;INDEX(TblTareas[Semana],178)+INDEX(TblTareas[Duracion],178)),INDEX(TblTareas[Horas],178)/INDEX(TblTareas[Duracion],178),""))</f>
      </c>
      <c r="F185" s="64" t="str">
        <f>IF($A185="","",IF(AND(INDEX(TblTareas[Activa],178)=1,F$7&gt;=INDEX(TblTareas[Semana],178),F$7&lt;INDEX(TblTareas[Semana],178)+INDEX(TblTareas[Duracion],178)),INDEX(TblTareas[Horas],178)/INDEX(TblTareas[Duracion],178),""))</f>
      </c>
      <c r="G185" s="64" t="str">
        <f>IF($A185="","",IF(AND(INDEX(TblTareas[Activa],178)=1,G$7&gt;=INDEX(TblTareas[Semana],178),G$7&lt;INDEX(TblTareas[Semana],178)+INDEX(TblTareas[Duracion],178)),INDEX(TblTareas[Horas],178)/INDEX(TblTareas[Duracion],178),""))</f>
      </c>
      <c r="H185" s="64" t="str">
        <f>IF($A185="","",IF(AND(INDEX(TblTareas[Activa],178)=1,H$7&gt;=INDEX(TblTareas[Semana],178),H$7&lt;INDEX(TblTareas[Semana],178)+INDEX(TblTareas[Duracion],178)),INDEX(TblTareas[Horas],178)/INDEX(TblTareas[Duracion],178),""))</f>
      </c>
      <c r="I185" s="64" t="str">
        <f>IF($A185="","",IF(AND(INDEX(TblTareas[Activa],178)=1,I$7&gt;=INDEX(TblTareas[Semana],178),I$7&lt;INDEX(TblTareas[Semana],178)+INDEX(TblTareas[Duracion],178)),INDEX(TblTareas[Horas],178)/INDEX(TblTareas[Duracion],178),""))</f>
      </c>
      <c r="J185" s="64" t="str">
        <f>IF($A185="","",IF(AND(INDEX(TblTareas[Activa],178)=1,J$7&gt;=INDEX(TblTareas[Semana],178),J$7&lt;INDEX(TblTareas[Semana],178)+INDEX(TblTareas[Duracion],178)),INDEX(TblTareas[Horas],178)/INDEX(TblTareas[Duracion],178),""))</f>
      </c>
      <c r="K185" s="64" t="str">
        <f>IF($A185="","",IF(AND(INDEX(TblTareas[Activa],178)=1,K$7&gt;=INDEX(TblTareas[Semana],178),K$7&lt;INDEX(TblTareas[Semana],178)+INDEX(TblTareas[Duracion],178)),INDEX(TblTareas[Horas],178)/INDEX(TblTareas[Duracion],178),""))</f>
      </c>
      <c r="L185" s="64" t="str">
        <f>IF($A185="","",IF(AND(INDEX(TblTareas[Activa],178)=1,L$7&gt;=INDEX(TblTareas[Semana],178),L$7&lt;INDEX(TblTareas[Semana],178)+INDEX(TblTareas[Duracion],178)),INDEX(TblTareas[Horas],178)/INDEX(TblTareas[Duracion],178),""))</f>
      </c>
      <c r="M185" s="64" t="str">
        <f>IF($A185="","",IF(AND(INDEX(TblTareas[Activa],178)=1,M$7&gt;=INDEX(TblTareas[Semana],178),M$7&lt;INDEX(TblTareas[Semana],178)+INDEX(TblTareas[Duracion],178)),INDEX(TblTareas[Horas],178)/INDEX(TblTareas[Duracion],178),""))</f>
      </c>
      <c r="N185" s="64" t="str">
        <f>IF($A185="","",IF(AND(INDEX(TblTareas[Activa],178)=1,N$7&gt;=INDEX(TblTareas[Semana],178),N$7&lt;INDEX(TblTareas[Semana],178)+INDEX(TblTareas[Duracion],178)),INDEX(TblTareas[Horas],178)/INDEX(TblTareas[Duracion],178),""))</f>
      </c>
      <c r="O185" s="64" t="str">
        <f>IF($A185="","",IF(AND(INDEX(TblTareas[Activa],178)=1,O$7&gt;=INDEX(TblTareas[Semana],178),O$7&lt;INDEX(TblTareas[Semana],178)+INDEX(TblTareas[Duracion],178)),INDEX(TblTareas[Horas],178)/INDEX(TblTareas[Duracion],178),""))</f>
      </c>
      <c r="P185" s="64" t="str">
        <f>IF($A185="","",IF(AND(INDEX(TblTareas[Activa],178)=1,P$7&gt;=INDEX(TblTareas[Semana],178),P$7&lt;INDEX(TblTareas[Semana],178)+INDEX(TblTareas[Duracion],178)),INDEX(TblTareas[Horas],178)/INDEX(TblTareas[Duracion],178),""))</f>
      </c>
      <c r="Q185" s="64" t="str">
        <f>IF($A185="","",IF(AND(INDEX(TblTareas[Activa],178)=1,Q$7&gt;=INDEX(TblTareas[Semana],178),Q$7&lt;INDEX(TblTareas[Semana],178)+INDEX(TblTareas[Duracion],178)),INDEX(TblTareas[Horas],178)/INDEX(TblTareas[Duracion],178),""))</f>
      </c>
      <c r="R185" s="64" t="str">
        <f>IF($A185="","",IF(AND(INDEX(TblTareas[Activa],178)=1,R$7&gt;=INDEX(TblTareas[Semana],178),R$7&lt;INDEX(TblTareas[Semana],178)+INDEX(TblTareas[Duracion],178)),INDEX(TblTareas[Horas],178)/INDEX(TblTareas[Duracion],178),""))</f>
      </c>
      <c r="S185" s="64" t="str">
        <f>IF($A185="","",IF(AND(INDEX(TblTareas[Activa],178)=1,S$7&gt;=INDEX(TblTareas[Semana],178),S$7&lt;INDEX(TblTareas[Semana],178)+INDEX(TblTareas[Duracion],178)),INDEX(TblTareas[Horas],178)/INDEX(TblTareas[Duracion],178),""))</f>
      </c>
      <c r="T185" s="64" t="str">
        <f>IF($A185="","",IF(AND(INDEX(TblTareas[Activa],178)=1,T$7&gt;=INDEX(TblTareas[Semana],178),T$7&lt;INDEX(TblTareas[Semana],178)+INDEX(TblTareas[Duracion],178)),INDEX(TblTareas[Horas],178)/INDEX(TblTareas[Duracion],178),""))</f>
      </c>
    </row>
    <row r="186" ht="34" customHeight="1">
      <c r="A186" s="62" t="str">
        <f>IFERROR(IF(INDEX(TblTareas[ID],179)="","",INDEX(TblTareas[ID],179)),"")</f>
      </c>
      <c r="B186" s="62" t="str">
        <f>IF($A186="","",IFERROR(INDEX(TblTareas[Responsable],179),""))</f>
      </c>
      <c r="C186" s="62" t="str">
        <f>IF($A186="","",IFERROR(INDEX(TblTareas[Trabajo],179),""))</f>
      </c>
      <c r="D186" s="62" t="str">
        <f>IF($A186="","",IFERROR(INDEX(TblTareas[Estado],179),""))</f>
      </c>
      <c r="E186" s="64" t="str">
        <f>IF($A186="","",IF(AND(INDEX(TblTareas[Activa],179)=1,E$7&gt;=INDEX(TblTareas[Semana],179),E$7&lt;INDEX(TblTareas[Semana],179)+INDEX(TblTareas[Duracion],179)),INDEX(TblTareas[Horas],179)/INDEX(TblTareas[Duracion],179),""))</f>
      </c>
      <c r="F186" s="64" t="str">
        <f>IF($A186="","",IF(AND(INDEX(TblTareas[Activa],179)=1,F$7&gt;=INDEX(TblTareas[Semana],179),F$7&lt;INDEX(TblTareas[Semana],179)+INDEX(TblTareas[Duracion],179)),INDEX(TblTareas[Horas],179)/INDEX(TblTareas[Duracion],179),""))</f>
      </c>
      <c r="G186" s="64" t="str">
        <f>IF($A186="","",IF(AND(INDEX(TblTareas[Activa],179)=1,G$7&gt;=INDEX(TblTareas[Semana],179),G$7&lt;INDEX(TblTareas[Semana],179)+INDEX(TblTareas[Duracion],179)),INDEX(TblTareas[Horas],179)/INDEX(TblTareas[Duracion],179),""))</f>
      </c>
      <c r="H186" s="64" t="str">
        <f>IF($A186="","",IF(AND(INDEX(TblTareas[Activa],179)=1,H$7&gt;=INDEX(TblTareas[Semana],179),H$7&lt;INDEX(TblTareas[Semana],179)+INDEX(TblTareas[Duracion],179)),INDEX(TblTareas[Horas],179)/INDEX(TblTareas[Duracion],179),""))</f>
      </c>
      <c r="I186" s="64" t="str">
        <f>IF($A186="","",IF(AND(INDEX(TblTareas[Activa],179)=1,I$7&gt;=INDEX(TblTareas[Semana],179),I$7&lt;INDEX(TblTareas[Semana],179)+INDEX(TblTareas[Duracion],179)),INDEX(TblTareas[Horas],179)/INDEX(TblTareas[Duracion],179),""))</f>
      </c>
      <c r="J186" s="64" t="str">
        <f>IF($A186="","",IF(AND(INDEX(TblTareas[Activa],179)=1,J$7&gt;=INDEX(TblTareas[Semana],179),J$7&lt;INDEX(TblTareas[Semana],179)+INDEX(TblTareas[Duracion],179)),INDEX(TblTareas[Horas],179)/INDEX(TblTareas[Duracion],179),""))</f>
      </c>
      <c r="K186" s="64" t="str">
        <f>IF($A186="","",IF(AND(INDEX(TblTareas[Activa],179)=1,K$7&gt;=INDEX(TblTareas[Semana],179),K$7&lt;INDEX(TblTareas[Semana],179)+INDEX(TblTareas[Duracion],179)),INDEX(TblTareas[Horas],179)/INDEX(TblTareas[Duracion],179),""))</f>
      </c>
      <c r="L186" s="64" t="str">
        <f>IF($A186="","",IF(AND(INDEX(TblTareas[Activa],179)=1,L$7&gt;=INDEX(TblTareas[Semana],179),L$7&lt;INDEX(TblTareas[Semana],179)+INDEX(TblTareas[Duracion],179)),INDEX(TblTareas[Horas],179)/INDEX(TblTareas[Duracion],179),""))</f>
      </c>
      <c r="M186" s="64" t="str">
        <f>IF($A186="","",IF(AND(INDEX(TblTareas[Activa],179)=1,M$7&gt;=INDEX(TblTareas[Semana],179),M$7&lt;INDEX(TblTareas[Semana],179)+INDEX(TblTareas[Duracion],179)),INDEX(TblTareas[Horas],179)/INDEX(TblTareas[Duracion],179),""))</f>
      </c>
      <c r="N186" s="64" t="str">
        <f>IF($A186="","",IF(AND(INDEX(TblTareas[Activa],179)=1,N$7&gt;=INDEX(TblTareas[Semana],179),N$7&lt;INDEX(TblTareas[Semana],179)+INDEX(TblTareas[Duracion],179)),INDEX(TblTareas[Horas],179)/INDEX(TblTareas[Duracion],179),""))</f>
      </c>
      <c r="O186" s="64" t="str">
        <f>IF($A186="","",IF(AND(INDEX(TblTareas[Activa],179)=1,O$7&gt;=INDEX(TblTareas[Semana],179),O$7&lt;INDEX(TblTareas[Semana],179)+INDEX(TblTareas[Duracion],179)),INDEX(TblTareas[Horas],179)/INDEX(TblTareas[Duracion],179),""))</f>
      </c>
      <c r="P186" s="64" t="str">
        <f>IF($A186="","",IF(AND(INDEX(TblTareas[Activa],179)=1,P$7&gt;=INDEX(TblTareas[Semana],179),P$7&lt;INDEX(TblTareas[Semana],179)+INDEX(TblTareas[Duracion],179)),INDEX(TblTareas[Horas],179)/INDEX(TblTareas[Duracion],179),""))</f>
      </c>
      <c r="Q186" s="64" t="str">
        <f>IF($A186="","",IF(AND(INDEX(TblTareas[Activa],179)=1,Q$7&gt;=INDEX(TblTareas[Semana],179),Q$7&lt;INDEX(TblTareas[Semana],179)+INDEX(TblTareas[Duracion],179)),INDEX(TblTareas[Horas],179)/INDEX(TblTareas[Duracion],179),""))</f>
      </c>
      <c r="R186" s="64" t="str">
        <f>IF($A186="","",IF(AND(INDEX(TblTareas[Activa],179)=1,R$7&gt;=INDEX(TblTareas[Semana],179),R$7&lt;INDEX(TblTareas[Semana],179)+INDEX(TblTareas[Duracion],179)),INDEX(TblTareas[Horas],179)/INDEX(TblTareas[Duracion],179),""))</f>
      </c>
      <c r="S186" s="64" t="str">
        <f>IF($A186="","",IF(AND(INDEX(TblTareas[Activa],179)=1,S$7&gt;=INDEX(TblTareas[Semana],179),S$7&lt;INDEX(TblTareas[Semana],179)+INDEX(TblTareas[Duracion],179)),INDEX(TblTareas[Horas],179)/INDEX(TblTareas[Duracion],179),""))</f>
      </c>
      <c r="T186" s="64" t="str">
        <f>IF($A186="","",IF(AND(INDEX(TblTareas[Activa],179)=1,T$7&gt;=INDEX(TblTareas[Semana],179),T$7&lt;INDEX(TblTareas[Semana],179)+INDEX(TblTareas[Duracion],179)),INDEX(TblTareas[Horas],179)/INDEX(TblTareas[Duracion],179),""))</f>
      </c>
    </row>
    <row r="187" ht="34" customHeight="1">
      <c r="A187" s="62" t="str">
        <f>IFERROR(IF(INDEX(TblTareas[ID],180)="","",INDEX(TblTareas[ID],180)),"")</f>
      </c>
      <c r="B187" s="62" t="str">
        <f>IF($A187="","",IFERROR(INDEX(TblTareas[Responsable],180),""))</f>
      </c>
      <c r="C187" s="62" t="str">
        <f>IF($A187="","",IFERROR(INDEX(TblTareas[Trabajo],180),""))</f>
      </c>
      <c r="D187" s="62" t="str">
        <f>IF($A187="","",IFERROR(INDEX(TblTareas[Estado],180),""))</f>
      </c>
      <c r="E187" s="64" t="str">
        <f>IF($A187="","",IF(AND(INDEX(TblTareas[Activa],180)=1,E$7&gt;=INDEX(TblTareas[Semana],180),E$7&lt;INDEX(TblTareas[Semana],180)+INDEX(TblTareas[Duracion],180)),INDEX(TblTareas[Horas],180)/INDEX(TblTareas[Duracion],180),""))</f>
      </c>
      <c r="F187" s="64" t="str">
        <f>IF($A187="","",IF(AND(INDEX(TblTareas[Activa],180)=1,F$7&gt;=INDEX(TblTareas[Semana],180),F$7&lt;INDEX(TblTareas[Semana],180)+INDEX(TblTareas[Duracion],180)),INDEX(TblTareas[Horas],180)/INDEX(TblTareas[Duracion],180),""))</f>
      </c>
      <c r="G187" s="64" t="str">
        <f>IF($A187="","",IF(AND(INDEX(TblTareas[Activa],180)=1,G$7&gt;=INDEX(TblTareas[Semana],180),G$7&lt;INDEX(TblTareas[Semana],180)+INDEX(TblTareas[Duracion],180)),INDEX(TblTareas[Horas],180)/INDEX(TblTareas[Duracion],180),""))</f>
      </c>
      <c r="H187" s="64" t="str">
        <f>IF($A187="","",IF(AND(INDEX(TblTareas[Activa],180)=1,H$7&gt;=INDEX(TblTareas[Semana],180),H$7&lt;INDEX(TblTareas[Semana],180)+INDEX(TblTareas[Duracion],180)),INDEX(TblTareas[Horas],180)/INDEX(TblTareas[Duracion],180),""))</f>
      </c>
      <c r="I187" s="64" t="str">
        <f>IF($A187="","",IF(AND(INDEX(TblTareas[Activa],180)=1,I$7&gt;=INDEX(TblTareas[Semana],180),I$7&lt;INDEX(TblTareas[Semana],180)+INDEX(TblTareas[Duracion],180)),INDEX(TblTareas[Horas],180)/INDEX(TblTareas[Duracion],180),""))</f>
      </c>
      <c r="J187" s="64" t="str">
        <f>IF($A187="","",IF(AND(INDEX(TblTareas[Activa],180)=1,J$7&gt;=INDEX(TblTareas[Semana],180),J$7&lt;INDEX(TblTareas[Semana],180)+INDEX(TblTareas[Duracion],180)),INDEX(TblTareas[Horas],180)/INDEX(TblTareas[Duracion],180),""))</f>
      </c>
      <c r="K187" s="64" t="str">
        <f>IF($A187="","",IF(AND(INDEX(TblTareas[Activa],180)=1,K$7&gt;=INDEX(TblTareas[Semana],180),K$7&lt;INDEX(TblTareas[Semana],180)+INDEX(TblTareas[Duracion],180)),INDEX(TblTareas[Horas],180)/INDEX(TblTareas[Duracion],180),""))</f>
      </c>
      <c r="L187" s="64" t="str">
        <f>IF($A187="","",IF(AND(INDEX(TblTareas[Activa],180)=1,L$7&gt;=INDEX(TblTareas[Semana],180),L$7&lt;INDEX(TblTareas[Semana],180)+INDEX(TblTareas[Duracion],180)),INDEX(TblTareas[Horas],180)/INDEX(TblTareas[Duracion],180),""))</f>
      </c>
      <c r="M187" s="64" t="str">
        <f>IF($A187="","",IF(AND(INDEX(TblTareas[Activa],180)=1,M$7&gt;=INDEX(TblTareas[Semana],180),M$7&lt;INDEX(TblTareas[Semana],180)+INDEX(TblTareas[Duracion],180)),INDEX(TblTareas[Horas],180)/INDEX(TblTareas[Duracion],180),""))</f>
      </c>
      <c r="N187" s="64" t="str">
        <f>IF($A187="","",IF(AND(INDEX(TblTareas[Activa],180)=1,N$7&gt;=INDEX(TblTareas[Semana],180),N$7&lt;INDEX(TblTareas[Semana],180)+INDEX(TblTareas[Duracion],180)),INDEX(TblTareas[Horas],180)/INDEX(TblTareas[Duracion],180),""))</f>
      </c>
      <c r="O187" s="64" t="str">
        <f>IF($A187="","",IF(AND(INDEX(TblTareas[Activa],180)=1,O$7&gt;=INDEX(TblTareas[Semana],180),O$7&lt;INDEX(TblTareas[Semana],180)+INDEX(TblTareas[Duracion],180)),INDEX(TblTareas[Horas],180)/INDEX(TblTareas[Duracion],180),""))</f>
      </c>
      <c r="P187" s="64" t="str">
        <f>IF($A187="","",IF(AND(INDEX(TblTareas[Activa],180)=1,P$7&gt;=INDEX(TblTareas[Semana],180),P$7&lt;INDEX(TblTareas[Semana],180)+INDEX(TblTareas[Duracion],180)),INDEX(TblTareas[Horas],180)/INDEX(TblTareas[Duracion],180),""))</f>
      </c>
      <c r="Q187" s="64" t="str">
        <f>IF($A187="","",IF(AND(INDEX(TblTareas[Activa],180)=1,Q$7&gt;=INDEX(TblTareas[Semana],180),Q$7&lt;INDEX(TblTareas[Semana],180)+INDEX(TblTareas[Duracion],180)),INDEX(TblTareas[Horas],180)/INDEX(TblTareas[Duracion],180),""))</f>
      </c>
      <c r="R187" s="64" t="str">
        <f>IF($A187="","",IF(AND(INDEX(TblTareas[Activa],180)=1,R$7&gt;=INDEX(TblTareas[Semana],180),R$7&lt;INDEX(TblTareas[Semana],180)+INDEX(TblTareas[Duracion],180)),INDEX(TblTareas[Horas],180)/INDEX(TblTareas[Duracion],180),""))</f>
      </c>
      <c r="S187" s="64" t="str">
        <f>IF($A187="","",IF(AND(INDEX(TblTareas[Activa],180)=1,S$7&gt;=INDEX(TblTareas[Semana],180),S$7&lt;INDEX(TblTareas[Semana],180)+INDEX(TblTareas[Duracion],180)),INDEX(TblTareas[Horas],180)/INDEX(TblTareas[Duracion],180),""))</f>
      </c>
      <c r="T187" s="64" t="str">
        <f>IF($A187="","",IF(AND(INDEX(TblTareas[Activa],180)=1,T$7&gt;=INDEX(TblTareas[Semana],180),T$7&lt;INDEX(TblTareas[Semana],180)+INDEX(TblTareas[Duracion],180)),INDEX(TblTareas[Horas],180)/INDEX(TblTareas[Duracion],180),""))</f>
      </c>
    </row>
    <row r="188" ht="34" customHeight="1">
      <c r="A188" s="62" t="str">
        <f>IFERROR(IF(INDEX(TblTareas[ID],181)="","",INDEX(TblTareas[ID],181)),"")</f>
      </c>
      <c r="B188" s="62" t="str">
        <f>IF($A188="","",IFERROR(INDEX(TblTareas[Responsable],181),""))</f>
      </c>
      <c r="C188" s="62" t="str">
        <f>IF($A188="","",IFERROR(INDEX(TblTareas[Trabajo],181),""))</f>
      </c>
      <c r="D188" s="62" t="str">
        <f>IF($A188="","",IFERROR(INDEX(TblTareas[Estado],181),""))</f>
      </c>
      <c r="E188" s="64" t="str">
        <f>IF($A188="","",IF(AND(INDEX(TblTareas[Activa],181)=1,E$7&gt;=INDEX(TblTareas[Semana],181),E$7&lt;INDEX(TblTareas[Semana],181)+INDEX(TblTareas[Duracion],181)),INDEX(TblTareas[Horas],181)/INDEX(TblTareas[Duracion],181),""))</f>
      </c>
      <c r="F188" s="64" t="str">
        <f>IF($A188="","",IF(AND(INDEX(TblTareas[Activa],181)=1,F$7&gt;=INDEX(TblTareas[Semana],181),F$7&lt;INDEX(TblTareas[Semana],181)+INDEX(TblTareas[Duracion],181)),INDEX(TblTareas[Horas],181)/INDEX(TblTareas[Duracion],181),""))</f>
      </c>
      <c r="G188" s="64" t="str">
        <f>IF($A188="","",IF(AND(INDEX(TblTareas[Activa],181)=1,G$7&gt;=INDEX(TblTareas[Semana],181),G$7&lt;INDEX(TblTareas[Semana],181)+INDEX(TblTareas[Duracion],181)),INDEX(TblTareas[Horas],181)/INDEX(TblTareas[Duracion],181),""))</f>
      </c>
      <c r="H188" s="64" t="str">
        <f>IF($A188="","",IF(AND(INDEX(TblTareas[Activa],181)=1,H$7&gt;=INDEX(TblTareas[Semana],181),H$7&lt;INDEX(TblTareas[Semana],181)+INDEX(TblTareas[Duracion],181)),INDEX(TblTareas[Horas],181)/INDEX(TblTareas[Duracion],181),""))</f>
      </c>
      <c r="I188" s="64" t="str">
        <f>IF($A188="","",IF(AND(INDEX(TblTareas[Activa],181)=1,I$7&gt;=INDEX(TblTareas[Semana],181),I$7&lt;INDEX(TblTareas[Semana],181)+INDEX(TblTareas[Duracion],181)),INDEX(TblTareas[Horas],181)/INDEX(TblTareas[Duracion],181),""))</f>
      </c>
      <c r="J188" s="64" t="str">
        <f>IF($A188="","",IF(AND(INDEX(TblTareas[Activa],181)=1,J$7&gt;=INDEX(TblTareas[Semana],181),J$7&lt;INDEX(TblTareas[Semana],181)+INDEX(TblTareas[Duracion],181)),INDEX(TblTareas[Horas],181)/INDEX(TblTareas[Duracion],181),""))</f>
      </c>
      <c r="K188" s="64" t="str">
        <f>IF($A188="","",IF(AND(INDEX(TblTareas[Activa],181)=1,K$7&gt;=INDEX(TblTareas[Semana],181),K$7&lt;INDEX(TblTareas[Semana],181)+INDEX(TblTareas[Duracion],181)),INDEX(TblTareas[Horas],181)/INDEX(TblTareas[Duracion],181),""))</f>
      </c>
      <c r="L188" s="64" t="str">
        <f>IF($A188="","",IF(AND(INDEX(TblTareas[Activa],181)=1,L$7&gt;=INDEX(TblTareas[Semana],181),L$7&lt;INDEX(TblTareas[Semana],181)+INDEX(TblTareas[Duracion],181)),INDEX(TblTareas[Horas],181)/INDEX(TblTareas[Duracion],181),""))</f>
      </c>
      <c r="M188" s="64" t="str">
        <f>IF($A188="","",IF(AND(INDEX(TblTareas[Activa],181)=1,M$7&gt;=INDEX(TblTareas[Semana],181),M$7&lt;INDEX(TblTareas[Semana],181)+INDEX(TblTareas[Duracion],181)),INDEX(TblTareas[Horas],181)/INDEX(TblTareas[Duracion],181),""))</f>
      </c>
      <c r="N188" s="64" t="str">
        <f>IF($A188="","",IF(AND(INDEX(TblTareas[Activa],181)=1,N$7&gt;=INDEX(TblTareas[Semana],181),N$7&lt;INDEX(TblTareas[Semana],181)+INDEX(TblTareas[Duracion],181)),INDEX(TblTareas[Horas],181)/INDEX(TblTareas[Duracion],181),""))</f>
      </c>
      <c r="O188" s="64" t="str">
        <f>IF($A188="","",IF(AND(INDEX(TblTareas[Activa],181)=1,O$7&gt;=INDEX(TblTareas[Semana],181),O$7&lt;INDEX(TblTareas[Semana],181)+INDEX(TblTareas[Duracion],181)),INDEX(TblTareas[Horas],181)/INDEX(TblTareas[Duracion],181),""))</f>
      </c>
      <c r="P188" s="64" t="str">
        <f>IF($A188="","",IF(AND(INDEX(TblTareas[Activa],181)=1,P$7&gt;=INDEX(TblTareas[Semana],181),P$7&lt;INDEX(TblTareas[Semana],181)+INDEX(TblTareas[Duracion],181)),INDEX(TblTareas[Horas],181)/INDEX(TblTareas[Duracion],181),""))</f>
      </c>
      <c r="Q188" s="64" t="str">
        <f>IF($A188="","",IF(AND(INDEX(TblTareas[Activa],181)=1,Q$7&gt;=INDEX(TblTareas[Semana],181),Q$7&lt;INDEX(TblTareas[Semana],181)+INDEX(TblTareas[Duracion],181)),INDEX(TblTareas[Horas],181)/INDEX(TblTareas[Duracion],181),""))</f>
      </c>
      <c r="R188" s="64" t="str">
        <f>IF($A188="","",IF(AND(INDEX(TblTareas[Activa],181)=1,R$7&gt;=INDEX(TblTareas[Semana],181),R$7&lt;INDEX(TblTareas[Semana],181)+INDEX(TblTareas[Duracion],181)),INDEX(TblTareas[Horas],181)/INDEX(TblTareas[Duracion],181),""))</f>
      </c>
      <c r="S188" s="64" t="str">
        <f>IF($A188="","",IF(AND(INDEX(TblTareas[Activa],181)=1,S$7&gt;=INDEX(TblTareas[Semana],181),S$7&lt;INDEX(TblTareas[Semana],181)+INDEX(TblTareas[Duracion],181)),INDEX(TblTareas[Horas],181)/INDEX(TblTareas[Duracion],181),""))</f>
      </c>
      <c r="T188" s="64" t="str">
        <f>IF($A188="","",IF(AND(INDEX(TblTareas[Activa],181)=1,T$7&gt;=INDEX(TblTareas[Semana],181),T$7&lt;INDEX(TblTareas[Semana],181)+INDEX(TblTareas[Duracion],181)),INDEX(TblTareas[Horas],181)/INDEX(TblTareas[Duracion],181),""))</f>
      </c>
    </row>
    <row r="189" ht="34" customHeight="1">
      <c r="A189" s="62" t="str">
        <f>IFERROR(IF(INDEX(TblTareas[ID],182)="","",INDEX(TblTareas[ID],182)),"")</f>
      </c>
      <c r="B189" s="62" t="str">
        <f>IF($A189="","",IFERROR(INDEX(TblTareas[Responsable],182),""))</f>
      </c>
      <c r="C189" s="62" t="str">
        <f>IF($A189="","",IFERROR(INDEX(TblTareas[Trabajo],182),""))</f>
      </c>
      <c r="D189" s="62" t="str">
        <f>IF($A189="","",IFERROR(INDEX(TblTareas[Estado],182),""))</f>
      </c>
      <c r="E189" s="64" t="str">
        <f>IF($A189="","",IF(AND(INDEX(TblTareas[Activa],182)=1,E$7&gt;=INDEX(TblTareas[Semana],182),E$7&lt;INDEX(TblTareas[Semana],182)+INDEX(TblTareas[Duracion],182)),INDEX(TblTareas[Horas],182)/INDEX(TblTareas[Duracion],182),""))</f>
      </c>
      <c r="F189" s="64" t="str">
        <f>IF($A189="","",IF(AND(INDEX(TblTareas[Activa],182)=1,F$7&gt;=INDEX(TblTareas[Semana],182),F$7&lt;INDEX(TblTareas[Semana],182)+INDEX(TblTareas[Duracion],182)),INDEX(TblTareas[Horas],182)/INDEX(TblTareas[Duracion],182),""))</f>
      </c>
      <c r="G189" s="64" t="str">
        <f>IF($A189="","",IF(AND(INDEX(TblTareas[Activa],182)=1,G$7&gt;=INDEX(TblTareas[Semana],182),G$7&lt;INDEX(TblTareas[Semana],182)+INDEX(TblTareas[Duracion],182)),INDEX(TblTareas[Horas],182)/INDEX(TblTareas[Duracion],182),""))</f>
      </c>
      <c r="H189" s="64" t="str">
        <f>IF($A189="","",IF(AND(INDEX(TblTareas[Activa],182)=1,H$7&gt;=INDEX(TblTareas[Semana],182),H$7&lt;INDEX(TblTareas[Semana],182)+INDEX(TblTareas[Duracion],182)),INDEX(TblTareas[Horas],182)/INDEX(TblTareas[Duracion],182),""))</f>
      </c>
      <c r="I189" s="64" t="str">
        <f>IF($A189="","",IF(AND(INDEX(TblTareas[Activa],182)=1,I$7&gt;=INDEX(TblTareas[Semana],182),I$7&lt;INDEX(TblTareas[Semana],182)+INDEX(TblTareas[Duracion],182)),INDEX(TblTareas[Horas],182)/INDEX(TblTareas[Duracion],182),""))</f>
      </c>
      <c r="J189" s="64" t="str">
        <f>IF($A189="","",IF(AND(INDEX(TblTareas[Activa],182)=1,J$7&gt;=INDEX(TblTareas[Semana],182),J$7&lt;INDEX(TblTareas[Semana],182)+INDEX(TblTareas[Duracion],182)),INDEX(TblTareas[Horas],182)/INDEX(TblTareas[Duracion],182),""))</f>
      </c>
      <c r="K189" s="64" t="str">
        <f>IF($A189="","",IF(AND(INDEX(TblTareas[Activa],182)=1,K$7&gt;=INDEX(TblTareas[Semana],182),K$7&lt;INDEX(TblTareas[Semana],182)+INDEX(TblTareas[Duracion],182)),INDEX(TblTareas[Horas],182)/INDEX(TblTareas[Duracion],182),""))</f>
      </c>
      <c r="L189" s="64" t="str">
        <f>IF($A189="","",IF(AND(INDEX(TblTareas[Activa],182)=1,L$7&gt;=INDEX(TblTareas[Semana],182),L$7&lt;INDEX(TblTareas[Semana],182)+INDEX(TblTareas[Duracion],182)),INDEX(TblTareas[Horas],182)/INDEX(TblTareas[Duracion],182),""))</f>
      </c>
      <c r="M189" s="64" t="str">
        <f>IF($A189="","",IF(AND(INDEX(TblTareas[Activa],182)=1,M$7&gt;=INDEX(TblTareas[Semana],182),M$7&lt;INDEX(TblTareas[Semana],182)+INDEX(TblTareas[Duracion],182)),INDEX(TblTareas[Horas],182)/INDEX(TblTareas[Duracion],182),""))</f>
      </c>
      <c r="N189" s="64" t="str">
        <f>IF($A189="","",IF(AND(INDEX(TblTareas[Activa],182)=1,N$7&gt;=INDEX(TblTareas[Semana],182),N$7&lt;INDEX(TblTareas[Semana],182)+INDEX(TblTareas[Duracion],182)),INDEX(TblTareas[Horas],182)/INDEX(TblTareas[Duracion],182),""))</f>
      </c>
      <c r="O189" s="64" t="str">
        <f>IF($A189="","",IF(AND(INDEX(TblTareas[Activa],182)=1,O$7&gt;=INDEX(TblTareas[Semana],182),O$7&lt;INDEX(TblTareas[Semana],182)+INDEX(TblTareas[Duracion],182)),INDEX(TblTareas[Horas],182)/INDEX(TblTareas[Duracion],182),""))</f>
      </c>
      <c r="P189" s="64" t="str">
        <f>IF($A189="","",IF(AND(INDEX(TblTareas[Activa],182)=1,P$7&gt;=INDEX(TblTareas[Semana],182),P$7&lt;INDEX(TblTareas[Semana],182)+INDEX(TblTareas[Duracion],182)),INDEX(TblTareas[Horas],182)/INDEX(TblTareas[Duracion],182),""))</f>
      </c>
      <c r="Q189" s="64" t="str">
        <f>IF($A189="","",IF(AND(INDEX(TblTareas[Activa],182)=1,Q$7&gt;=INDEX(TblTareas[Semana],182),Q$7&lt;INDEX(TblTareas[Semana],182)+INDEX(TblTareas[Duracion],182)),INDEX(TblTareas[Horas],182)/INDEX(TblTareas[Duracion],182),""))</f>
      </c>
      <c r="R189" s="64" t="str">
        <f>IF($A189="","",IF(AND(INDEX(TblTareas[Activa],182)=1,R$7&gt;=INDEX(TblTareas[Semana],182),R$7&lt;INDEX(TblTareas[Semana],182)+INDEX(TblTareas[Duracion],182)),INDEX(TblTareas[Horas],182)/INDEX(TblTareas[Duracion],182),""))</f>
      </c>
      <c r="S189" s="64" t="str">
        <f>IF($A189="","",IF(AND(INDEX(TblTareas[Activa],182)=1,S$7&gt;=INDEX(TblTareas[Semana],182),S$7&lt;INDEX(TblTareas[Semana],182)+INDEX(TblTareas[Duracion],182)),INDEX(TblTareas[Horas],182)/INDEX(TblTareas[Duracion],182),""))</f>
      </c>
      <c r="T189" s="64" t="str">
        <f>IF($A189="","",IF(AND(INDEX(TblTareas[Activa],182)=1,T$7&gt;=INDEX(TblTareas[Semana],182),T$7&lt;INDEX(TblTareas[Semana],182)+INDEX(TblTareas[Duracion],182)),INDEX(TblTareas[Horas],182)/INDEX(TblTareas[Duracion],182),""))</f>
      </c>
    </row>
    <row r="190" ht="34" customHeight="1">
      <c r="A190" s="62" t="str">
        <f>IFERROR(IF(INDEX(TblTareas[ID],183)="","",INDEX(TblTareas[ID],183)),"")</f>
      </c>
      <c r="B190" s="62" t="str">
        <f>IF($A190="","",IFERROR(INDEX(TblTareas[Responsable],183),""))</f>
      </c>
      <c r="C190" s="62" t="str">
        <f>IF($A190="","",IFERROR(INDEX(TblTareas[Trabajo],183),""))</f>
      </c>
      <c r="D190" s="62" t="str">
        <f>IF($A190="","",IFERROR(INDEX(TblTareas[Estado],183),""))</f>
      </c>
      <c r="E190" s="64" t="str">
        <f>IF($A190="","",IF(AND(INDEX(TblTareas[Activa],183)=1,E$7&gt;=INDEX(TblTareas[Semana],183),E$7&lt;INDEX(TblTareas[Semana],183)+INDEX(TblTareas[Duracion],183)),INDEX(TblTareas[Horas],183)/INDEX(TblTareas[Duracion],183),""))</f>
      </c>
      <c r="F190" s="64" t="str">
        <f>IF($A190="","",IF(AND(INDEX(TblTareas[Activa],183)=1,F$7&gt;=INDEX(TblTareas[Semana],183),F$7&lt;INDEX(TblTareas[Semana],183)+INDEX(TblTareas[Duracion],183)),INDEX(TblTareas[Horas],183)/INDEX(TblTareas[Duracion],183),""))</f>
      </c>
      <c r="G190" s="64" t="str">
        <f>IF($A190="","",IF(AND(INDEX(TblTareas[Activa],183)=1,G$7&gt;=INDEX(TblTareas[Semana],183),G$7&lt;INDEX(TblTareas[Semana],183)+INDEX(TblTareas[Duracion],183)),INDEX(TblTareas[Horas],183)/INDEX(TblTareas[Duracion],183),""))</f>
      </c>
      <c r="H190" s="64" t="str">
        <f>IF($A190="","",IF(AND(INDEX(TblTareas[Activa],183)=1,H$7&gt;=INDEX(TblTareas[Semana],183),H$7&lt;INDEX(TblTareas[Semana],183)+INDEX(TblTareas[Duracion],183)),INDEX(TblTareas[Horas],183)/INDEX(TblTareas[Duracion],183),""))</f>
      </c>
      <c r="I190" s="64" t="str">
        <f>IF($A190="","",IF(AND(INDEX(TblTareas[Activa],183)=1,I$7&gt;=INDEX(TblTareas[Semana],183),I$7&lt;INDEX(TblTareas[Semana],183)+INDEX(TblTareas[Duracion],183)),INDEX(TblTareas[Horas],183)/INDEX(TblTareas[Duracion],183),""))</f>
      </c>
      <c r="J190" s="64" t="str">
        <f>IF($A190="","",IF(AND(INDEX(TblTareas[Activa],183)=1,J$7&gt;=INDEX(TblTareas[Semana],183),J$7&lt;INDEX(TblTareas[Semana],183)+INDEX(TblTareas[Duracion],183)),INDEX(TblTareas[Horas],183)/INDEX(TblTareas[Duracion],183),""))</f>
      </c>
      <c r="K190" s="64" t="str">
        <f>IF($A190="","",IF(AND(INDEX(TblTareas[Activa],183)=1,K$7&gt;=INDEX(TblTareas[Semana],183),K$7&lt;INDEX(TblTareas[Semana],183)+INDEX(TblTareas[Duracion],183)),INDEX(TblTareas[Horas],183)/INDEX(TblTareas[Duracion],183),""))</f>
      </c>
      <c r="L190" s="64" t="str">
        <f>IF($A190="","",IF(AND(INDEX(TblTareas[Activa],183)=1,L$7&gt;=INDEX(TblTareas[Semana],183),L$7&lt;INDEX(TblTareas[Semana],183)+INDEX(TblTareas[Duracion],183)),INDEX(TblTareas[Horas],183)/INDEX(TblTareas[Duracion],183),""))</f>
      </c>
      <c r="M190" s="64" t="str">
        <f>IF($A190="","",IF(AND(INDEX(TblTareas[Activa],183)=1,M$7&gt;=INDEX(TblTareas[Semana],183),M$7&lt;INDEX(TblTareas[Semana],183)+INDEX(TblTareas[Duracion],183)),INDEX(TblTareas[Horas],183)/INDEX(TblTareas[Duracion],183),""))</f>
      </c>
      <c r="N190" s="64" t="str">
        <f>IF($A190="","",IF(AND(INDEX(TblTareas[Activa],183)=1,N$7&gt;=INDEX(TblTareas[Semana],183),N$7&lt;INDEX(TblTareas[Semana],183)+INDEX(TblTareas[Duracion],183)),INDEX(TblTareas[Horas],183)/INDEX(TblTareas[Duracion],183),""))</f>
      </c>
      <c r="O190" s="64" t="str">
        <f>IF($A190="","",IF(AND(INDEX(TblTareas[Activa],183)=1,O$7&gt;=INDEX(TblTareas[Semana],183),O$7&lt;INDEX(TblTareas[Semana],183)+INDEX(TblTareas[Duracion],183)),INDEX(TblTareas[Horas],183)/INDEX(TblTareas[Duracion],183),""))</f>
      </c>
      <c r="P190" s="64" t="str">
        <f>IF($A190="","",IF(AND(INDEX(TblTareas[Activa],183)=1,P$7&gt;=INDEX(TblTareas[Semana],183),P$7&lt;INDEX(TblTareas[Semana],183)+INDEX(TblTareas[Duracion],183)),INDEX(TblTareas[Horas],183)/INDEX(TblTareas[Duracion],183),""))</f>
      </c>
      <c r="Q190" s="64" t="str">
        <f>IF($A190="","",IF(AND(INDEX(TblTareas[Activa],183)=1,Q$7&gt;=INDEX(TblTareas[Semana],183),Q$7&lt;INDEX(TblTareas[Semana],183)+INDEX(TblTareas[Duracion],183)),INDEX(TblTareas[Horas],183)/INDEX(TblTareas[Duracion],183),""))</f>
      </c>
      <c r="R190" s="64" t="str">
        <f>IF($A190="","",IF(AND(INDEX(TblTareas[Activa],183)=1,R$7&gt;=INDEX(TblTareas[Semana],183),R$7&lt;INDEX(TblTareas[Semana],183)+INDEX(TblTareas[Duracion],183)),INDEX(TblTareas[Horas],183)/INDEX(TblTareas[Duracion],183),""))</f>
      </c>
      <c r="S190" s="64" t="str">
        <f>IF($A190="","",IF(AND(INDEX(TblTareas[Activa],183)=1,S$7&gt;=INDEX(TblTareas[Semana],183),S$7&lt;INDEX(TblTareas[Semana],183)+INDEX(TblTareas[Duracion],183)),INDEX(TblTareas[Horas],183)/INDEX(TblTareas[Duracion],183),""))</f>
      </c>
      <c r="T190" s="64" t="str">
        <f>IF($A190="","",IF(AND(INDEX(TblTareas[Activa],183)=1,T$7&gt;=INDEX(TblTareas[Semana],183),T$7&lt;INDEX(TblTareas[Semana],183)+INDEX(TblTareas[Duracion],183)),INDEX(TblTareas[Horas],183)/INDEX(TblTareas[Duracion],183),""))</f>
      </c>
    </row>
    <row r="191" ht="34" customHeight="1">
      <c r="A191" s="62" t="str">
        <f>IFERROR(IF(INDEX(TblTareas[ID],184)="","",INDEX(TblTareas[ID],184)),"")</f>
      </c>
      <c r="B191" s="62" t="str">
        <f>IF($A191="","",IFERROR(INDEX(TblTareas[Responsable],184),""))</f>
      </c>
      <c r="C191" s="62" t="str">
        <f>IF($A191="","",IFERROR(INDEX(TblTareas[Trabajo],184),""))</f>
      </c>
      <c r="D191" s="62" t="str">
        <f>IF($A191="","",IFERROR(INDEX(TblTareas[Estado],184),""))</f>
      </c>
      <c r="E191" s="64" t="str">
        <f>IF($A191="","",IF(AND(INDEX(TblTareas[Activa],184)=1,E$7&gt;=INDEX(TblTareas[Semana],184),E$7&lt;INDEX(TblTareas[Semana],184)+INDEX(TblTareas[Duracion],184)),INDEX(TblTareas[Horas],184)/INDEX(TblTareas[Duracion],184),""))</f>
      </c>
      <c r="F191" s="64" t="str">
        <f>IF($A191="","",IF(AND(INDEX(TblTareas[Activa],184)=1,F$7&gt;=INDEX(TblTareas[Semana],184),F$7&lt;INDEX(TblTareas[Semana],184)+INDEX(TblTareas[Duracion],184)),INDEX(TblTareas[Horas],184)/INDEX(TblTareas[Duracion],184),""))</f>
      </c>
      <c r="G191" s="64" t="str">
        <f>IF($A191="","",IF(AND(INDEX(TblTareas[Activa],184)=1,G$7&gt;=INDEX(TblTareas[Semana],184),G$7&lt;INDEX(TblTareas[Semana],184)+INDEX(TblTareas[Duracion],184)),INDEX(TblTareas[Horas],184)/INDEX(TblTareas[Duracion],184),""))</f>
      </c>
      <c r="H191" s="64" t="str">
        <f>IF($A191="","",IF(AND(INDEX(TblTareas[Activa],184)=1,H$7&gt;=INDEX(TblTareas[Semana],184),H$7&lt;INDEX(TblTareas[Semana],184)+INDEX(TblTareas[Duracion],184)),INDEX(TblTareas[Horas],184)/INDEX(TblTareas[Duracion],184),""))</f>
      </c>
      <c r="I191" s="64" t="str">
        <f>IF($A191="","",IF(AND(INDEX(TblTareas[Activa],184)=1,I$7&gt;=INDEX(TblTareas[Semana],184),I$7&lt;INDEX(TblTareas[Semana],184)+INDEX(TblTareas[Duracion],184)),INDEX(TblTareas[Horas],184)/INDEX(TblTareas[Duracion],184),""))</f>
      </c>
      <c r="J191" s="64" t="str">
        <f>IF($A191="","",IF(AND(INDEX(TblTareas[Activa],184)=1,J$7&gt;=INDEX(TblTareas[Semana],184),J$7&lt;INDEX(TblTareas[Semana],184)+INDEX(TblTareas[Duracion],184)),INDEX(TblTareas[Horas],184)/INDEX(TblTareas[Duracion],184),""))</f>
      </c>
      <c r="K191" s="64" t="str">
        <f>IF($A191="","",IF(AND(INDEX(TblTareas[Activa],184)=1,K$7&gt;=INDEX(TblTareas[Semana],184),K$7&lt;INDEX(TblTareas[Semana],184)+INDEX(TblTareas[Duracion],184)),INDEX(TblTareas[Horas],184)/INDEX(TblTareas[Duracion],184),""))</f>
      </c>
      <c r="L191" s="64" t="str">
        <f>IF($A191="","",IF(AND(INDEX(TblTareas[Activa],184)=1,L$7&gt;=INDEX(TblTareas[Semana],184),L$7&lt;INDEX(TblTareas[Semana],184)+INDEX(TblTareas[Duracion],184)),INDEX(TblTareas[Horas],184)/INDEX(TblTareas[Duracion],184),""))</f>
      </c>
      <c r="M191" s="64" t="str">
        <f>IF($A191="","",IF(AND(INDEX(TblTareas[Activa],184)=1,M$7&gt;=INDEX(TblTareas[Semana],184),M$7&lt;INDEX(TblTareas[Semana],184)+INDEX(TblTareas[Duracion],184)),INDEX(TblTareas[Horas],184)/INDEX(TblTareas[Duracion],184),""))</f>
      </c>
      <c r="N191" s="64" t="str">
        <f>IF($A191="","",IF(AND(INDEX(TblTareas[Activa],184)=1,N$7&gt;=INDEX(TblTareas[Semana],184),N$7&lt;INDEX(TblTareas[Semana],184)+INDEX(TblTareas[Duracion],184)),INDEX(TblTareas[Horas],184)/INDEX(TblTareas[Duracion],184),""))</f>
      </c>
      <c r="O191" s="64" t="str">
        <f>IF($A191="","",IF(AND(INDEX(TblTareas[Activa],184)=1,O$7&gt;=INDEX(TblTareas[Semana],184),O$7&lt;INDEX(TblTareas[Semana],184)+INDEX(TblTareas[Duracion],184)),INDEX(TblTareas[Horas],184)/INDEX(TblTareas[Duracion],184),""))</f>
      </c>
      <c r="P191" s="64" t="str">
        <f>IF($A191="","",IF(AND(INDEX(TblTareas[Activa],184)=1,P$7&gt;=INDEX(TblTareas[Semana],184),P$7&lt;INDEX(TblTareas[Semana],184)+INDEX(TblTareas[Duracion],184)),INDEX(TblTareas[Horas],184)/INDEX(TblTareas[Duracion],184),""))</f>
      </c>
      <c r="Q191" s="64" t="str">
        <f>IF($A191="","",IF(AND(INDEX(TblTareas[Activa],184)=1,Q$7&gt;=INDEX(TblTareas[Semana],184),Q$7&lt;INDEX(TblTareas[Semana],184)+INDEX(TblTareas[Duracion],184)),INDEX(TblTareas[Horas],184)/INDEX(TblTareas[Duracion],184),""))</f>
      </c>
      <c r="R191" s="64" t="str">
        <f>IF($A191="","",IF(AND(INDEX(TblTareas[Activa],184)=1,R$7&gt;=INDEX(TblTareas[Semana],184),R$7&lt;INDEX(TblTareas[Semana],184)+INDEX(TblTareas[Duracion],184)),INDEX(TblTareas[Horas],184)/INDEX(TblTareas[Duracion],184),""))</f>
      </c>
      <c r="S191" s="64" t="str">
        <f>IF($A191="","",IF(AND(INDEX(TblTareas[Activa],184)=1,S$7&gt;=INDEX(TblTareas[Semana],184),S$7&lt;INDEX(TblTareas[Semana],184)+INDEX(TblTareas[Duracion],184)),INDEX(TblTareas[Horas],184)/INDEX(TblTareas[Duracion],184),""))</f>
      </c>
      <c r="T191" s="64" t="str">
        <f>IF($A191="","",IF(AND(INDEX(TblTareas[Activa],184)=1,T$7&gt;=INDEX(TblTareas[Semana],184),T$7&lt;INDEX(TblTareas[Semana],184)+INDEX(TblTareas[Duracion],184)),INDEX(TblTareas[Horas],184)/INDEX(TblTareas[Duracion],184),""))</f>
      </c>
    </row>
    <row r="192" ht="34" customHeight="1">
      <c r="A192" s="62" t="str">
        <f>IFERROR(IF(INDEX(TblTareas[ID],185)="","",INDEX(TblTareas[ID],185)),"")</f>
      </c>
      <c r="B192" s="62" t="str">
        <f>IF($A192="","",IFERROR(INDEX(TblTareas[Responsable],185),""))</f>
      </c>
      <c r="C192" s="62" t="str">
        <f>IF($A192="","",IFERROR(INDEX(TblTareas[Trabajo],185),""))</f>
      </c>
      <c r="D192" s="62" t="str">
        <f>IF($A192="","",IFERROR(INDEX(TblTareas[Estado],185),""))</f>
      </c>
      <c r="E192" s="64" t="str">
        <f>IF($A192="","",IF(AND(INDEX(TblTareas[Activa],185)=1,E$7&gt;=INDEX(TblTareas[Semana],185),E$7&lt;INDEX(TblTareas[Semana],185)+INDEX(TblTareas[Duracion],185)),INDEX(TblTareas[Horas],185)/INDEX(TblTareas[Duracion],185),""))</f>
      </c>
      <c r="F192" s="64" t="str">
        <f>IF($A192="","",IF(AND(INDEX(TblTareas[Activa],185)=1,F$7&gt;=INDEX(TblTareas[Semana],185),F$7&lt;INDEX(TblTareas[Semana],185)+INDEX(TblTareas[Duracion],185)),INDEX(TblTareas[Horas],185)/INDEX(TblTareas[Duracion],185),""))</f>
      </c>
      <c r="G192" s="64" t="str">
        <f>IF($A192="","",IF(AND(INDEX(TblTareas[Activa],185)=1,G$7&gt;=INDEX(TblTareas[Semana],185),G$7&lt;INDEX(TblTareas[Semana],185)+INDEX(TblTareas[Duracion],185)),INDEX(TblTareas[Horas],185)/INDEX(TblTareas[Duracion],185),""))</f>
      </c>
      <c r="H192" s="64" t="str">
        <f>IF($A192="","",IF(AND(INDEX(TblTareas[Activa],185)=1,H$7&gt;=INDEX(TblTareas[Semana],185),H$7&lt;INDEX(TblTareas[Semana],185)+INDEX(TblTareas[Duracion],185)),INDEX(TblTareas[Horas],185)/INDEX(TblTareas[Duracion],185),""))</f>
      </c>
      <c r="I192" s="64" t="str">
        <f>IF($A192="","",IF(AND(INDEX(TblTareas[Activa],185)=1,I$7&gt;=INDEX(TblTareas[Semana],185),I$7&lt;INDEX(TblTareas[Semana],185)+INDEX(TblTareas[Duracion],185)),INDEX(TblTareas[Horas],185)/INDEX(TblTareas[Duracion],185),""))</f>
      </c>
      <c r="J192" s="64" t="str">
        <f>IF($A192="","",IF(AND(INDEX(TblTareas[Activa],185)=1,J$7&gt;=INDEX(TblTareas[Semana],185),J$7&lt;INDEX(TblTareas[Semana],185)+INDEX(TblTareas[Duracion],185)),INDEX(TblTareas[Horas],185)/INDEX(TblTareas[Duracion],185),""))</f>
      </c>
      <c r="K192" s="64" t="str">
        <f>IF($A192="","",IF(AND(INDEX(TblTareas[Activa],185)=1,K$7&gt;=INDEX(TblTareas[Semana],185),K$7&lt;INDEX(TblTareas[Semana],185)+INDEX(TblTareas[Duracion],185)),INDEX(TblTareas[Horas],185)/INDEX(TblTareas[Duracion],185),""))</f>
      </c>
      <c r="L192" s="64" t="str">
        <f>IF($A192="","",IF(AND(INDEX(TblTareas[Activa],185)=1,L$7&gt;=INDEX(TblTareas[Semana],185),L$7&lt;INDEX(TblTareas[Semana],185)+INDEX(TblTareas[Duracion],185)),INDEX(TblTareas[Horas],185)/INDEX(TblTareas[Duracion],185),""))</f>
      </c>
      <c r="M192" s="64" t="str">
        <f>IF($A192="","",IF(AND(INDEX(TblTareas[Activa],185)=1,M$7&gt;=INDEX(TblTareas[Semana],185),M$7&lt;INDEX(TblTareas[Semana],185)+INDEX(TblTareas[Duracion],185)),INDEX(TblTareas[Horas],185)/INDEX(TblTareas[Duracion],185),""))</f>
      </c>
      <c r="N192" s="64" t="str">
        <f>IF($A192="","",IF(AND(INDEX(TblTareas[Activa],185)=1,N$7&gt;=INDEX(TblTareas[Semana],185),N$7&lt;INDEX(TblTareas[Semana],185)+INDEX(TblTareas[Duracion],185)),INDEX(TblTareas[Horas],185)/INDEX(TblTareas[Duracion],185),""))</f>
      </c>
      <c r="O192" s="64" t="str">
        <f>IF($A192="","",IF(AND(INDEX(TblTareas[Activa],185)=1,O$7&gt;=INDEX(TblTareas[Semana],185),O$7&lt;INDEX(TblTareas[Semana],185)+INDEX(TblTareas[Duracion],185)),INDEX(TblTareas[Horas],185)/INDEX(TblTareas[Duracion],185),""))</f>
      </c>
      <c r="P192" s="64" t="str">
        <f>IF($A192="","",IF(AND(INDEX(TblTareas[Activa],185)=1,P$7&gt;=INDEX(TblTareas[Semana],185),P$7&lt;INDEX(TblTareas[Semana],185)+INDEX(TblTareas[Duracion],185)),INDEX(TblTareas[Horas],185)/INDEX(TblTareas[Duracion],185),""))</f>
      </c>
      <c r="Q192" s="64" t="str">
        <f>IF($A192="","",IF(AND(INDEX(TblTareas[Activa],185)=1,Q$7&gt;=INDEX(TblTareas[Semana],185),Q$7&lt;INDEX(TblTareas[Semana],185)+INDEX(TblTareas[Duracion],185)),INDEX(TblTareas[Horas],185)/INDEX(TblTareas[Duracion],185),""))</f>
      </c>
      <c r="R192" s="64" t="str">
        <f>IF($A192="","",IF(AND(INDEX(TblTareas[Activa],185)=1,R$7&gt;=INDEX(TblTareas[Semana],185),R$7&lt;INDEX(TblTareas[Semana],185)+INDEX(TblTareas[Duracion],185)),INDEX(TblTareas[Horas],185)/INDEX(TblTareas[Duracion],185),""))</f>
      </c>
      <c r="S192" s="64" t="str">
        <f>IF($A192="","",IF(AND(INDEX(TblTareas[Activa],185)=1,S$7&gt;=INDEX(TblTareas[Semana],185),S$7&lt;INDEX(TblTareas[Semana],185)+INDEX(TblTareas[Duracion],185)),INDEX(TblTareas[Horas],185)/INDEX(TblTareas[Duracion],185),""))</f>
      </c>
      <c r="T192" s="64" t="str">
        <f>IF($A192="","",IF(AND(INDEX(TblTareas[Activa],185)=1,T$7&gt;=INDEX(TblTareas[Semana],185),T$7&lt;INDEX(TblTareas[Semana],185)+INDEX(TblTareas[Duracion],185)),INDEX(TblTareas[Horas],185)/INDEX(TblTareas[Duracion],185),""))</f>
      </c>
    </row>
    <row r="193" ht="34" customHeight="1">
      <c r="A193" s="62" t="str">
        <f>IFERROR(IF(INDEX(TblTareas[ID],186)="","",INDEX(TblTareas[ID],186)),"")</f>
      </c>
      <c r="B193" s="62" t="str">
        <f>IF($A193="","",IFERROR(INDEX(TblTareas[Responsable],186),""))</f>
      </c>
      <c r="C193" s="62" t="str">
        <f>IF($A193="","",IFERROR(INDEX(TblTareas[Trabajo],186),""))</f>
      </c>
      <c r="D193" s="62" t="str">
        <f>IF($A193="","",IFERROR(INDEX(TblTareas[Estado],186),""))</f>
      </c>
      <c r="E193" s="64" t="str">
        <f>IF($A193="","",IF(AND(INDEX(TblTareas[Activa],186)=1,E$7&gt;=INDEX(TblTareas[Semana],186),E$7&lt;INDEX(TblTareas[Semana],186)+INDEX(TblTareas[Duracion],186)),INDEX(TblTareas[Horas],186)/INDEX(TblTareas[Duracion],186),""))</f>
      </c>
      <c r="F193" s="64" t="str">
        <f>IF($A193="","",IF(AND(INDEX(TblTareas[Activa],186)=1,F$7&gt;=INDEX(TblTareas[Semana],186),F$7&lt;INDEX(TblTareas[Semana],186)+INDEX(TblTareas[Duracion],186)),INDEX(TblTareas[Horas],186)/INDEX(TblTareas[Duracion],186),""))</f>
      </c>
      <c r="G193" s="64" t="str">
        <f>IF($A193="","",IF(AND(INDEX(TblTareas[Activa],186)=1,G$7&gt;=INDEX(TblTareas[Semana],186),G$7&lt;INDEX(TblTareas[Semana],186)+INDEX(TblTareas[Duracion],186)),INDEX(TblTareas[Horas],186)/INDEX(TblTareas[Duracion],186),""))</f>
      </c>
      <c r="H193" s="64" t="str">
        <f>IF($A193="","",IF(AND(INDEX(TblTareas[Activa],186)=1,H$7&gt;=INDEX(TblTareas[Semana],186),H$7&lt;INDEX(TblTareas[Semana],186)+INDEX(TblTareas[Duracion],186)),INDEX(TblTareas[Horas],186)/INDEX(TblTareas[Duracion],186),""))</f>
      </c>
      <c r="I193" s="64" t="str">
        <f>IF($A193="","",IF(AND(INDEX(TblTareas[Activa],186)=1,I$7&gt;=INDEX(TblTareas[Semana],186),I$7&lt;INDEX(TblTareas[Semana],186)+INDEX(TblTareas[Duracion],186)),INDEX(TblTareas[Horas],186)/INDEX(TblTareas[Duracion],186),""))</f>
      </c>
      <c r="J193" s="64" t="str">
        <f>IF($A193="","",IF(AND(INDEX(TblTareas[Activa],186)=1,J$7&gt;=INDEX(TblTareas[Semana],186),J$7&lt;INDEX(TblTareas[Semana],186)+INDEX(TblTareas[Duracion],186)),INDEX(TblTareas[Horas],186)/INDEX(TblTareas[Duracion],186),""))</f>
      </c>
      <c r="K193" s="64" t="str">
        <f>IF($A193="","",IF(AND(INDEX(TblTareas[Activa],186)=1,K$7&gt;=INDEX(TblTareas[Semana],186),K$7&lt;INDEX(TblTareas[Semana],186)+INDEX(TblTareas[Duracion],186)),INDEX(TblTareas[Horas],186)/INDEX(TblTareas[Duracion],186),""))</f>
      </c>
      <c r="L193" s="64" t="str">
        <f>IF($A193="","",IF(AND(INDEX(TblTareas[Activa],186)=1,L$7&gt;=INDEX(TblTareas[Semana],186),L$7&lt;INDEX(TblTareas[Semana],186)+INDEX(TblTareas[Duracion],186)),INDEX(TblTareas[Horas],186)/INDEX(TblTareas[Duracion],186),""))</f>
      </c>
      <c r="M193" s="64" t="str">
        <f>IF($A193="","",IF(AND(INDEX(TblTareas[Activa],186)=1,M$7&gt;=INDEX(TblTareas[Semana],186),M$7&lt;INDEX(TblTareas[Semana],186)+INDEX(TblTareas[Duracion],186)),INDEX(TblTareas[Horas],186)/INDEX(TblTareas[Duracion],186),""))</f>
      </c>
      <c r="N193" s="64" t="str">
        <f>IF($A193="","",IF(AND(INDEX(TblTareas[Activa],186)=1,N$7&gt;=INDEX(TblTareas[Semana],186),N$7&lt;INDEX(TblTareas[Semana],186)+INDEX(TblTareas[Duracion],186)),INDEX(TblTareas[Horas],186)/INDEX(TblTareas[Duracion],186),""))</f>
      </c>
      <c r="O193" s="64" t="str">
        <f>IF($A193="","",IF(AND(INDEX(TblTareas[Activa],186)=1,O$7&gt;=INDEX(TblTareas[Semana],186),O$7&lt;INDEX(TblTareas[Semana],186)+INDEX(TblTareas[Duracion],186)),INDEX(TblTareas[Horas],186)/INDEX(TblTareas[Duracion],186),""))</f>
      </c>
      <c r="P193" s="64" t="str">
        <f>IF($A193="","",IF(AND(INDEX(TblTareas[Activa],186)=1,P$7&gt;=INDEX(TblTareas[Semana],186),P$7&lt;INDEX(TblTareas[Semana],186)+INDEX(TblTareas[Duracion],186)),INDEX(TblTareas[Horas],186)/INDEX(TblTareas[Duracion],186),""))</f>
      </c>
      <c r="Q193" s="64" t="str">
        <f>IF($A193="","",IF(AND(INDEX(TblTareas[Activa],186)=1,Q$7&gt;=INDEX(TblTareas[Semana],186),Q$7&lt;INDEX(TblTareas[Semana],186)+INDEX(TblTareas[Duracion],186)),INDEX(TblTareas[Horas],186)/INDEX(TblTareas[Duracion],186),""))</f>
      </c>
      <c r="R193" s="64" t="str">
        <f>IF($A193="","",IF(AND(INDEX(TblTareas[Activa],186)=1,R$7&gt;=INDEX(TblTareas[Semana],186),R$7&lt;INDEX(TblTareas[Semana],186)+INDEX(TblTareas[Duracion],186)),INDEX(TblTareas[Horas],186)/INDEX(TblTareas[Duracion],186),""))</f>
      </c>
      <c r="S193" s="64" t="str">
        <f>IF($A193="","",IF(AND(INDEX(TblTareas[Activa],186)=1,S$7&gt;=INDEX(TblTareas[Semana],186),S$7&lt;INDEX(TblTareas[Semana],186)+INDEX(TblTareas[Duracion],186)),INDEX(TblTareas[Horas],186)/INDEX(TblTareas[Duracion],186),""))</f>
      </c>
      <c r="T193" s="64" t="str">
        <f>IF($A193="","",IF(AND(INDEX(TblTareas[Activa],186)=1,T$7&gt;=INDEX(TblTareas[Semana],186),T$7&lt;INDEX(TblTareas[Semana],186)+INDEX(TblTareas[Duracion],186)),INDEX(TblTareas[Horas],186)/INDEX(TblTareas[Duracion],186),""))</f>
      </c>
    </row>
    <row r="194" ht="34" customHeight="1">
      <c r="A194" s="62" t="str">
        <f>IFERROR(IF(INDEX(TblTareas[ID],187)="","",INDEX(TblTareas[ID],187)),"")</f>
      </c>
      <c r="B194" s="62" t="str">
        <f>IF($A194="","",IFERROR(INDEX(TblTareas[Responsable],187),""))</f>
      </c>
      <c r="C194" s="62" t="str">
        <f>IF($A194="","",IFERROR(INDEX(TblTareas[Trabajo],187),""))</f>
      </c>
      <c r="D194" s="62" t="str">
        <f>IF($A194="","",IFERROR(INDEX(TblTareas[Estado],187),""))</f>
      </c>
      <c r="E194" s="64" t="str">
        <f>IF($A194="","",IF(AND(INDEX(TblTareas[Activa],187)=1,E$7&gt;=INDEX(TblTareas[Semana],187),E$7&lt;INDEX(TblTareas[Semana],187)+INDEX(TblTareas[Duracion],187)),INDEX(TblTareas[Horas],187)/INDEX(TblTareas[Duracion],187),""))</f>
      </c>
      <c r="F194" s="64" t="str">
        <f>IF($A194="","",IF(AND(INDEX(TblTareas[Activa],187)=1,F$7&gt;=INDEX(TblTareas[Semana],187),F$7&lt;INDEX(TblTareas[Semana],187)+INDEX(TblTareas[Duracion],187)),INDEX(TblTareas[Horas],187)/INDEX(TblTareas[Duracion],187),""))</f>
      </c>
      <c r="G194" s="64" t="str">
        <f>IF($A194="","",IF(AND(INDEX(TblTareas[Activa],187)=1,G$7&gt;=INDEX(TblTareas[Semana],187),G$7&lt;INDEX(TblTareas[Semana],187)+INDEX(TblTareas[Duracion],187)),INDEX(TblTareas[Horas],187)/INDEX(TblTareas[Duracion],187),""))</f>
      </c>
      <c r="H194" s="64" t="str">
        <f>IF($A194="","",IF(AND(INDEX(TblTareas[Activa],187)=1,H$7&gt;=INDEX(TblTareas[Semana],187),H$7&lt;INDEX(TblTareas[Semana],187)+INDEX(TblTareas[Duracion],187)),INDEX(TblTareas[Horas],187)/INDEX(TblTareas[Duracion],187),""))</f>
      </c>
      <c r="I194" s="64" t="str">
        <f>IF($A194="","",IF(AND(INDEX(TblTareas[Activa],187)=1,I$7&gt;=INDEX(TblTareas[Semana],187),I$7&lt;INDEX(TblTareas[Semana],187)+INDEX(TblTareas[Duracion],187)),INDEX(TblTareas[Horas],187)/INDEX(TblTareas[Duracion],187),""))</f>
      </c>
      <c r="J194" s="64" t="str">
        <f>IF($A194="","",IF(AND(INDEX(TblTareas[Activa],187)=1,J$7&gt;=INDEX(TblTareas[Semana],187),J$7&lt;INDEX(TblTareas[Semana],187)+INDEX(TblTareas[Duracion],187)),INDEX(TblTareas[Horas],187)/INDEX(TblTareas[Duracion],187),""))</f>
      </c>
      <c r="K194" s="64" t="str">
        <f>IF($A194="","",IF(AND(INDEX(TblTareas[Activa],187)=1,K$7&gt;=INDEX(TblTareas[Semana],187),K$7&lt;INDEX(TblTareas[Semana],187)+INDEX(TblTareas[Duracion],187)),INDEX(TblTareas[Horas],187)/INDEX(TblTareas[Duracion],187),""))</f>
      </c>
      <c r="L194" s="64" t="str">
        <f>IF($A194="","",IF(AND(INDEX(TblTareas[Activa],187)=1,L$7&gt;=INDEX(TblTareas[Semana],187),L$7&lt;INDEX(TblTareas[Semana],187)+INDEX(TblTareas[Duracion],187)),INDEX(TblTareas[Horas],187)/INDEX(TblTareas[Duracion],187),""))</f>
      </c>
      <c r="M194" s="64" t="str">
        <f>IF($A194="","",IF(AND(INDEX(TblTareas[Activa],187)=1,M$7&gt;=INDEX(TblTareas[Semana],187),M$7&lt;INDEX(TblTareas[Semana],187)+INDEX(TblTareas[Duracion],187)),INDEX(TblTareas[Horas],187)/INDEX(TblTareas[Duracion],187),""))</f>
      </c>
      <c r="N194" s="64" t="str">
        <f>IF($A194="","",IF(AND(INDEX(TblTareas[Activa],187)=1,N$7&gt;=INDEX(TblTareas[Semana],187),N$7&lt;INDEX(TblTareas[Semana],187)+INDEX(TblTareas[Duracion],187)),INDEX(TblTareas[Horas],187)/INDEX(TblTareas[Duracion],187),""))</f>
      </c>
      <c r="O194" s="64" t="str">
        <f>IF($A194="","",IF(AND(INDEX(TblTareas[Activa],187)=1,O$7&gt;=INDEX(TblTareas[Semana],187),O$7&lt;INDEX(TblTareas[Semana],187)+INDEX(TblTareas[Duracion],187)),INDEX(TblTareas[Horas],187)/INDEX(TblTareas[Duracion],187),""))</f>
      </c>
      <c r="P194" s="64" t="str">
        <f>IF($A194="","",IF(AND(INDEX(TblTareas[Activa],187)=1,P$7&gt;=INDEX(TblTareas[Semana],187),P$7&lt;INDEX(TblTareas[Semana],187)+INDEX(TblTareas[Duracion],187)),INDEX(TblTareas[Horas],187)/INDEX(TblTareas[Duracion],187),""))</f>
      </c>
      <c r="Q194" s="64" t="str">
        <f>IF($A194="","",IF(AND(INDEX(TblTareas[Activa],187)=1,Q$7&gt;=INDEX(TblTareas[Semana],187),Q$7&lt;INDEX(TblTareas[Semana],187)+INDEX(TblTareas[Duracion],187)),INDEX(TblTareas[Horas],187)/INDEX(TblTareas[Duracion],187),""))</f>
      </c>
      <c r="R194" s="64" t="str">
        <f>IF($A194="","",IF(AND(INDEX(TblTareas[Activa],187)=1,R$7&gt;=INDEX(TblTareas[Semana],187),R$7&lt;INDEX(TblTareas[Semana],187)+INDEX(TblTareas[Duracion],187)),INDEX(TblTareas[Horas],187)/INDEX(TblTareas[Duracion],187),""))</f>
      </c>
      <c r="S194" s="64" t="str">
        <f>IF($A194="","",IF(AND(INDEX(TblTareas[Activa],187)=1,S$7&gt;=INDEX(TblTareas[Semana],187),S$7&lt;INDEX(TblTareas[Semana],187)+INDEX(TblTareas[Duracion],187)),INDEX(TblTareas[Horas],187)/INDEX(TblTareas[Duracion],187),""))</f>
      </c>
      <c r="T194" s="64" t="str">
        <f>IF($A194="","",IF(AND(INDEX(TblTareas[Activa],187)=1,T$7&gt;=INDEX(TblTareas[Semana],187),T$7&lt;INDEX(TblTareas[Semana],187)+INDEX(TblTareas[Duracion],187)),INDEX(TblTareas[Horas],187)/INDEX(TblTareas[Duracion],187),""))</f>
      </c>
    </row>
    <row r="195" ht="34" customHeight="1">
      <c r="A195" s="62" t="str">
        <f>IFERROR(IF(INDEX(TblTareas[ID],188)="","",INDEX(TblTareas[ID],188)),"")</f>
      </c>
      <c r="B195" s="62" t="str">
        <f>IF($A195="","",IFERROR(INDEX(TblTareas[Responsable],188),""))</f>
      </c>
      <c r="C195" s="62" t="str">
        <f>IF($A195="","",IFERROR(INDEX(TblTareas[Trabajo],188),""))</f>
      </c>
      <c r="D195" s="62" t="str">
        <f>IF($A195="","",IFERROR(INDEX(TblTareas[Estado],188),""))</f>
      </c>
      <c r="E195" s="64" t="str">
        <f>IF($A195="","",IF(AND(INDEX(TblTareas[Activa],188)=1,E$7&gt;=INDEX(TblTareas[Semana],188),E$7&lt;INDEX(TblTareas[Semana],188)+INDEX(TblTareas[Duracion],188)),INDEX(TblTareas[Horas],188)/INDEX(TblTareas[Duracion],188),""))</f>
      </c>
      <c r="F195" s="64" t="str">
        <f>IF($A195="","",IF(AND(INDEX(TblTareas[Activa],188)=1,F$7&gt;=INDEX(TblTareas[Semana],188),F$7&lt;INDEX(TblTareas[Semana],188)+INDEX(TblTareas[Duracion],188)),INDEX(TblTareas[Horas],188)/INDEX(TblTareas[Duracion],188),""))</f>
      </c>
      <c r="G195" s="64" t="str">
        <f>IF($A195="","",IF(AND(INDEX(TblTareas[Activa],188)=1,G$7&gt;=INDEX(TblTareas[Semana],188),G$7&lt;INDEX(TblTareas[Semana],188)+INDEX(TblTareas[Duracion],188)),INDEX(TblTareas[Horas],188)/INDEX(TblTareas[Duracion],188),""))</f>
      </c>
      <c r="H195" s="64" t="str">
        <f>IF($A195="","",IF(AND(INDEX(TblTareas[Activa],188)=1,H$7&gt;=INDEX(TblTareas[Semana],188),H$7&lt;INDEX(TblTareas[Semana],188)+INDEX(TblTareas[Duracion],188)),INDEX(TblTareas[Horas],188)/INDEX(TblTareas[Duracion],188),""))</f>
      </c>
      <c r="I195" s="64" t="str">
        <f>IF($A195="","",IF(AND(INDEX(TblTareas[Activa],188)=1,I$7&gt;=INDEX(TblTareas[Semana],188),I$7&lt;INDEX(TblTareas[Semana],188)+INDEX(TblTareas[Duracion],188)),INDEX(TblTareas[Horas],188)/INDEX(TblTareas[Duracion],188),""))</f>
      </c>
      <c r="J195" s="64" t="str">
        <f>IF($A195="","",IF(AND(INDEX(TblTareas[Activa],188)=1,J$7&gt;=INDEX(TblTareas[Semana],188),J$7&lt;INDEX(TblTareas[Semana],188)+INDEX(TblTareas[Duracion],188)),INDEX(TblTareas[Horas],188)/INDEX(TblTareas[Duracion],188),""))</f>
      </c>
      <c r="K195" s="64" t="str">
        <f>IF($A195="","",IF(AND(INDEX(TblTareas[Activa],188)=1,K$7&gt;=INDEX(TblTareas[Semana],188),K$7&lt;INDEX(TblTareas[Semana],188)+INDEX(TblTareas[Duracion],188)),INDEX(TblTareas[Horas],188)/INDEX(TblTareas[Duracion],188),""))</f>
      </c>
      <c r="L195" s="64" t="str">
        <f>IF($A195="","",IF(AND(INDEX(TblTareas[Activa],188)=1,L$7&gt;=INDEX(TblTareas[Semana],188),L$7&lt;INDEX(TblTareas[Semana],188)+INDEX(TblTareas[Duracion],188)),INDEX(TblTareas[Horas],188)/INDEX(TblTareas[Duracion],188),""))</f>
      </c>
      <c r="M195" s="64" t="str">
        <f>IF($A195="","",IF(AND(INDEX(TblTareas[Activa],188)=1,M$7&gt;=INDEX(TblTareas[Semana],188),M$7&lt;INDEX(TblTareas[Semana],188)+INDEX(TblTareas[Duracion],188)),INDEX(TblTareas[Horas],188)/INDEX(TblTareas[Duracion],188),""))</f>
      </c>
      <c r="N195" s="64" t="str">
        <f>IF($A195="","",IF(AND(INDEX(TblTareas[Activa],188)=1,N$7&gt;=INDEX(TblTareas[Semana],188),N$7&lt;INDEX(TblTareas[Semana],188)+INDEX(TblTareas[Duracion],188)),INDEX(TblTareas[Horas],188)/INDEX(TblTareas[Duracion],188),""))</f>
      </c>
      <c r="O195" s="64" t="str">
        <f>IF($A195="","",IF(AND(INDEX(TblTareas[Activa],188)=1,O$7&gt;=INDEX(TblTareas[Semana],188),O$7&lt;INDEX(TblTareas[Semana],188)+INDEX(TblTareas[Duracion],188)),INDEX(TblTareas[Horas],188)/INDEX(TblTareas[Duracion],188),""))</f>
      </c>
      <c r="P195" s="64" t="str">
        <f>IF($A195="","",IF(AND(INDEX(TblTareas[Activa],188)=1,P$7&gt;=INDEX(TblTareas[Semana],188),P$7&lt;INDEX(TblTareas[Semana],188)+INDEX(TblTareas[Duracion],188)),INDEX(TblTareas[Horas],188)/INDEX(TblTareas[Duracion],188),""))</f>
      </c>
      <c r="Q195" s="64" t="str">
        <f>IF($A195="","",IF(AND(INDEX(TblTareas[Activa],188)=1,Q$7&gt;=INDEX(TblTareas[Semana],188),Q$7&lt;INDEX(TblTareas[Semana],188)+INDEX(TblTareas[Duracion],188)),INDEX(TblTareas[Horas],188)/INDEX(TblTareas[Duracion],188),""))</f>
      </c>
      <c r="R195" s="64" t="str">
        <f>IF($A195="","",IF(AND(INDEX(TblTareas[Activa],188)=1,R$7&gt;=INDEX(TblTareas[Semana],188),R$7&lt;INDEX(TblTareas[Semana],188)+INDEX(TblTareas[Duracion],188)),INDEX(TblTareas[Horas],188)/INDEX(TblTareas[Duracion],188),""))</f>
      </c>
      <c r="S195" s="64" t="str">
        <f>IF($A195="","",IF(AND(INDEX(TblTareas[Activa],188)=1,S$7&gt;=INDEX(TblTareas[Semana],188),S$7&lt;INDEX(TblTareas[Semana],188)+INDEX(TblTareas[Duracion],188)),INDEX(TblTareas[Horas],188)/INDEX(TblTareas[Duracion],188),""))</f>
      </c>
      <c r="T195" s="64" t="str">
        <f>IF($A195="","",IF(AND(INDEX(TblTareas[Activa],188)=1,T$7&gt;=INDEX(TblTareas[Semana],188),T$7&lt;INDEX(TblTareas[Semana],188)+INDEX(TblTareas[Duracion],188)),INDEX(TblTareas[Horas],188)/INDEX(TblTareas[Duracion],188),""))</f>
      </c>
    </row>
    <row r="196" ht="34" customHeight="1">
      <c r="A196" s="62" t="str">
        <f>IFERROR(IF(INDEX(TblTareas[ID],189)="","",INDEX(TblTareas[ID],189)),"")</f>
      </c>
      <c r="B196" s="62" t="str">
        <f>IF($A196="","",IFERROR(INDEX(TblTareas[Responsable],189),""))</f>
      </c>
      <c r="C196" s="62" t="str">
        <f>IF($A196="","",IFERROR(INDEX(TblTareas[Trabajo],189),""))</f>
      </c>
      <c r="D196" s="62" t="str">
        <f>IF($A196="","",IFERROR(INDEX(TblTareas[Estado],189),""))</f>
      </c>
      <c r="E196" s="64" t="str">
        <f>IF($A196="","",IF(AND(INDEX(TblTareas[Activa],189)=1,E$7&gt;=INDEX(TblTareas[Semana],189),E$7&lt;INDEX(TblTareas[Semana],189)+INDEX(TblTareas[Duracion],189)),INDEX(TblTareas[Horas],189)/INDEX(TblTareas[Duracion],189),""))</f>
      </c>
      <c r="F196" s="64" t="str">
        <f>IF($A196="","",IF(AND(INDEX(TblTareas[Activa],189)=1,F$7&gt;=INDEX(TblTareas[Semana],189),F$7&lt;INDEX(TblTareas[Semana],189)+INDEX(TblTareas[Duracion],189)),INDEX(TblTareas[Horas],189)/INDEX(TblTareas[Duracion],189),""))</f>
      </c>
      <c r="G196" s="64" t="str">
        <f>IF($A196="","",IF(AND(INDEX(TblTareas[Activa],189)=1,G$7&gt;=INDEX(TblTareas[Semana],189),G$7&lt;INDEX(TblTareas[Semana],189)+INDEX(TblTareas[Duracion],189)),INDEX(TblTareas[Horas],189)/INDEX(TblTareas[Duracion],189),""))</f>
      </c>
      <c r="H196" s="64" t="str">
        <f>IF($A196="","",IF(AND(INDEX(TblTareas[Activa],189)=1,H$7&gt;=INDEX(TblTareas[Semana],189),H$7&lt;INDEX(TblTareas[Semana],189)+INDEX(TblTareas[Duracion],189)),INDEX(TblTareas[Horas],189)/INDEX(TblTareas[Duracion],189),""))</f>
      </c>
      <c r="I196" s="64" t="str">
        <f>IF($A196="","",IF(AND(INDEX(TblTareas[Activa],189)=1,I$7&gt;=INDEX(TblTareas[Semana],189),I$7&lt;INDEX(TblTareas[Semana],189)+INDEX(TblTareas[Duracion],189)),INDEX(TblTareas[Horas],189)/INDEX(TblTareas[Duracion],189),""))</f>
      </c>
      <c r="J196" s="64" t="str">
        <f>IF($A196="","",IF(AND(INDEX(TblTareas[Activa],189)=1,J$7&gt;=INDEX(TblTareas[Semana],189),J$7&lt;INDEX(TblTareas[Semana],189)+INDEX(TblTareas[Duracion],189)),INDEX(TblTareas[Horas],189)/INDEX(TblTareas[Duracion],189),""))</f>
      </c>
      <c r="K196" s="64" t="str">
        <f>IF($A196="","",IF(AND(INDEX(TblTareas[Activa],189)=1,K$7&gt;=INDEX(TblTareas[Semana],189),K$7&lt;INDEX(TblTareas[Semana],189)+INDEX(TblTareas[Duracion],189)),INDEX(TblTareas[Horas],189)/INDEX(TblTareas[Duracion],189),""))</f>
      </c>
      <c r="L196" s="64" t="str">
        <f>IF($A196="","",IF(AND(INDEX(TblTareas[Activa],189)=1,L$7&gt;=INDEX(TblTareas[Semana],189),L$7&lt;INDEX(TblTareas[Semana],189)+INDEX(TblTareas[Duracion],189)),INDEX(TblTareas[Horas],189)/INDEX(TblTareas[Duracion],189),""))</f>
      </c>
      <c r="M196" s="64" t="str">
        <f>IF($A196="","",IF(AND(INDEX(TblTareas[Activa],189)=1,M$7&gt;=INDEX(TblTareas[Semana],189),M$7&lt;INDEX(TblTareas[Semana],189)+INDEX(TblTareas[Duracion],189)),INDEX(TblTareas[Horas],189)/INDEX(TblTareas[Duracion],189),""))</f>
      </c>
      <c r="N196" s="64" t="str">
        <f>IF($A196="","",IF(AND(INDEX(TblTareas[Activa],189)=1,N$7&gt;=INDEX(TblTareas[Semana],189),N$7&lt;INDEX(TblTareas[Semana],189)+INDEX(TblTareas[Duracion],189)),INDEX(TblTareas[Horas],189)/INDEX(TblTareas[Duracion],189),""))</f>
      </c>
      <c r="O196" s="64" t="str">
        <f>IF($A196="","",IF(AND(INDEX(TblTareas[Activa],189)=1,O$7&gt;=INDEX(TblTareas[Semana],189),O$7&lt;INDEX(TblTareas[Semana],189)+INDEX(TblTareas[Duracion],189)),INDEX(TblTareas[Horas],189)/INDEX(TblTareas[Duracion],189),""))</f>
      </c>
      <c r="P196" s="64" t="str">
        <f>IF($A196="","",IF(AND(INDEX(TblTareas[Activa],189)=1,P$7&gt;=INDEX(TblTareas[Semana],189),P$7&lt;INDEX(TblTareas[Semana],189)+INDEX(TblTareas[Duracion],189)),INDEX(TblTareas[Horas],189)/INDEX(TblTareas[Duracion],189),""))</f>
      </c>
      <c r="Q196" s="64" t="str">
        <f>IF($A196="","",IF(AND(INDEX(TblTareas[Activa],189)=1,Q$7&gt;=INDEX(TblTareas[Semana],189),Q$7&lt;INDEX(TblTareas[Semana],189)+INDEX(TblTareas[Duracion],189)),INDEX(TblTareas[Horas],189)/INDEX(TblTareas[Duracion],189),""))</f>
      </c>
      <c r="R196" s="64" t="str">
        <f>IF($A196="","",IF(AND(INDEX(TblTareas[Activa],189)=1,R$7&gt;=INDEX(TblTareas[Semana],189),R$7&lt;INDEX(TblTareas[Semana],189)+INDEX(TblTareas[Duracion],189)),INDEX(TblTareas[Horas],189)/INDEX(TblTareas[Duracion],189),""))</f>
      </c>
      <c r="S196" s="64" t="str">
        <f>IF($A196="","",IF(AND(INDEX(TblTareas[Activa],189)=1,S$7&gt;=INDEX(TblTareas[Semana],189),S$7&lt;INDEX(TblTareas[Semana],189)+INDEX(TblTareas[Duracion],189)),INDEX(TblTareas[Horas],189)/INDEX(TblTareas[Duracion],189),""))</f>
      </c>
      <c r="T196" s="64" t="str">
        <f>IF($A196="","",IF(AND(INDEX(TblTareas[Activa],189)=1,T$7&gt;=INDEX(TblTareas[Semana],189),T$7&lt;INDEX(TblTareas[Semana],189)+INDEX(TblTareas[Duracion],189)),INDEX(TblTareas[Horas],189)/INDEX(TblTareas[Duracion],189),""))</f>
      </c>
    </row>
    <row r="197" ht="34" customHeight="1">
      <c r="A197" s="62" t="str">
        <f>IFERROR(IF(INDEX(TblTareas[ID],190)="","",INDEX(TblTareas[ID],190)),"")</f>
      </c>
      <c r="B197" s="62" t="str">
        <f>IF($A197="","",IFERROR(INDEX(TblTareas[Responsable],190),""))</f>
      </c>
      <c r="C197" s="62" t="str">
        <f>IF($A197="","",IFERROR(INDEX(TblTareas[Trabajo],190),""))</f>
      </c>
      <c r="D197" s="62" t="str">
        <f>IF($A197="","",IFERROR(INDEX(TblTareas[Estado],190),""))</f>
      </c>
      <c r="E197" s="64" t="str">
        <f>IF($A197="","",IF(AND(INDEX(TblTareas[Activa],190)=1,E$7&gt;=INDEX(TblTareas[Semana],190),E$7&lt;INDEX(TblTareas[Semana],190)+INDEX(TblTareas[Duracion],190)),INDEX(TblTareas[Horas],190)/INDEX(TblTareas[Duracion],190),""))</f>
      </c>
      <c r="F197" s="64" t="str">
        <f>IF($A197="","",IF(AND(INDEX(TblTareas[Activa],190)=1,F$7&gt;=INDEX(TblTareas[Semana],190),F$7&lt;INDEX(TblTareas[Semana],190)+INDEX(TblTareas[Duracion],190)),INDEX(TblTareas[Horas],190)/INDEX(TblTareas[Duracion],190),""))</f>
      </c>
      <c r="G197" s="64" t="str">
        <f>IF($A197="","",IF(AND(INDEX(TblTareas[Activa],190)=1,G$7&gt;=INDEX(TblTareas[Semana],190),G$7&lt;INDEX(TblTareas[Semana],190)+INDEX(TblTareas[Duracion],190)),INDEX(TblTareas[Horas],190)/INDEX(TblTareas[Duracion],190),""))</f>
      </c>
      <c r="H197" s="64" t="str">
        <f>IF($A197="","",IF(AND(INDEX(TblTareas[Activa],190)=1,H$7&gt;=INDEX(TblTareas[Semana],190),H$7&lt;INDEX(TblTareas[Semana],190)+INDEX(TblTareas[Duracion],190)),INDEX(TblTareas[Horas],190)/INDEX(TblTareas[Duracion],190),""))</f>
      </c>
      <c r="I197" s="64" t="str">
        <f>IF($A197="","",IF(AND(INDEX(TblTareas[Activa],190)=1,I$7&gt;=INDEX(TblTareas[Semana],190),I$7&lt;INDEX(TblTareas[Semana],190)+INDEX(TblTareas[Duracion],190)),INDEX(TblTareas[Horas],190)/INDEX(TblTareas[Duracion],190),""))</f>
      </c>
      <c r="J197" s="64" t="str">
        <f>IF($A197="","",IF(AND(INDEX(TblTareas[Activa],190)=1,J$7&gt;=INDEX(TblTareas[Semana],190),J$7&lt;INDEX(TblTareas[Semana],190)+INDEX(TblTareas[Duracion],190)),INDEX(TblTareas[Horas],190)/INDEX(TblTareas[Duracion],190),""))</f>
      </c>
      <c r="K197" s="64" t="str">
        <f>IF($A197="","",IF(AND(INDEX(TblTareas[Activa],190)=1,K$7&gt;=INDEX(TblTareas[Semana],190),K$7&lt;INDEX(TblTareas[Semana],190)+INDEX(TblTareas[Duracion],190)),INDEX(TblTareas[Horas],190)/INDEX(TblTareas[Duracion],190),""))</f>
      </c>
      <c r="L197" s="64" t="str">
        <f>IF($A197="","",IF(AND(INDEX(TblTareas[Activa],190)=1,L$7&gt;=INDEX(TblTareas[Semana],190),L$7&lt;INDEX(TblTareas[Semana],190)+INDEX(TblTareas[Duracion],190)),INDEX(TblTareas[Horas],190)/INDEX(TblTareas[Duracion],190),""))</f>
      </c>
      <c r="M197" s="64" t="str">
        <f>IF($A197="","",IF(AND(INDEX(TblTareas[Activa],190)=1,M$7&gt;=INDEX(TblTareas[Semana],190),M$7&lt;INDEX(TblTareas[Semana],190)+INDEX(TblTareas[Duracion],190)),INDEX(TblTareas[Horas],190)/INDEX(TblTareas[Duracion],190),""))</f>
      </c>
      <c r="N197" s="64" t="str">
        <f>IF($A197="","",IF(AND(INDEX(TblTareas[Activa],190)=1,N$7&gt;=INDEX(TblTareas[Semana],190),N$7&lt;INDEX(TblTareas[Semana],190)+INDEX(TblTareas[Duracion],190)),INDEX(TblTareas[Horas],190)/INDEX(TblTareas[Duracion],190),""))</f>
      </c>
      <c r="O197" s="64" t="str">
        <f>IF($A197="","",IF(AND(INDEX(TblTareas[Activa],190)=1,O$7&gt;=INDEX(TblTareas[Semana],190),O$7&lt;INDEX(TblTareas[Semana],190)+INDEX(TblTareas[Duracion],190)),INDEX(TblTareas[Horas],190)/INDEX(TblTareas[Duracion],190),""))</f>
      </c>
      <c r="P197" s="64" t="str">
        <f>IF($A197="","",IF(AND(INDEX(TblTareas[Activa],190)=1,P$7&gt;=INDEX(TblTareas[Semana],190),P$7&lt;INDEX(TblTareas[Semana],190)+INDEX(TblTareas[Duracion],190)),INDEX(TblTareas[Horas],190)/INDEX(TblTareas[Duracion],190),""))</f>
      </c>
      <c r="Q197" s="64" t="str">
        <f>IF($A197="","",IF(AND(INDEX(TblTareas[Activa],190)=1,Q$7&gt;=INDEX(TblTareas[Semana],190),Q$7&lt;INDEX(TblTareas[Semana],190)+INDEX(TblTareas[Duracion],190)),INDEX(TblTareas[Horas],190)/INDEX(TblTareas[Duracion],190),""))</f>
      </c>
      <c r="R197" s="64" t="str">
        <f>IF($A197="","",IF(AND(INDEX(TblTareas[Activa],190)=1,R$7&gt;=INDEX(TblTareas[Semana],190),R$7&lt;INDEX(TblTareas[Semana],190)+INDEX(TblTareas[Duracion],190)),INDEX(TblTareas[Horas],190)/INDEX(TblTareas[Duracion],190),""))</f>
      </c>
      <c r="S197" s="64" t="str">
        <f>IF($A197="","",IF(AND(INDEX(TblTareas[Activa],190)=1,S$7&gt;=INDEX(TblTareas[Semana],190),S$7&lt;INDEX(TblTareas[Semana],190)+INDEX(TblTareas[Duracion],190)),INDEX(TblTareas[Horas],190)/INDEX(TblTareas[Duracion],190),""))</f>
      </c>
      <c r="T197" s="64" t="str">
        <f>IF($A197="","",IF(AND(INDEX(TblTareas[Activa],190)=1,T$7&gt;=INDEX(TblTareas[Semana],190),T$7&lt;INDEX(TblTareas[Semana],190)+INDEX(TblTareas[Duracion],190)),INDEX(TblTareas[Horas],190)/INDEX(TblTareas[Duracion],190),""))</f>
      </c>
    </row>
    <row r="198" ht="34" customHeight="1">
      <c r="A198" s="62" t="str">
        <f>IFERROR(IF(INDEX(TblTareas[ID],191)="","",INDEX(TblTareas[ID],191)),"")</f>
      </c>
      <c r="B198" s="62" t="str">
        <f>IF($A198="","",IFERROR(INDEX(TblTareas[Responsable],191),""))</f>
      </c>
      <c r="C198" s="62" t="str">
        <f>IF($A198="","",IFERROR(INDEX(TblTareas[Trabajo],191),""))</f>
      </c>
      <c r="D198" s="62" t="str">
        <f>IF($A198="","",IFERROR(INDEX(TblTareas[Estado],191),""))</f>
      </c>
      <c r="E198" s="64" t="str">
        <f>IF($A198="","",IF(AND(INDEX(TblTareas[Activa],191)=1,E$7&gt;=INDEX(TblTareas[Semana],191),E$7&lt;INDEX(TblTareas[Semana],191)+INDEX(TblTareas[Duracion],191)),INDEX(TblTareas[Horas],191)/INDEX(TblTareas[Duracion],191),""))</f>
      </c>
      <c r="F198" s="64" t="str">
        <f>IF($A198="","",IF(AND(INDEX(TblTareas[Activa],191)=1,F$7&gt;=INDEX(TblTareas[Semana],191),F$7&lt;INDEX(TblTareas[Semana],191)+INDEX(TblTareas[Duracion],191)),INDEX(TblTareas[Horas],191)/INDEX(TblTareas[Duracion],191),""))</f>
      </c>
      <c r="G198" s="64" t="str">
        <f>IF($A198="","",IF(AND(INDEX(TblTareas[Activa],191)=1,G$7&gt;=INDEX(TblTareas[Semana],191),G$7&lt;INDEX(TblTareas[Semana],191)+INDEX(TblTareas[Duracion],191)),INDEX(TblTareas[Horas],191)/INDEX(TblTareas[Duracion],191),""))</f>
      </c>
      <c r="H198" s="64" t="str">
        <f>IF($A198="","",IF(AND(INDEX(TblTareas[Activa],191)=1,H$7&gt;=INDEX(TblTareas[Semana],191),H$7&lt;INDEX(TblTareas[Semana],191)+INDEX(TblTareas[Duracion],191)),INDEX(TblTareas[Horas],191)/INDEX(TblTareas[Duracion],191),""))</f>
      </c>
      <c r="I198" s="64" t="str">
        <f>IF($A198="","",IF(AND(INDEX(TblTareas[Activa],191)=1,I$7&gt;=INDEX(TblTareas[Semana],191),I$7&lt;INDEX(TblTareas[Semana],191)+INDEX(TblTareas[Duracion],191)),INDEX(TblTareas[Horas],191)/INDEX(TblTareas[Duracion],191),""))</f>
      </c>
      <c r="J198" s="64" t="str">
        <f>IF($A198="","",IF(AND(INDEX(TblTareas[Activa],191)=1,J$7&gt;=INDEX(TblTareas[Semana],191),J$7&lt;INDEX(TblTareas[Semana],191)+INDEX(TblTareas[Duracion],191)),INDEX(TblTareas[Horas],191)/INDEX(TblTareas[Duracion],191),""))</f>
      </c>
      <c r="K198" s="64" t="str">
        <f>IF($A198="","",IF(AND(INDEX(TblTareas[Activa],191)=1,K$7&gt;=INDEX(TblTareas[Semana],191),K$7&lt;INDEX(TblTareas[Semana],191)+INDEX(TblTareas[Duracion],191)),INDEX(TblTareas[Horas],191)/INDEX(TblTareas[Duracion],191),""))</f>
      </c>
      <c r="L198" s="64" t="str">
        <f>IF($A198="","",IF(AND(INDEX(TblTareas[Activa],191)=1,L$7&gt;=INDEX(TblTareas[Semana],191),L$7&lt;INDEX(TblTareas[Semana],191)+INDEX(TblTareas[Duracion],191)),INDEX(TblTareas[Horas],191)/INDEX(TblTareas[Duracion],191),""))</f>
      </c>
      <c r="M198" s="64" t="str">
        <f>IF($A198="","",IF(AND(INDEX(TblTareas[Activa],191)=1,M$7&gt;=INDEX(TblTareas[Semana],191),M$7&lt;INDEX(TblTareas[Semana],191)+INDEX(TblTareas[Duracion],191)),INDEX(TblTareas[Horas],191)/INDEX(TblTareas[Duracion],191),""))</f>
      </c>
      <c r="N198" s="64" t="str">
        <f>IF($A198="","",IF(AND(INDEX(TblTareas[Activa],191)=1,N$7&gt;=INDEX(TblTareas[Semana],191),N$7&lt;INDEX(TblTareas[Semana],191)+INDEX(TblTareas[Duracion],191)),INDEX(TblTareas[Horas],191)/INDEX(TblTareas[Duracion],191),""))</f>
      </c>
      <c r="O198" s="64" t="str">
        <f>IF($A198="","",IF(AND(INDEX(TblTareas[Activa],191)=1,O$7&gt;=INDEX(TblTareas[Semana],191),O$7&lt;INDEX(TblTareas[Semana],191)+INDEX(TblTareas[Duracion],191)),INDEX(TblTareas[Horas],191)/INDEX(TblTareas[Duracion],191),""))</f>
      </c>
      <c r="P198" s="64" t="str">
        <f>IF($A198="","",IF(AND(INDEX(TblTareas[Activa],191)=1,P$7&gt;=INDEX(TblTareas[Semana],191),P$7&lt;INDEX(TblTareas[Semana],191)+INDEX(TblTareas[Duracion],191)),INDEX(TblTareas[Horas],191)/INDEX(TblTareas[Duracion],191),""))</f>
      </c>
      <c r="Q198" s="64" t="str">
        <f>IF($A198="","",IF(AND(INDEX(TblTareas[Activa],191)=1,Q$7&gt;=INDEX(TblTareas[Semana],191),Q$7&lt;INDEX(TblTareas[Semana],191)+INDEX(TblTareas[Duracion],191)),INDEX(TblTareas[Horas],191)/INDEX(TblTareas[Duracion],191),""))</f>
      </c>
      <c r="R198" s="64" t="str">
        <f>IF($A198="","",IF(AND(INDEX(TblTareas[Activa],191)=1,R$7&gt;=INDEX(TblTareas[Semana],191),R$7&lt;INDEX(TblTareas[Semana],191)+INDEX(TblTareas[Duracion],191)),INDEX(TblTareas[Horas],191)/INDEX(TblTareas[Duracion],191),""))</f>
      </c>
      <c r="S198" s="64" t="str">
        <f>IF($A198="","",IF(AND(INDEX(TblTareas[Activa],191)=1,S$7&gt;=INDEX(TblTareas[Semana],191),S$7&lt;INDEX(TblTareas[Semana],191)+INDEX(TblTareas[Duracion],191)),INDEX(TblTareas[Horas],191)/INDEX(TblTareas[Duracion],191),""))</f>
      </c>
      <c r="T198" s="64" t="str">
        <f>IF($A198="","",IF(AND(INDEX(TblTareas[Activa],191)=1,T$7&gt;=INDEX(TblTareas[Semana],191),T$7&lt;INDEX(TblTareas[Semana],191)+INDEX(TblTareas[Duracion],191)),INDEX(TblTareas[Horas],191)/INDEX(TblTareas[Duracion],191),""))</f>
      </c>
    </row>
    <row r="199" ht="34" customHeight="1">
      <c r="A199" s="62" t="str">
        <f>IFERROR(IF(INDEX(TblTareas[ID],192)="","",INDEX(TblTareas[ID],192)),"")</f>
      </c>
      <c r="B199" s="62" t="str">
        <f>IF($A199="","",IFERROR(INDEX(TblTareas[Responsable],192),""))</f>
      </c>
      <c r="C199" s="62" t="str">
        <f>IF($A199="","",IFERROR(INDEX(TblTareas[Trabajo],192),""))</f>
      </c>
      <c r="D199" s="62" t="str">
        <f>IF($A199="","",IFERROR(INDEX(TblTareas[Estado],192),""))</f>
      </c>
      <c r="E199" s="64" t="str">
        <f>IF($A199="","",IF(AND(INDEX(TblTareas[Activa],192)=1,E$7&gt;=INDEX(TblTareas[Semana],192),E$7&lt;INDEX(TblTareas[Semana],192)+INDEX(TblTareas[Duracion],192)),INDEX(TblTareas[Horas],192)/INDEX(TblTareas[Duracion],192),""))</f>
      </c>
      <c r="F199" s="64" t="str">
        <f>IF($A199="","",IF(AND(INDEX(TblTareas[Activa],192)=1,F$7&gt;=INDEX(TblTareas[Semana],192),F$7&lt;INDEX(TblTareas[Semana],192)+INDEX(TblTareas[Duracion],192)),INDEX(TblTareas[Horas],192)/INDEX(TblTareas[Duracion],192),""))</f>
      </c>
      <c r="G199" s="64" t="str">
        <f>IF($A199="","",IF(AND(INDEX(TblTareas[Activa],192)=1,G$7&gt;=INDEX(TblTareas[Semana],192),G$7&lt;INDEX(TblTareas[Semana],192)+INDEX(TblTareas[Duracion],192)),INDEX(TblTareas[Horas],192)/INDEX(TblTareas[Duracion],192),""))</f>
      </c>
      <c r="H199" s="64" t="str">
        <f>IF($A199="","",IF(AND(INDEX(TblTareas[Activa],192)=1,H$7&gt;=INDEX(TblTareas[Semana],192),H$7&lt;INDEX(TblTareas[Semana],192)+INDEX(TblTareas[Duracion],192)),INDEX(TblTareas[Horas],192)/INDEX(TblTareas[Duracion],192),""))</f>
      </c>
      <c r="I199" s="64" t="str">
        <f>IF($A199="","",IF(AND(INDEX(TblTareas[Activa],192)=1,I$7&gt;=INDEX(TblTareas[Semana],192),I$7&lt;INDEX(TblTareas[Semana],192)+INDEX(TblTareas[Duracion],192)),INDEX(TblTareas[Horas],192)/INDEX(TblTareas[Duracion],192),""))</f>
      </c>
      <c r="J199" s="64" t="str">
        <f>IF($A199="","",IF(AND(INDEX(TblTareas[Activa],192)=1,J$7&gt;=INDEX(TblTareas[Semana],192),J$7&lt;INDEX(TblTareas[Semana],192)+INDEX(TblTareas[Duracion],192)),INDEX(TblTareas[Horas],192)/INDEX(TblTareas[Duracion],192),""))</f>
      </c>
      <c r="K199" s="64" t="str">
        <f>IF($A199="","",IF(AND(INDEX(TblTareas[Activa],192)=1,K$7&gt;=INDEX(TblTareas[Semana],192),K$7&lt;INDEX(TblTareas[Semana],192)+INDEX(TblTareas[Duracion],192)),INDEX(TblTareas[Horas],192)/INDEX(TblTareas[Duracion],192),""))</f>
      </c>
      <c r="L199" s="64" t="str">
        <f>IF($A199="","",IF(AND(INDEX(TblTareas[Activa],192)=1,L$7&gt;=INDEX(TblTareas[Semana],192),L$7&lt;INDEX(TblTareas[Semana],192)+INDEX(TblTareas[Duracion],192)),INDEX(TblTareas[Horas],192)/INDEX(TblTareas[Duracion],192),""))</f>
      </c>
      <c r="M199" s="64" t="str">
        <f>IF($A199="","",IF(AND(INDEX(TblTareas[Activa],192)=1,M$7&gt;=INDEX(TblTareas[Semana],192),M$7&lt;INDEX(TblTareas[Semana],192)+INDEX(TblTareas[Duracion],192)),INDEX(TblTareas[Horas],192)/INDEX(TblTareas[Duracion],192),""))</f>
      </c>
      <c r="N199" s="64" t="str">
        <f>IF($A199="","",IF(AND(INDEX(TblTareas[Activa],192)=1,N$7&gt;=INDEX(TblTareas[Semana],192),N$7&lt;INDEX(TblTareas[Semana],192)+INDEX(TblTareas[Duracion],192)),INDEX(TblTareas[Horas],192)/INDEX(TblTareas[Duracion],192),""))</f>
      </c>
      <c r="O199" s="64" t="str">
        <f>IF($A199="","",IF(AND(INDEX(TblTareas[Activa],192)=1,O$7&gt;=INDEX(TblTareas[Semana],192),O$7&lt;INDEX(TblTareas[Semana],192)+INDEX(TblTareas[Duracion],192)),INDEX(TblTareas[Horas],192)/INDEX(TblTareas[Duracion],192),""))</f>
      </c>
      <c r="P199" s="64" t="str">
        <f>IF($A199="","",IF(AND(INDEX(TblTareas[Activa],192)=1,P$7&gt;=INDEX(TblTareas[Semana],192),P$7&lt;INDEX(TblTareas[Semana],192)+INDEX(TblTareas[Duracion],192)),INDEX(TblTareas[Horas],192)/INDEX(TblTareas[Duracion],192),""))</f>
      </c>
      <c r="Q199" s="64" t="str">
        <f>IF($A199="","",IF(AND(INDEX(TblTareas[Activa],192)=1,Q$7&gt;=INDEX(TblTareas[Semana],192),Q$7&lt;INDEX(TblTareas[Semana],192)+INDEX(TblTareas[Duracion],192)),INDEX(TblTareas[Horas],192)/INDEX(TblTareas[Duracion],192),""))</f>
      </c>
      <c r="R199" s="64" t="str">
        <f>IF($A199="","",IF(AND(INDEX(TblTareas[Activa],192)=1,R$7&gt;=INDEX(TblTareas[Semana],192),R$7&lt;INDEX(TblTareas[Semana],192)+INDEX(TblTareas[Duracion],192)),INDEX(TblTareas[Horas],192)/INDEX(TblTareas[Duracion],192),""))</f>
      </c>
      <c r="S199" s="64" t="str">
        <f>IF($A199="","",IF(AND(INDEX(TblTareas[Activa],192)=1,S$7&gt;=INDEX(TblTareas[Semana],192),S$7&lt;INDEX(TblTareas[Semana],192)+INDEX(TblTareas[Duracion],192)),INDEX(TblTareas[Horas],192)/INDEX(TblTareas[Duracion],192),""))</f>
      </c>
      <c r="T199" s="64" t="str">
        <f>IF($A199="","",IF(AND(INDEX(TblTareas[Activa],192)=1,T$7&gt;=INDEX(TblTareas[Semana],192),T$7&lt;INDEX(TblTareas[Semana],192)+INDEX(TblTareas[Duracion],192)),INDEX(TblTareas[Horas],192)/INDEX(TblTareas[Duracion],192),""))</f>
      </c>
    </row>
    <row r="200" ht="34" customHeight="1">
      <c r="A200" s="62" t="str">
        <f>IFERROR(IF(INDEX(TblTareas[ID],193)="","",INDEX(TblTareas[ID],193)),"")</f>
      </c>
      <c r="B200" s="62" t="str">
        <f>IF($A200="","",IFERROR(INDEX(TblTareas[Responsable],193),""))</f>
      </c>
      <c r="C200" s="62" t="str">
        <f>IF($A200="","",IFERROR(INDEX(TblTareas[Trabajo],193),""))</f>
      </c>
      <c r="D200" s="62" t="str">
        <f>IF($A200="","",IFERROR(INDEX(TblTareas[Estado],193),""))</f>
      </c>
      <c r="E200" s="64" t="str">
        <f>IF($A200="","",IF(AND(INDEX(TblTareas[Activa],193)=1,E$7&gt;=INDEX(TblTareas[Semana],193),E$7&lt;INDEX(TblTareas[Semana],193)+INDEX(TblTareas[Duracion],193)),INDEX(TblTareas[Horas],193)/INDEX(TblTareas[Duracion],193),""))</f>
      </c>
      <c r="F200" s="64" t="str">
        <f>IF($A200="","",IF(AND(INDEX(TblTareas[Activa],193)=1,F$7&gt;=INDEX(TblTareas[Semana],193),F$7&lt;INDEX(TblTareas[Semana],193)+INDEX(TblTareas[Duracion],193)),INDEX(TblTareas[Horas],193)/INDEX(TblTareas[Duracion],193),""))</f>
      </c>
      <c r="G200" s="64" t="str">
        <f>IF($A200="","",IF(AND(INDEX(TblTareas[Activa],193)=1,G$7&gt;=INDEX(TblTareas[Semana],193),G$7&lt;INDEX(TblTareas[Semana],193)+INDEX(TblTareas[Duracion],193)),INDEX(TblTareas[Horas],193)/INDEX(TblTareas[Duracion],193),""))</f>
      </c>
      <c r="H200" s="64" t="str">
        <f>IF($A200="","",IF(AND(INDEX(TblTareas[Activa],193)=1,H$7&gt;=INDEX(TblTareas[Semana],193),H$7&lt;INDEX(TblTareas[Semana],193)+INDEX(TblTareas[Duracion],193)),INDEX(TblTareas[Horas],193)/INDEX(TblTareas[Duracion],193),""))</f>
      </c>
      <c r="I200" s="64" t="str">
        <f>IF($A200="","",IF(AND(INDEX(TblTareas[Activa],193)=1,I$7&gt;=INDEX(TblTareas[Semana],193),I$7&lt;INDEX(TblTareas[Semana],193)+INDEX(TblTareas[Duracion],193)),INDEX(TblTareas[Horas],193)/INDEX(TblTareas[Duracion],193),""))</f>
      </c>
      <c r="J200" s="64" t="str">
        <f>IF($A200="","",IF(AND(INDEX(TblTareas[Activa],193)=1,J$7&gt;=INDEX(TblTareas[Semana],193),J$7&lt;INDEX(TblTareas[Semana],193)+INDEX(TblTareas[Duracion],193)),INDEX(TblTareas[Horas],193)/INDEX(TblTareas[Duracion],193),""))</f>
      </c>
      <c r="K200" s="64" t="str">
        <f>IF($A200="","",IF(AND(INDEX(TblTareas[Activa],193)=1,K$7&gt;=INDEX(TblTareas[Semana],193),K$7&lt;INDEX(TblTareas[Semana],193)+INDEX(TblTareas[Duracion],193)),INDEX(TblTareas[Horas],193)/INDEX(TblTareas[Duracion],193),""))</f>
      </c>
      <c r="L200" s="64" t="str">
        <f>IF($A200="","",IF(AND(INDEX(TblTareas[Activa],193)=1,L$7&gt;=INDEX(TblTareas[Semana],193),L$7&lt;INDEX(TblTareas[Semana],193)+INDEX(TblTareas[Duracion],193)),INDEX(TblTareas[Horas],193)/INDEX(TblTareas[Duracion],193),""))</f>
      </c>
      <c r="M200" s="64" t="str">
        <f>IF($A200="","",IF(AND(INDEX(TblTareas[Activa],193)=1,M$7&gt;=INDEX(TblTareas[Semana],193),M$7&lt;INDEX(TblTareas[Semana],193)+INDEX(TblTareas[Duracion],193)),INDEX(TblTareas[Horas],193)/INDEX(TblTareas[Duracion],193),""))</f>
      </c>
      <c r="N200" s="64" t="str">
        <f>IF($A200="","",IF(AND(INDEX(TblTareas[Activa],193)=1,N$7&gt;=INDEX(TblTareas[Semana],193),N$7&lt;INDEX(TblTareas[Semana],193)+INDEX(TblTareas[Duracion],193)),INDEX(TblTareas[Horas],193)/INDEX(TblTareas[Duracion],193),""))</f>
      </c>
      <c r="O200" s="64" t="str">
        <f>IF($A200="","",IF(AND(INDEX(TblTareas[Activa],193)=1,O$7&gt;=INDEX(TblTareas[Semana],193),O$7&lt;INDEX(TblTareas[Semana],193)+INDEX(TblTareas[Duracion],193)),INDEX(TblTareas[Horas],193)/INDEX(TblTareas[Duracion],193),""))</f>
      </c>
      <c r="P200" s="64" t="str">
        <f>IF($A200="","",IF(AND(INDEX(TblTareas[Activa],193)=1,P$7&gt;=INDEX(TblTareas[Semana],193),P$7&lt;INDEX(TblTareas[Semana],193)+INDEX(TblTareas[Duracion],193)),INDEX(TblTareas[Horas],193)/INDEX(TblTareas[Duracion],193),""))</f>
      </c>
      <c r="Q200" s="64" t="str">
        <f>IF($A200="","",IF(AND(INDEX(TblTareas[Activa],193)=1,Q$7&gt;=INDEX(TblTareas[Semana],193),Q$7&lt;INDEX(TblTareas[Semana],193)+INDEX(TblTareas[Duracion],193)),INDEX(TblTareas[Horas],193)/INDEX(TblTareas[Duracion],193),""))</f>
      </c>
      <c r="R200" s="64" t="str">
        <f>IF($A200="","",IF(AND(INDEX(TblTareas[Activa],193)=1,R$7&gt;=INDEX(TblTareas[Semana],193),R$7&lt;INDEX(TblTareas[Semana],193)+INDEX(TblTareas[Duracion],193)),INDEX(TblTareas[Horas],193)/INDEX(TblTareas[Duracion],193),""))</f>
      </c>
      <c r="S200" s="64" t="str">
        <f>IF($A200="","",IF(AND(INDEX(TblTareas[Activa],193)=1,S$7&gt;=INDEX(TblTareas[Semana],193),S$7&lt;INDEX(TblTareas[Semana],193)+INDEX(TblTareas[Duracion],193)),INDEX(TblTareas[Horas],193)/INDEX(TblTareas[Duracion],193),""))</f>
      </c>
      <c r="T200" s="64" t="str">
        <f>IF($A200="","",IF(AND(INDEX(TblTareas[Activa],193)=1,T$7&gt;=INDEX(TblTareas[Semana],193),T$7&lt;INDEX(TblTareas[Semana],193)+INDEX(TblTareas[Duracion],193)),INDEX(TblTareas[Horas],193)/INDEX(TblTareas[Duracion],193),""))</f>
      </c>
    </row>
    <row r="201" ht="34" customHeight="1">
      <c r="A201" s="62" t="str">
        <f>IFERROR(IF(INDEX(TblTareas[ID],194)="","",INDEX(TblTareas[ID],194)),"")</f>
      </c>
      <c r="B201" s="62" t="str">
        <f>IF($A201="","",IFERROR(INDEX(TblTareas[Responsable],194),""))</f>
      </c>
      <c r="C201" s="62" t="str">
        <f>IF($A201="","",IFERROR(INDEX(TblTareas[Trabajo],194),""))</f>
      </c>
      <c r="D201" s="62" t="str">
        <f>IF($A201="","",IFERROR(INDEX(TblTareas[Estado],194),""))</f>
      </c>
      <c r="E201" s="64" t="str">
        <f>IF($A201="","",IF(AND(INDEX(TblTareas[Activa],194)=1,E$7&gt;=INDEX(TblTareas[Semana],194),E$7&lt;INDEX(TblTareas[Semana],194)+INDEX(TblTareas[Duracion],194)),INDEX(TblTareas[Horas],194)/INDEX(TblTareas[Duracion],194),""))</f>
      </c>
      <c r="F201" s="64" t="str">
        <f>IF($A201="","",IF(AND(INDEX(TblTareas[Activa],194)=1,F$7&gt;=INDEX(TblTareas[Semana],194),F$7&lt;INDEX(TblTareas[Semana],194)+INDEX(TblTareas[Duracion],194)),INDEX(TblTareas[Horas],194)/INDEX(TblTareas[Duracion],194),""))</f>
      </c>
      <c r="G201" s="64" t="str">
        <f>IF($A201="","",IF(AND(INDEX(TblTareas[Activa],194)=1,G$7&gt;=INDEX(TblTareas[Semana],194),G$7&lt;INDEX(TblTareas[Semana],194)+INDEX(TblTareas[Duracion],194)),INDEX(TblTareas[Horas],194)/INDEX(TblTareas[Duracion],194),""))</f>
      </c>
      <c r="H201" s="64" t="str">
        <f>IF($A201="","",IF(AND(INDEX(TblTareas[Activa],194)=1,H$7&gt;=INDEX(TblTareas[Semana],194),H$7&lt;INDEX(TblTareas[Semana],194)+INDEX(TblTareas[Duracion],194)),INDEX(TblTareas[Horas],194)/INDEX(TblTareas[Duracion],194),""))</f>
      </c>
      <c r="I201" s="64" t="str">
        <f>IF($A201="","",IF(AND(INDEX(TblTareas[Activa],194)=1,I$7&gt;=INDEX(TblTareas[Semana],194),I$7&lt;INDEX(TblTareas[Semana],194)+INDEX(TblTareas[Duracion],194)),INDEX(TblTareas[Horas],194)/INDEX(TblTareas[Duracion],194),""))</f>
      </c>
      <c r="J201" s="64" t="str">
        <f>IF($A201="","",IF(AND(INDEX(TblTareas[Activa],194)=1,J$7&gt;=INDEX(TblTareas[Semana],194),J$7&lt;INDEX(TblTareas[Semana],194)+INDEX(TblTareas[Duracion],194)),INDEX(TblTareas[Horas],194)/INDEX(TblTareas[Duracion],194),""))</f>
      </c>
      <c r="K201" s="64" t="str">
        <f>IF($A201="","",IF(AND(INDEX(TblTareas[Activa],194)=1,K$7&gt;=INDEX(TblTareas[Semana],194),K$7&lt;INDEX(TblTareas[Semana],194)+INDEX(TblTareas[Duracion],194)),INDEX(TblTareas[Horas],194)/INDEX(TblTareas[Duracion],194),""))</f>
      </c>
      <c r="L201" s="64" t="str">
        <f>IF($A201="","",IF(AND(INDEX(TblTareas[Activa],194)=1,L$7&gt;=INDEX(TblTareas[Semana],194),L$7&lt;INDEX(TblTareas[Semana],194)+INDEX(TblTareas[Duracion],194)),INDEX(TblTareas[Horas],194)/INDEX(TblTareas[Duracion],194),""))</f>
      </c>
      <c r="M201" s="64" t="str">
        <f>IF($A201="","",IF(AND(INDEX(TblTareas[Activa],194)=1,M$7&gt;=INDEX(TblTareas[Semana],194),M$7&lt;INDEX(TblTareas[Semana],194)+INDEX(TblTareas[Duracion],194)),INDEX(TblTareas[Horas],194)/INDEX(TblTareas[Duracion],194),""))</f>
      </c>
      <c r="N201" s="64" t="str">
        <f>IF($A201="","",IF(AND(INDEX(TblTareas[Activa],194)=1,N$7&gt;=INDEX(TblTareas[Semana],194),N$7&lt;INDEX(TblTareas[Semana],194)+INDEX(TblTareas[Duracion],194)),INDEX(TblTareas[Horas],194)/INDEX(TblTareas[Duracion],194),""))</f>
      </c>
      <c r="O201" s="64" t="str">
        <f>IF($A201="","",IF(AND(INDEX(TblTareas[Activa],194)=1,O$7&gt;=INDEX(TblTareas[Semana],194),O$7&lt;INDEX(TblTareas[Semana],194)+INDEX(TblTareas[Duracion],194)),INDEX(TblTareas[Horas],194)/INDEX(TblTareas[Duracion],194),""))</f>
      </c>
      <c r="P201" s="64" t="str">
        <f>IF($A201="","",IF(AND(INDEX(TblTareas[Activa],194)=1,P$7&gt;=INDEX(TblTareas[Semana],194),P$7&lt;INDEX(TblTareas[Semana],194)+INDEX(TblTareas[Duracion],194)),INDEX(TblTareas[Horas],194)/INDEX(TblTareas[Duracion],194),""))</f>
      </c>
      <c r="Q201" s="64" t="str">
        <f>IF($A201="","",IF(AND(INDEX(TblTareas[Activa],194)=1,Q$7&gt;=INDEX(TblTareas[Semana],194),Q$7&lt;INDEX(TblTareas[Semana],194)+INDEX(TblTareas[Duracion],194)),INDEX(TblTareas[Horas],194)/INDEX(TblTareas[Duracion],194),""))</f>
      </c>
      <c r="R201" s="64" t="str">
        <f>IF($A201="","",IF(AND(INDEX(TblTareas[Activa],194)=1,R$7&gt;=INDEX(TblTareas[Semana],194),R$7&lt;INDEX(TblTareas[Semana],194)+INDEX(TblTareas[Duracion],194)),INDEX(TblTareas[Horas],194)/INDEX(TblTareas[Duracion],194),""))</f>
      </c>
      <c r="S201" s="64" t="str">
        <f>IF($A201="","",IF(AND(INDEX(TblTareas[Activa],194)=1,S$7&gt;=INDEX(TblTareas[Semana],194),S$7&lt;INDEX(TblTareas[Semana],194)+INDEX(TblTareas[Duracion],194)),INDEX(TblTareas[Horas],194)/INDEX(TblTareas[Duracion],194),""))</f>
      </c>
      <c r="T201" s="64" t="str">
        <f>IF($A201="","",IF(AND(INDEX(TblTareas[Activa],194)=1,T$7&gt;=INDEX(TblTareas[Semana],194),T$7&lt;INDEX(TblTareas[Semana],194)+INDEX(TblTareas[Duracion],194)),INDEX(TblTareas[Horas],194)/INDEX(TblTareas[Duracion],194),""))</f>
      </c>
    </row>
    <row r="202" ht="34" customHeight="1">
      <c r="A202" s="62" t="str">
        <f>IFERROR(IF(INDEX(TblTareas[ID],195)="","",INDEX(TblTareas[ID],195)),"")</f>
      </c>
      <c r="B202" s="62" t="str">
        <f>IF($A202="","",IFERROR(INDEX(TblTareas[Responsable],195),""))</f>
      </c>
      <c r="C202" s="62" t="str">
        <f>IF($A202="","",IFERROR(INDEX(TblTareas[Trabajo],195),""))</f>
      </c>
      <c r="D202" s="62" t="str">
        <f>IF($A202="","",IFERROR(INDEX(TblTareas[Estado],195),""))</f>
      </c>
      <c r="E202" s="64" t="str">
        <f>IF($A202="","",IF(AND(INDEX(TblTareas[Activa],195)=1,E$7&gt;=INDEX(TblTareas[Semana],195),E$7&lt;INDEX(TblTareas[Semana],195)+INDEX(TblTareas[Duracion],195)),INDEX(TblTareas[Horas],195)/INDEX(TblTareas[Duracion],195),""))</f>
      </c>
      <c r="F202" s="64" t="str">
        <f>IF($A202="","",IF(AND(INDEX(TblTareas[Activa],195)=1,F$7&gt;=INDEX(TblTareas[Semana],195),F$7&lt;INDEX(TblTareas[Semana],195)+INDEX(TblTareas[Duracion],195)),INDEX(TblTareas[Horas],195)/INDEX(TblTareas[Duracion],195),""))</f>
      </c>
      <c r="G202" s="64" t="str">
        <f>IF($A202="","",IF(AND(INDEX(TblTareas[Activa],195)=1,G$7&gt;=INDEX(TblTareas[Semana],195),G$7&lt;INDEX(TblTareas[Semana],195)+INDEX(TblTareas[Duracion],195)),INDEX(TblTareas[Horas],195)/INDEX(TblTareas[Duracion],195),""))</f>
      </c>
      <c r="H202" s="64" t="str">
        <f>IF($A202="","",IF(AND(INDEX(TblTareas[Activa],195)=1,H$7&gt;=INDEX(TblTareas[Semana],195),H$7&lt;INDEX(TblTareas[Semana],195)+INDEX(TblTareas[Duracion],195)),INDEX(TblTareas[Horas],195)/INDEX(TblTareas[Duracion],195),""))</f>
      </c>
      <c r="I202" s="64" t="str">
        <f>IF($A202="","",IF(AND(INDEX(TblTareas[Activa],195)=1,I$7&gt;=INDEX(TblTareas[Semana],195),I$7&lt;INDEX(TblTareas[Semana],195)+INDEX(TblTareas[Duracion],195)),INDEX(TblTareas[Horas],195)/INDEX(TblTareas[Duracion],195),""))</f>
      </c>
      <c r="J202" s="64" t="str">
        <f>IF($A202="","",IF(AND(INDEX(TblTareas[Activa],195)=1,J$7&gt;=INDEX(TblTareas[Semana],195),J$7&lt;INDEX(TblTareas[Semana],195)+INDEX(TblTareas[Duracion],195)),INDEX(TblTareas[Horas],195)/INDEX(TblTareas[Duracion],195),""))</f>
      </c>
      <c r="K202" s="64" t="str">
        <f>IF($A202="","",IF(AND(INDEX(TblTareas[Activa],195)=1,K$7&gt;=INDEX(TblTareas[Semana],195),K$7&lt;INDEX(TblTareas[Semana],195)+INDEX(TblTareas[Duracion],195)),INDEX(TblTareas[Horas],195)/INDEX(TblTareas[Duracion],195),""))</f>
      </c>
      <c r="L202" s="64" t="str">
        <f>IF($A202="","",IF(AND(INDEX(TblTareas[Activa],195)=1,L$7&gt;=INDEX(TblTareas[Semana],195),L$7&lt;INDEX(TblTareas[Semana],195)+INDEX(TblTareas[Duracion],195)),INDEX(TblTareas[Horas],195)/INDEX(TblTareas[Duracion],195),""))</f>
      </c>
      <c r="M202" s="64" t="str">
        <f>IF($A202="","",IF(AND(INDEX(TblTareas[Activa],195)=1,M$7&gt;=INDEX(TblTareas[Semana],195),M$7&lt;INDEX(TblTareas[Semana],195)+INDEX(TblTareas[Duracion],195)),INDEX(TblTareas[Horas],195)/INDEX(TblTareas[Duracion],195),""))</f>
      </c>
      <c r="N202" s="64" t="str">
        <f>IF($A202="","",IF(AND(INDEX(TblTareas[Activa],195)=1,N$7&gt;=INDEX(TblTareas[Semana],195),N$7&lt;INDEX(TblTareas[Semana],195)+INDEX(TblTareas[Duracion],195)),INDEX(TblTareas[Horas],195)/INDEX(TblTareas[Duracion],195),""))</f>
      </c>
      <c r="O202" s="64" t="str">
        <f>IF($A202="","",IF(AND(INDEX(TblTareas[Activa],195)=1,O$7&gt;=INDEX(TblTareas[Semana],195),O$7&lt;INDEX(TblTareas[Semana],195)+INDEX(TblTareas[Duracion],195)),INDEX(TblTareas[Horas],195)/INDEX(TblTareas[Duracion],195),""))</f>
      </c>
      <c r="P202" s="64" t="str">
        <f>IF($A202="","",IF(AND(INDEX(TblTareas[Activa],195)=1,P$7&gt;=INDEX(TblTareas[Semana],195),P$7&lt;INDEX(TblTareas[Semana],195)+INDEX(TblTareas[Duracion],195)),INDEX(TblTareas[Horas],195)/INDEX(TblTareas[Duracion],195),""))</f>
      </c>
      <c r="Q202" s="64" t="str">
        <f>IF($A202="","",IF(AND(INDEX(TblTareas[Activa],195)=1,Q$7&gt;=INDEX(TblTareas[Semana],195),Q$7&lt;INDEX(TblTareas[Semana],195)+INDEX(TblTareas[Duracion],195)),INDEX(TblTareas[Horas],195)/INDEX(TblTareas[Duracion],195),""))</f>
      </c>
      <c r="R202" s="64" t="str">
        <f>IF($A202="","",IF(AND(INDEX(TblTareas[Activa],195)=1,R$7&gt;=INDEX(TblTareas[Semana],195),R$7&lt;INDEX(TblTareas[Semana],195)+INDEX(TblTareas[Duracion],195)),INDEX(TblTareas[Horas],195)/INDEX(TblTareas[Duracion],195),""))</f>
      </c>
      <c r="S202" s="64" t="str">
        <f>IF($A202="","",IF(AND(INDEX(TblTareas[Activa],195)=1,S$7&gt;=INDEX(TblTareas[Semana],195),S$7&lt;INDEX(TblTareas[Semana],195)+INDEX(TblTareas[Duracion],195)),INDEX(TblTareas[Horas],195)/INDEX(TblTareas[Duracion],195),""))</f>
      </c>
      <c r="T202" s="64" t="str">
        <f>IF($A202="","",IF(AND(INDEX(TblTareas[Activa],195)=1,T$7&gt;=INDEX(TblTareas[Semana],195),T$7&lt;INDEX(TblTareas[Semana],195)+INDEX(TblTareas[Duracion],195)),INDEX(TblTareas[Horas],195)/INDEX(TblTareas[Duracion],195),""))</f>
      </c>
    </row>
    <row r="203" ht="34" customHeight="1">
      <c r="A203" s="62" t="str">
        <f>IFERROR(IF(INDEX(TblTareas[ID],196)="","",INDEX(TblTareas[ID],196)),"")</f>
      </c>
      <c r="B203" s="62" t="str">
        <f>IF($A203="","",IFERROR(INDEX(TblTareas[Responsable],196),""))</f>
      </c>
      <c r="C203" s="62" t="str">
        <f>IF($A203="","",IFERROR(INDEX(TblTareas[Trabajo],196),""))</f>
      </c>
      <c r="D203" s="62" t="str">
        <f>IF($A203="","",IFERROR(INDEX(TblTareas[Estado],196),""))</f>
      </c>
      <c r="E203" s="64" t="str">
        <f>IF($A203="","",IF(AND(INDEX(TblTareas[Activa],196)=1,E$7&gt;=INDEX(TblTareas[Semana],196),E$7&lt;INDEX(TblTareas[Semana],196)+INDEX(TblTareas[Duracion],196)),INDEX(TblTareas[Horas],196)/INDEX(TblTareas[Duracion],196),""))</f>
      </c>
      <c r="F203" s="64" t="str">
        <f>IF($A203="","",IF(AND(INDEX(TblTareas[Activa],196)=1,F$7&gt;=INDEX(TblTareas[Semana],196),F$7&lt;INDEX(TblTareas[Semana],196)+INDEX(TblTareas[Duracion],196)),INDEX(TblTareas[Horas],196)/INDEX(TblTareas[Duracion],196),""))</f>
      </c>
      <c r="G203" s="64" t="str">
        <f>IF($A203="","",IF(AND(INDEX(TblTareas[Activa],196)=1,G$7&gt;=INDEX(TblTareas[Semana],196),G$7&lt;INDEX(TblTareas[Semana],196)+INDEX(TblTareas[Duracion],196)),INDEX(TblTareas[Horas],196)/INDEX(TblTareas[Duracion],196),""))</f>
      </c>
      <c r="H203" s="64" t="str">
        <f>IF($A203="","",IF(AND(INDEX(TblTareas[Activa],196)=1,H$7&gt;=INDEX(TblTareas[Semana],196),H$7&lt;INDEX(TblTareas[Semana],196)+INDEX(TblTareas[Duracion],196)),INDEX(TblTareas[Horas],196)/INDEX(TblTareas[Duracion],196),""))</f>
      </c>
      <c r="I203" s="64" t="str">
        <f>IF($A203="","",IF(AND(INDEX(TblTareas[Activa],196)=1,I$7&gt;=INDEX(TblTareas[Semana],196),I$7&lt;INDEX(TblTareas[Semana],196)+INDEX(TblTareas[Duracion],196)),INDEX(TblTareas[Horas],196)/INDEX(TblTareas[Duracion],196),""))</f>
      </c>
      <c r="J203" s="64" t="str">
        <f>IF($A203="","",IF(AND(INDEX(TblTareas[Activa],196)=1,J$7&gt;=INDEX(TblTareas[Semana],196),J$7&lt;INDEX(TblTareas[Semana],196)+INDEX(TblTareas[Duracion],196)),INDEX(TblTareas[Horas],196)/INDEX(TblTareas[Duracion],196),""))</f>
      </c>
      <c r="K203" s="64" t="str">
        <f>IF($A203="","",IF(AND(INDEX(TblTareas[Activa],196)=1,K$7&gt;=INDEX(TblTareas[Semana],196),K$7&lt;INDEX(TblTareas[Semana],196)+INDEX(TblTareas[Duracion],196)),INDEX(TblTareas[Horas],196)/INDEX(TblTareas[Duracion],196),""))</f>
      </c>
      <c r="L203" s="64" t="str">
        <f>IF($A203="","",IF(AND(INDEX(TblTareas[Activa],196)=1,L$7&gt;=INDEX(TblTareas[Semana],196),L$7&lt;INDEX(TblTareas[Semana],196)+INDEX(TblTareas[Duracion],196)),INDEX(TblTareas[Horas],196)/INDEX(TblTareas[Duracion],196),""))</f>
      </c>
      <c r="M203" s="64" t="str">
        <f>IF($A203="","",IF(AND(INDEX(TblTareas[Activa],196)=1,M$7&gt;=INDEX(TblTareas[Semana],196),M$7&lt;INDEX(TblTareas[Semana],196)+INDEX(TblTareas[Duracion],196)),INDEX(TblTareas[Horas],196)/INDEX(TblTareas[Duracion],196),""))</f>
      </c>
      <c r="N203" s="64" t="str">
        <f>IF($A203="","",IF(AND(INDEX(TblTareas[Activa],196)=1,N$7&gt;=INDEX(TblTareas[Semana],196),N$7&lt;INDEX(TblTareas[Semana],196)+INDEX(TblTareas[Duracion],196)),INDEX(TblTareas[Horas],196)/INDEX(TblTareas[Duracion],196),""))</f>
      </c>
      <c r="O203" s="64" t="str">
        <f>IF($A203="","",IF(AND(INDEX(TblTareas[Activa],196)=1,O$7&gt;=INDEX(TblTareas[Semana],196),O$7&lt;INDEX(TblTareas[Semana],196)+INDEX(TblTareas[Duracion],196)),INDEX(TblTareas[Horas],196)/INDEX(TblTareas[Duracion],196),""))</f>
      </c>
      <c r="P203" s="64" t="str">
        <f>IF($A203="","",IF(AND(INDEX(TblTareas[Activa],196)=1,P$7&gt;=INDEX(TblTareas[Semana],196),P$7&lt;INDEX(TblTareas[Semana],196)+INDEX(TblTareas[Duracion],196)),INDEX(TblTareas[Horas],196)/INDEX(TblTareas[Duracion],196),""))</f>
      </c>
      <c r="Q203" s="64" t="str">
        <f>IF($A203="","",IF(AND(INDEX(TblTareas[Activa],196)=1,Q$7&gt;=INDEX(TblTareas[Semana],196),Q$7&lt;INDEX(TblTareas[Semana],196)+INDEX(TblTareas[Duracion],196)),INDEX(TblTareas[Horas],196)/INDEX(TblTareas[Duracion],196),""))</f>
      </c>
      <c r="R203" s="64" t="str">
        <f>IF($A203="","",IF(AND(INDEX(TblTareas[Activa],196)=1,R$7&gt;=INDEX(TblTareas[Semana],196),R$7&lt;INDEX(TblTareas[Semana],196)+INDEX(TblTareas[Duracion],196)),INDEX(TblTareas[Horas],196)/INDEX(TblTareas[Duracion],196),""))</f>
      </c>
      <c r="S203" s="64" t="str">
        <f>IF($A203="","",IF(AND(INDEX(TblTareas[Activa],196)=1,S$7&gt;=INDEX(TblTareas[Semana],196),S$7&lt;INDEX(TblTareas[Semana],196)+INDEX(TblTareas[Duracion],196)),INDEX(TblTareas[Horas],196)/INDEX(TblTareas[Duracion],196),""))</f>
      </c>
      <c r="T203" s="64" t="str">
        <f>IF($A203="","",IF(AND(INDEX(TblTareas[Activa],196)=1,T$7&gt;=INDEX(TblTareas[Semana],196),T$7&lt;INDEX(TblTareas[Semana],196)+INDEX(TblTareas[Duracion],196)),INDEX(TblTareas[Horas],196)/INDEX(TblTareas[Duracion],196),""))</f>
      </c>
    </row>
    <row r="204" ht="34" customHeight="1">
      <c r="A204" s="62" t="str">
        <f>IFERROR(IF(INDEX(TblTareas[ID],197)="","",INDEX(TblTareas[ID],197)),"")</f>
      </c>
      <c r="B204" s="62" t="str">
        <f>IF($A204="","",IFERROR(INDEX(TblTareas[Responsable],197),""))</f>
      </c>
      <c r="C204" s="62" t="str">
        <f>IF($A204="","",IFERROR(INDEX(TblTareas[Trabajo],197),""))</f>
      </c>
      <c r="D204" s="62" t="str">
        <f>IF($A204="","",IFERROR(INDEX(TblTareas[Estado],197),""))</f>
      </c>
      <c r="E204" s="64" t="str">
        <f>IF($A204="","",IF(AND(INDEX(TblTareas[Activa],197)=1,E$7&gt;=INDEX(TblTareas[Semana],197),E$7&lt;INDEX(TblTareas[Semana],197)+INDEX(TblTareas[Duracion],197)),INDEX(TblTareas[Horas],197)/INDEX(TblTareas[Duracion],197),""))</f>
      </c>
      <c r="F204" s="64" t="str">
        <f>IF($A204="","",IF(AND(INDEX(TblTareas[Activa],197)=1,F$7&gt;=INDEX(TblTareas[Semana],197),F$7&lt;INDEX(TblTareas[Semana],197)+INDEX(TblTareas[Duracion],197)),INDEX(TblTareas[Horas],197)/INDEX(TblTareas[Duracion],197),""))</f>
      </c>
      <c r="G204" s="64" t="str">
        <f>IF($A204="","",IF(AND(INDEX(TblTareas[Activa],197)=1,G$7&gt;=INDEX(TblTareas[Semana],197),G$7&lt;INDEX(TblTareas[Semana],197)+INDEX(TblTareas[Duracion],197)),INDEX(TblTareas[Horas],197)/INDEX(TblTareas[Duracion],197),""))</f>
      </c>
      <c r="H204" s="64" t="str">
        <f>IF($A204="","",IF(AND(INDEX(TblTareas[Activa],197)=1,H$7&gt;=INDEX(TblTareas[Semana],197),H$7&lt;INDEX(TblTareas[Semana],197)+INDEX(TblTareas[Duracion],197)),INDEX(TblTareas[Horas],197)/INDEX(TblTareas[Duracion],197),""))</f>
      </c>
      <c r="I204" s="64" t="str">
        <f>IF($A204="","",IF(AND(INDEX(TblTareas[Activa],197)=1,I$7&gt;=INDEX(TblTareas[Semana],197),I$7&lt;INDEX(TblTareas[Semana],197)+INDEX(TblTareas[Duracion],197)),INDEX(TblTareas[Horas],197)/INDEX(TblTareas[Duracion],197),""))</f>
      </c>
      <c r="J204" s="64" t="str">
        <f>IF($A204="","",IF(AND(INDEX(TblTareas[Activa],197)=1,J$7&gt;=INDEX(TblTareas[Semana],197),J$7&lt;INDEX(TblTareas[Semana],197)+INDEX(TblTareas[Duracion],197)),INDEX(TblTareas[Horas],197)/INDEX(TblTareas[Duracion],197),""))</f>
      </c>
      <c r="K204" s="64" t="str">
        <f>IF($A204="","",IF(AND(INDEX(TblTareas[Activa],197)=1,K$7&gt;=INDEX(TblTareas[Semana],197),K$7&lt;INDEX(TblTareas[Semana],197)+INDEX(TblTareas[Duracion],197)),INDEX(TblTareas[Horas],197)/INDEX(TblTareas[Duracion],197),""))</f>
      </c>
      <c r="L204" s="64" t="str">
        <f>IF($A204="","",IF(AND(INDEX(TblTareas[Activa],197)=1,L$7&gt;=INDEX(TblTareas[Semana],197),L$7&lt;INDEX(TblTareas[Semana],197)+INDEX(TblTareas[Duracion],197)),INDEX(TblTareas[Horas],197)/INDEX(TblTareas[Duracion],197),""))</f>
      </c>
      <c r="M204" s="64" t="str">
        <f>IF($A204="","",IF(AND(INDEX(TblTareas[Activa],197)=1,M$7&gt;=INDEX(TblTareas[Semana],197),M$7&lt;INDEX(TblTareas[Semana],197)+INDEX(TblTareas[Duracion],197)),INDEX(TblTareas[Horas],197)/INDEX(TblTareas[Duracion],197),""))</f>
      </c>
      <c r="N204" s="64" t="str">
        <f>IF($A204="","",IF(AND(INDEX(TblTareas[Activa],197)=1,N$7&gt;=INDEX(TblTareas[Semana],197),N$7&lt;INDEX(TblTareas[Semana],197)+INDEX(TblTareas[Duracion],197)),INDEX(TblTareas[Horas],197)/INDEX(TblTareas[Duracion],197),""))</f>
      </c>
      <c r="O204" s="64" t="str">
        <f>IF($A204="","",IF(AND(INDEX(TblTareas[Activa],197)=1,O$7&gt;=INDEX(TblTareas[Semana],197),O$7&lt;INDEX(TblTareas[Semana],197)+INDEX(TblTareas[Duracion],197)),INDEX(TblTareas[Horas],197)/INDEX(TblTareas[Duracion],197),""))</f>
      </c>
      <c r="P204" s="64" t="str">
        <f>IF($A204="","",IF(AND(INDEX(TblTareas[Activa],197)=1,P$7&gt;=INDEX(TblTareas[Semana],197),P$7&lt;INDEX(TblTareas[Semana],197)+INDEX(TblTareas[Duracion],197)),INDEX(TblTareas[Horas],197)/INDEX(TblTareas[Duracion],197),""))</f>
      </c>
      <c r="Q204" s="64" t="str">
        <f>IF($A204="","",IF(AND(INDEX(TblTareas[Activa],197)=1,Q$7&gt;=INDEX(TblTareas[Semana],197),Q$7&lt;INDEX(TblTareas[Semana],197)+INDEX(TblTareas[Duracion],197)),INDEX(TblTareas[Horas],197)/INDEX(TblTareas[Duracion],197),""))</f>
      </c>
      <c r="R204" s="64" t="str">
        <f>IF($A204="","",IF(AND(INDEX(TblTareas[Activa],197)=1,R$7&gt;=INDEX(TblTareas[Semana],197),R$7&lt;INDEX(TblTareas[Semana],197)+INDEX(TblTareas[Duracion],197)),INDEX(TblTareas[Horas],197)/INDEX(TblTareas[Duracion],197),""))</f>
      </c>
      <c r="S204" s="64" t="str">
        <f>IF($A204="","",IF(AND(INDEX(TblTareas[Activa],197)=1,S$7&gt;=INDEX(TblTareas[Semana],197),S$7&lt;INDEX(TblTareas[Semana],197)+INDEX(TblTareas[Duracion],197)),INDEX(TblTareas[Horas],197)/INDEX(TblTareas[Duracion],197),""))</f>
      </c>
      <c r="T204" s="64" t="str">
        <f>IF($A204="","",IF(AND(INDEX(TblTareas[Activa],197)=1,T$7&gt;=INDEX(TblTareas[Semana],197),T$7&lt;INDEX(TblTareas[Semana],197)+INDEX(TblTareas[Duracion],197)),INDEX(TblTareas[Horas],197)/INDEX(TblTareas[Duracion],197),""))</f>
      </c>
    </row>
    <row r="205" ht="34" customHeight="1">
      <c r="A205" s="62" t="str">
        <f>IFERROR(IF(INDEX(TblTareas[ID],198)="","",INDEX(TblTareas[ID],198)),"")</f>
      </c>
      <c r="B205" s="62" t="str">
        <f>IF($A205="","",IFERROR(INDEX(TblTareas[Responsable],198),""))</f>
      </c>
      <c r="C205" s="62" t="str">
        <f>IF($A205="","",IFERROR(INDEX(TblTareas[Trabajo],198),""))</f>
      </c>
      <c r="D205" s="62" t="str">
        <f>IF($A205="","",IFERROR(INDEX(TblTareas[Estado],198),""))</f>
      </c>
      <c r="E205" s="64" t="str">
        <f>IF($A205="","",IF(AND(INDEX(TblTareas[Activa],198)=1,E$7&gt;=INDEX(TblTareas[Semana],198),E$7&lt;INDEX(TblTareas[Semana],198)+INDEX(TblTareas[Duracion],198)),INDEX(TblTareas[Horas],198)/INDEX(TblTareas[Duracion],198),""))</f>
      </c>
      <c r="F205" s="64" t="str">
        <f>IF($A205="","",IF(AND(INDEX(TblTareas[Activa],198)=1,F$7&gt;=INDEX(TblTareas[Semana],198),F$7&lt;INDEX(TblTareas[Semana],198)+INDEX(TblTareas[Duracion],198)),INDEX(TblTareas[Horas],198)/INDEX(TblTareas[Duracion],198),""))</f>
      </c>
      <c r="G205" s="64" t="str">
        <f>IF($A205="","",IF(AND(INDEX(TblTareas[Activa],198)=1,G$7&gt;=INDEX(TblTareas[Semana],198),G$7&lt;INDEX(TblTareas[Semana],198)+INDEX(TblTareas[Duracion],198)),INDEX(TblTareas[Horas],198)/INDEX(TblTareas[Duracion],198),""))</f>
      </c>
      <c r="H205" s="64" t="str">
        <f>IF($A205="","",IF(AND(INDEX(TblTareas[Activa],198)=1,H$7&gt;=INDEX(TblTareas[Semana],198),H$7&lt;INDEX(TblTareas[Semana],198)+INDEX(TblTareas[Duracion],198)),INDEX(TblTareas[Horas],198)/INDEX(TblTareas[Duracion],198),""))</f>
      </c>
      <c r="I205" s="64" t="str">
        <f>IF($A205="","",IF(AND(INDEX(TblTareas[Activa],198)=1,I$7&gt;=INDEX(TblTareas[Semana],198),I$7&lt;INDEX(TblTareas[Semana],198)+INDEX(TblTareas[Duracion],198)),INDEX(TblTareas[Horas],198)/INDEX(TblTareas[Duracion],198),""))</f>
      </c>
      <c r="J205" s="64" t="str">
        <f>IF($A205="","",IF(AND(INDEX(TblTareas[Activa],198)=1,J$7&gt;=INDEX(TblTareas[Semana],198),J$7&lt;INDEX(TblTareas[Semana],198)+INDEX(TblTareas[Duracion],198)),INDEX(TblTareas[Horas],198)/INDEX(TblTareas[Duracion],198),""))</f>
      </c>
      <c r="K205" s="64" t="str">
        <f>IF($A205="","",IF(AND(INDEX(TblTareas[Activa],198)=1,K$7&gt;=INDEX(TblTareas[Semana],198),K$7&lt;INDEX(TblTareas[Semana],198)+INDEX(TblTareas[Duracion],198)),INDEX(TblTareas[Horas],198)/INDEX(TblTareas[Duracion],198),""))</f>
      </c>
      <c r="L205" s="64" t="str">
        <f>IF($A205="","",IF(AND(INDEX(TblTareas[Activa],198)=1,L$7&gt;=INDEX(TblTareas[Semana],198),L$7&lt;INDEX(TblTareas[Semana],198)+INDEX(TblTareas[Duracion],198)),INDEX(TblTareas[Horas],198)/INDEX(TblTareas[Duracion],198),""))</f>
      </c>
      <c r="M205" s="64" t="str">
        <f>IF($A205="","",IF(AND(INDEX(TblTareas[Activa],198)=1,M$7&gt;=INDEX(TblTareas[Semana],198),M$7&lt;INDEX(TblTareas[Semana],198)+INDEX(TblTareas[Duracion],198)),INDEX(TblTareas[Horas],198)/INDEX(TblTareas[Duracion],198),""))</f>
      </c>
      <c r="N205" s="64" t="str">
        <f>IF($A205="","",IF(AND(INDEX(TblTareas[Activa],198)=1,N$7&gt;=INDEX(TblTareas[Semana],198),N$7&lt;INDEX(TblTareas[Semana],198)+INDEX(TblTareas[Duracion],198)),INDEX(TblTareas[Horas],198)/INDEX(TblTareas[Duracion],198),""))</f>
      </c>
      <c r="O205" s="64" t="str">
        <f>IF($A205="","",IF(AND(INDEX(TblTareas[Activa],198)=1,O$7&gt;=INDEX(TblTareas[Semana],198),O$7&lt;INDEX(TblTareas[Semana],198)+INDEX(TblTareas[Duracion],198)),INDEX(TblTareas[Horas],198)/INDEX(TblTareas[Duracion],198),""))</f>
      </c>
      <c r="P205" s="64" t="str">
        <f>IF($A205="","",IF(AND(INDEX(TblTareas[Activa],198)=1,P$7&gt;=INDEX(TblTareas[Semana],198),P$7&lt;INDEX(TblTareas[Semana],198)+INDEX(TblTareas[Duracion],198)),INDEX(TblTareas[Horas],198)/INDEX(TblTareas[Duracion],198),""))</f>
      </c>
      <c r="Q205" s="64" t="str">
        <f>IF($A205="","",IF(AND(INDEX(TblTareas[Activa],198)=1,Q$7&gt;=INDEX(TblTareas[Semana],198),Q$7&lt;INDEX(TblTareas[Semana],198)+INDEX(TblTareas[Duracion],198)),INDEX(TblTareas[Horas],198)/INDEX(TblTareas[Duracion],198),""))</f>
      </c>
      <c r="R205" s="64" t="str">
        <f>IF($A205="","",IF(AND(INDEX(TblTareas[Activa],198)=1,R$7&gt;=INDEX(TblTareas[Semana],198),R$7&lt;INDEX(TblTareas[Semana],198)+INDEX(TblTareas[Duracion],198)),INDEX(TblTareas[Horas],198)/INDEX(TblTareas[Duracion],198),""))</f>
      </c>
      <c r="S205" s="64" t="str">
        <f>IF($A205="","",IF(AND(INDEX(TblTareas[Activa],198)=1,S$7&gt;=INDEX(TblTareas[Semana],198),S$7&lt;INDEX(TblTareas[Semana],198)+INDEX(TblTareas[Duracion],198)),INDEX(TblTareas[Horas],198)/INDEX(TblTareas[Duracion],198),""))</f>
      </c>
      <c r="T205" s="64" t="str">
        <f>IF($A205="","",IF(AND(INDEX(TblTareas[Activa],198)=1,T$7&gt;=INDEX(TblTareas[Semana],198),T$7&lt;INDEX(TblTareas[Semana],198)+INDEX(TblTareas[Duracion],198)),INDEX(TblTareas[Horas],198)/INDEX(TblTareas[Duracion],198),""))</f>
      </c>
    </row>
    <row r="206" ht="34" customHeight="1">
      <c r="A206" s="62" t="str">
        <f>IFERROR(IF(INDEX(TblTareas[ID],199)="","",INDEX(TblTareas[ID],199)),"")</f>
      </c>
      <c r="B206" s="62" t="str">
        <f>IF($A206="","",IFERROR(INDEX(TblTareas[Responsable],199),""))</f>
      </c>
      <c r="C206" s="62" t="str">
        <f>IF($A206="","",IFERROR(INDEX(TblTareas[Trabajo],199),""))</f>
      </c>
      <c r="D206" s="62" t="str">
        <f>IF($A206="","",IFERROR(INDEX(TblTareas[Estado],199),""))</f>
      </c>
      <c r="E206" s="64" t="str">
        <f>IF($A206="","",IF(AND(INDEX(TblTareas[Activa],199)=1,E$7&gt;=INDEX(TblTareas[Semana],199),E$7&lt;INDEX(TblTareas[Semana],199)+INDEX(TblTareas[Duracion],199)),INDEX(TblTareas[Horas],199)/INDEX(TblTareas[Duracion],199),""))</f>
      </c>
      <c r="F206" s="64" t="str">
        <f>IF($A206="","",IF(AND(INDEX(TblTareas[Activa],199)=1,F$7&gt;=INDEX(TblTareas[Semana],199),F$7&lt;INDEX(TblTareas[Semana],199)+INDEX(TblTareas[Duracion],199)),INDEX(TblTareas[Horas],199)/INDEX(TblTareas[Duracion],199),""))</f>
      </c>
      <c r="G206" s="64" t="str">
        <f>IF($A206="","",IF(AND(INDEX(TblTareas[Activa],199)=1,G$7&gt;=INDEX(TblTareas[Semana],199),G$7&lt;INDEX(TblTareas[Semana],199)+INDEX(TblTareas[Duracion],199)),INDEX(TblTareas[Horas],199)/INDEX(TblTareas[Duracion],199),""))</f>
      </c>
      <c r="H206" s="64" t="str">
        <f>IF($A206="","",IF(AND(INDEX(TblTareas[Activa],199)=1,H$7&gt;=INDEX(TblTareas[Semana],199),H$7&lt;INDEX(TblTareas[Semana],199)+INDEX(TblTareas[Duracion],199)),INDEX(TblTareas[Horas],199)/INDEX(TblTareas[Duracion],199),""))</f>
      </c>
      <c r="I206" s="64" t="str">
        <f>IF($A206="","",IF(AND(INDEX(TblTareas[Activa],199)=1,I$7&gt;=INDEX(TblTareas[Semana],199),I$7&lt;INDEX(TblTareas[Semana],199)+INDEX(TblTareas[Duracion],199)),INDEX(TblTareas[Horas],199)/INDEX(TblTareas[Duracion],199),""))</f>
      </c>
      <c r="J206" s="64" t="str">
        <f>IF($A206="","",IF(AND(INDEX(TblTareas[Activa],199)=1,J$7&gt;=INDEX(TblTareas[Semana],199),J$7&lt;INDEX(TblTareas[Semana],199)+INDEX(TblTareas[Duracion],199)),INDEX(TblTareas[Horas],199)/INDEX(TblTareas[Duracion],199),""))</f>
      </c>
      <c r="K206" s="64" t="str">
        <f>IF($A206="","",IF(AND(INDEX(TblTareas[Activa],199)=1,K$7&gt;=INDEX(TblTareas[Semana],199),K$7&lt;INDEX(TblTareas[Semana],199)+INDEX(TblTareas[Duracion],199)),INDEX(TblTareas[Horas],199)/INDEX(TblTareas[Duracion],199),""))</f>
      </c>
      <c r="L206" s="64" t="str">
        <f>IF($A206="","",IF(AND(INDEX(TblTareas[Activa],199)=1,L$7&gt;=INDEX(TblTareas[Semana],199),L$7&lt;INDEX(TblTareas[Semana],199)+INDEX(TblTareas[Duracion],199)),INDEX(TblTareas[Horas],199)/INDEX(TblTareas[Duracion],199),""))</f>
      </c>
      <c r="M206" s="64" t="str">
        <f>IF($A206="","",IF(AND(INDEX(TblTareas[Activa],199)=1,M$7&gt;=INDEX(TblTareas[Semana],199),M$7&lt;INDEX(TblTareas[Semana],199)+INDEX(TblTareas[Duracion],199)),INDEX(TblTareas[Horas],199)/INDEX(TblTareas[Duracion],199),""))</f>
      </c>
      <c r="N206" s="64" t="str">
        <f>IF($A206="","",IF(AND(INDEX(TblTareas[Activa],199)=1,N$7&gt;=INDEX(TblTareas[Semana],199),N$7&lt;INDEX(TblTareas[Semana],199)+INDEX(TblTareas[Duracion],199)),INDEX(TblTareas[Horas],199)/INDEX(TblTareas[Duracion],199),""))</f>
      </c>
      <c r="O206" s="64" t="str">
        <f>IF($A206="","",IF(AND(INDEX(TblTareas[Activa],199)=1,O$7&gt;=INDEX(TblTareas[Semana],199),O$7&lt;INDEX(TblTareas[Semana],199)+INDEX(TblTareas[Duracion],199)),INDEX(TblTareas[Horas],199)/INDEX(TblTareas[Duracion],199),""))</f>
      </c>
      <c r="P206" s="64" t="str">
        <f>IF($A206="","",IF(AND(INDEX(TblTareas[Activa],199)=1,P$7&gt;=INDEX(TblTareas[Semana],199),P$7&lt;INDEX(TblTareas[Semana],199)+INDEX(TblTareas[Duracion],199)),INDEX(TblTareas[Horas],199)/INDEX(TblTareas[Duracion],199),""))</f>
      </c>
      <c r="Q206" s="64" t="str">
        <f>IF($A206="","",IF(AND(INDEX(TblTareas[Activa],199)=1,Q$7&gt;=INDEX(TblTareas[Semana],199),Q$7&lt;INDEX(TblTareas[Semana],199)+INDEX(TblTareas[Duracion],199)),INDEX(TblTareas[Horas],199)/INDEX(TblTareas[Duracion],199),""))</f>
      </c>
      <c r="R206" s="64" t="str">
        <f>IF($A206="","",IF(AND(INDEX(TblTareas[Activa],199)=1,R$7&gt;=INDEX(TblTareas[Semana],199),R$7&lt;INDEX(TblTareas[Semana],199)+INDEX(TblTareas[Duracion],199)),INDEX(TblTareas[Horas],199)/INDEX(TblTareas[Duracion],199),""))</f>
      </c>
      <c r="S206" s="64" t="str">
        <f>IF($A206="","",IF(AND(INDEX(TblTareas[Activa],199)=1,S$7&gt;=INDEX(TblTareas[Semana],199),S$7&lt;INDEX(TblTareas[Semana],199)+INDEX(TblTareas[Duracion],199)),INDEX(TblTareas[Horas],199)/INDEX(TblTareas[Duracion],199),""))</f>
      </c>
      <c r="T206" s="64" t="str">
        <f>IF($A206="","",IF(AND(INDEX(TblTareas[Activa],199)=1,T$7&gt;=INDEX(TblTareas[Semana],199),T$7&lt;INDEX(TblTareas[Semana],199)+INDEX(TblTareas[Duracion],199)),INDEX(TblTareas[Horas],199)/INDEX(TblTareas[Duracion],199),""))</f>
      </c>
    </row>
    <row r="207" ht="34" customHeight="1">
      <c r="A207" s="62" t="str">
        <f>IFERROR(IF(INDEX(TblTareas[ID],200)="","",INDEX(TblTareas[ID],200)),"")</f>
      </c>
      <c r="B207" s="62" t="str">
        <f>IF($A207="","",IFERROR(INDEX(TblTareas[Responsable],200),""))</f>
      </c>
      <c r="C207" s="62" t="str">
        <f>IF($A207="","",IFERROR(INDEX(TblTareas[Trabajo],200),""))</f>
      </c>
      <c r="D207" s="62" t="str">
        <f>IF($A207="","",IFERROR(INDEX(TblTareas[Estado],200),""))</f>
      </c>
      <c r="E207" s="64" t="str">
        <f>IF($A207="","",IF(AND(INDEX(TblTareas[Activa],200)=1,E$7&gt;=INDEX(TblTareas[Semana],200),E$7&lt;INDEX(TblTareas[Semana],200)+INDEX(TblTareas[Duracion],200)),INDEX(TblTareas[Horas],200)/INDEX(TblTareas[Duracion],200),""))</f>
      </c>
      <c r="F207" s="64" t="str">
        <f>IF($A207="","",IF(AND(INDEX(TblTareas[Activa],200)=1,F$7&gt;=INDEX(TblTareas[Semana],200),F$7&lt;INDEX(TblTareas[Semana],200)+INDEX(TblTareas[Duracion],200)),INDEX(TblTareas[Horas],200)/INDEX(TblTareas[Duracion],200),""))</f>
      </c>
      <c r="G207" s="64" t="str">
        <f>IF($A207="","",IF(AND(INDEX(TblTareas[Activa],200)=1,G$7&gt;=INDEX(TblTareas[Semana],200),G$7&lt;INDEX(TblTareas[Semana],200)+INDEX(TblTareas[Duracion],200)),INDEX(TblTareas[Horas],200)/INDEX(TblTareas[Duracion],200),""))</f>
      </c>
      <c r="H207" s="64" t="str">
        <f>IF($A207="","",IF(AND(INDEX(TblTareas[Activa],200)=1,H$7&gt;=INDEX(TblTareas[Semana],200),H$7&lt;INDEX(TblTareas[Semana],200)+INDEX(TblTareas[Duracion],200)),INDEX(TblTareas[Horas],200)/INDEX(TblTareas[Duracion],200),""))</f>
      </c>
      <c r="I207" s="64" t="str">
        <f>IF($A207="","",IF(AND(INDEX(TblTareas[Activa],200)=1,I$7&gt;=INDEX(TblTareas[Semana],200),I$7&lt;INDEX(TblTareas[Semana],200)+INDEX(TblTareas[Duracion],200)),INDEX(TblTareas[Horas],200)/INDEX(TblTareas[Duracion],200),""))</f>
      </c>
      <c r="J207" s="64" t="str">
        <f>IF($A207="","",IF(AND(INDEX(TblTareas[Activa],200)=1,J$7&gt;=INDEX(TblTareas[Semana],200),J$7&lt;INDEX(TblTareas[Semana],200)+INDEX(TblTareas[Duracion],200)),INDEX(TblTareas[Horas],200)/INDEX(TblTareas[Duracion],200),""))</f>
      </c>
      <c r="K207" s="64" t="str">
        <f>IF($A207="","",IF(AND(INDEX(TblTareas[Activa],200)=1,K$7&gt;=INDEX(TblTareas[Semana],200),K$7&lt;INDEX(TblTareas[Semana],200)+INDEX(TblTareas[Duracion],200)),INDEX(TblTareas[Horas],200)/INDEX(TblTareas[Duracion],200),""))</f>
      </c>
      <c r="L207" s="64" t="str">
        <f>IF($A207="","",IF(AND(INDEX(TblTareas[Activa],200)=1,L$7&gt;=INDEX(TblTareas[Semana],200),L$7&lt;INDEX(TblTareas[Semana],200)+INDEX(TblTareas[Duracion],200)),INDEX(TblTareas[Horas],200)/INDEX(TblTareas[Duracion],200),""))</f>
      </c>
      <c r="M207" s="64" t="str">
        <f>IF($A207="","",IF(AND(INDEX(TblTareas[Activa],200)=1,M$7&gt;=INDEX(TblTareas[Semana],200),M$7&lt;INDEX(TblTareas[Semana],200)+INDEX(TblTareas[Duracion],200)),INDEX(TblTareas[Horas],200)/INDEX(TblTareas[Duracion],200),""))</f>
      </c>
      <c r="N207" s="64" t="str">
        <f>IF($A207="","",IF(AND(INDEX(TblTareas[Activa],200)=1,N$7&gt;=INDEX(TblTareas[Semana],200),N$7&lt;INDEX(TblTareas[Semana],200)+INDEX(TblTareas[Duracion],200)),INDEX(TblTareas[Horas],200)/INDEX(TblTareas[Duracion],200),""))</f>
      </c>
      <c r="O207" s="64" t="str">
        <f>IF($A207="","",IF(AND(INDEX(TblTareas[Activa],200)=1,O$7&gt;=INDEX(TblTareas[Semana],200),O$7&lt;INDEX(TblTareas[Semana],200)+INDEX(TblTareas[Duracion],200)),INDEX(TblTareas[Horas],200)/INDEX(TblTareas[Duracion],200),""))</f>
      </c>
      <c r="P207" s="64" t="str">
        <f>IF($A207="","",IF(AND(INDEX(TblTareas[Activa],200)=1,P$7&gt;=INDEX(TblTareas[Semana],200),P$7&lt;INDEX(TblTareas[Semana],200)+INDEX(TblTareas[Duracion],200)),INDEX(TblTareas[Horas],200)/INDEX(TblTareas[Duracion],200),""))</f>
      </c>
      <c r="Q207" s="64" t="str">
        <f>IF($A207="","",IF(AND(INDEX(TblTareas[Activa],200)=1,Q$7&gt;=INDEX(TblTareas[Semana],200),Q$7&lt;INDEX(TblTareas[Semana],200)+INDEX(TblTareas[Duracion],200)),INDEX(TblTareas[Horas],200)/INDEX(TblTareas[Duracion],200),""))</f>
      </c>
      <c r="R207" s="64" t="str">
        <f>IF($A207="","",IF(AND(INDEX(TblTareas[Activa],200)=1,R$7&gt;=INDEX(TblTareas[Semana],200),R$7&lt;INDEX(TblTareas[Semana],200)+INDEX(TblTareas[Duracion],200)),INDEX(TblTareas[Horas],200)/INDEX(TblTareas[Duracion],200),""))</f>
      </c>
      <c r="S207" s="64" t="str">
        <f>IF($A207="","",IF(AND(INDEX(TblTareas[Activa],200)=1,S$7&gt;=INDEX(TblTareas[Semana],200),S$7&lt;INDEX(TblTareas[Semana],200)+INDEX(TblTareas[Duracion],200)),INDEX(TblTareas[Horas],200)/INDEX(TblTareas[Duracion],200),""))</f>
      </c>
      <c r="T207" s="64" t="str">
        <f>IF($A207="","",IF(AND(INDEX(TblTareas[Activa],200)=1,T$7&gt;=INDEX(TblTareas[Semana],200),T$7&lt;INDEX(TblTareas[Semana],200)+INDEX(TblTareas[Duracion],200)),INDEX(TblTareas[Horas],200)/INDEX(TblTareas[Duracion],200),""))</f>
      </c>
    </row>
    <row r="208" ht="22" customHeight="1">
      <c r="A208" s="3"/>
      <c r="B208" s="3"/>
      <c r="C208" s="3"/>
      <c r="D208" s="3"/>
      <c r="E208" s="3"/>
      <c r="F208" s="3"/>
      <c r="G208" s="3"/>
      <c r="H208" s="3"/>
      <c r="I208" s="3"/>
      <c r="J208" s="3"/>
      <c r="K208" s="3"/>
      <c r="L208" s="3"/>
      <c r="M208" s="3"/>
      <c r="N208" s="3"/>
      <c r="O208" s="3"/>
      <c r="P208" s="3"/>
      <c r="Q208" s="3"/>
      <c r="R208" s="3"/>
      <c r="S208" s="3"/>
      <c r="T208" s="3"/>
    </row>
    <row r="209" ht="22" customHeight="1">
      <c r="A209" s="3"/>
      <c r="B209" s="3"/>
      <c r="C209" s="3"/>
      <c r="D209" s="3"/>
      <c r="E209" s="3"/>
      <c r="F209" s="3"/>
      <c r="G209" s="3"/>
      <c r="H209" s="3"/>
      <c r="I209" s="3"/>
      <c r="J209" s="3"/>
      <c r="K209" s="3"/>
      <c r="L209" s="3"/>
      <c r="M209" s="3"/>
      <c r="N209" s="3"/>
      <c r="O209" s="3"/>
      <c r="P209" s="3"/>
      <c r="Q209" s="3"/>
      <c r="R209" s="3"/>
      <c r="S209" s="3"/>
      <c r="T209" s="3"/>
    </row>
    <row r="210" ht="22" customHeight="1">
      <c r="A210" s="3"/>
      <c r="B210" s="3"/>
      <c r="C210" s="3"/>
      <c r="D210" s="3"/>
      <c r="E210" s="3"/>
      <c r="F210" s="3"/>
      <c r="G210" s="3"/>
      <c r="H210" s="3"/>
      <c r="I210" s="3"/>
      <c r="J210" s="3"/>
      <c r="K210" s="3"/>
      <c r="L210" s="3"/>
      <c r="M210" s="3"/>
      <c r="N210" s="3"/>
      <c r="O210" s="3"/>
      <c r="P210" s="3"/>
      <c r="Q210" s="3"/>
      <c r="R210" s="3"/>
      <c r="S210" s="3"/>
      <c r="T210" s="3"/>
    </row>
  </sheetData>
  <conditionalFormatting sqref="E8:T207">
    <cfRule type="cellIs" dxfId="49" priority="1" operator="greaterThan">
      <formula>0</formula>
    </cfRule>
  </conditionalFormatting>
  <hyperlinks>
    <hyperlink ref="A4" location="'Inicio'!A1"/>
  </hyperlinks>
  <pageMargins left="0.7" right="0.7" top="0.75" bottom="0.75" header="0.3" footer="0.3"/>
</worksheet>
</file>

<file path=xl/worksheets/sheet6.xml><?xml version="1.0" encoding="utf-8"?>
<worksheet xmlns="http://schemas.openxmlformats.org/spreadsheetml/2006/main" xmlns:ns1="http://schemas.openxmlformats.org/officeDocument/2006/relationships">
  <sheetPr>
    <tabColor rgb="FF18344A"/>
  </sheetPr>
  <sheetViews>
    <sheetView showGridLines="0" workbookViewId="0">
      <pane xSplit="2" ySplit="7" topLeftCell="C8" activePane="bottomRight" state="frozen"/>
    </sheetView>
  </sheetViews>
  <sheetFormatPr defaultRowHeight="15"/>
  <cols>
    <col min="1" max="1" width="14" hidden="0" customWidth="1"/>
    <col min="2" max="2" width="25" hidden="0" customWidth="1"/>
    <col min="3" max="3" width="18" hidden="0" customWidth="1"/>
    <col min="4" max="4" width="16" hidden="0" customWidth="1"/>
    <col min="5" max="5" width="16" hidden="0" customWidth="1"/>
    <col min="6" max="6" width="18" hidden="0" customWidth="1"/>
    <col min="7" max="7" width="18" hidden="0" customWidth="1"/>
    <col min="8" max="8" width="15" hidden="0" customWidth="1"/>
    <col min="9" max="9" width="27" hidden="0" customWidth="1"/>
  </cols>
  <sheetData>
    <row r="1" ht="22" customHeight="1">
      <c r="A1" s="3"/>
      <c r="B1" s="3"/>
      <c r="C1" s="3"/>
      <c r="D1" s="3"/>
      <c r="E1" s="3"/>
      <c r="F1" s="3"/>
      <c r="G1" s="3"/>
      <c r="H1" s="3"/>
      <c r="I1" s="3"/>
    </row>
    <row r="2" ht="22" customHeight="1">
      <c r="A2" s="5" t="str">
        <v>Personas y disponibilidad</v>
      </c>
      <c r="B2" s="3"/>
      <c r="C2" s="3"/>
      <c r="D2" s="3"/>
      <c r="E2" s="3"/>
      <c r="F2" s="3"/>
      <c r="G2" s="3"/>
      <c r="H2" s="3"/>
      <c r="I2" s="3"/>
    </row>
    <row r="3" ht="22" customHeight="1">
      <c r="A3" s="7" t="str">
        <v>Capacidades y apoyos son hipótesis editables. Coordinar un área no equivale a realizar todas sus horas.</v>
      </c>
      <c r="B3" s="3"/>
      <c r="C3" s="3"/>
      <c r="D3" s="3"/>
      <c r="E3" s="3"/>
      <c r="F3" s="3"/>
      <c r="G3" s="3"/>
      <c r="H3" s="3"/>
      <c r="I3" s="3"/>
    </row>
    <row r="4" ht="22" customHeight="1">
      <c r="A4" s="8" t="str">
        <v>← Inicio</v>
      </c>
      <c r="B4" s="3"/>
      <c r="C4" s="3"/>
      <c r="D4" s="3"/>
      <c r="E4" s="3"/>
      <c r="F4" s="3"/>
      <c r="G4" s="3"/>
      <c r="H4" s="3"/>
      <c r="I4" s="3"/>
    </row>
    <row r="5" ht="22" customHeight="1">
      <c r="A5" s="3"/>
      <c r="B5" s="3"/>
      <c r="C5" s="3"/>
      <c r="D5" s="3"/>
      <c r="E5" s="3"/>
      <c r="F5" s="3"/>
      <c r="G5" s="3"/>
      <c r="H5" s="3"/>
      <c r="I5" s="3"/>
    </row>
    <row r="6" ht="22" customHeight="1">
      <c r="A6" s="3"/>
      <c r="B6" s="3"/>
      <c r="C6" s="3"/>
      <c r="D6" s="3"/>
      <c r="E6" s="3"/>
      <c r="F6" s="3"/>
      <c r="G6" s="3"/>
      <c r="H6" s="3"/>
      <c r="I6" s="3"/>
    </row>
    <row r="7" ht="38" customHeight="1">
      <c r="A7" s="21" t="str">
        <v>Persona</v>
      </c>
      <c r="B7" s="21" t="str">
        <v>Coordinacion</v>
      </c>
      <c r="C7" s="21" t="str">
        <v>Capacidad semanal</v>
      </c>
      <c r="D7" s="21" t="str">
        <v>Tareas abiertas</v>
      </c>
      <c r="E7" s="21" t="str">
        <v>Tareas aceptadas</v>
      </c>
      <c r="F7" s="21" t="str">
        <v>Horas pendientes</v>
      </c>
      <c r="G7" s="21" t="str">
        <v>Horas en semana</v>
      </c>
      <c r="H7" s="21" t="str">
        <v>Ocupacion</v>
      </c>
      <c r="I7" s="21" t="str">
        <v>Aviso</v>
      </c>
    </row>
    <row r="8" ht="36" customHeight="1">
      <c r="A8" s="23" t="str">
        <v>Pablo</v>
      </c>
      <c r="B8" s="23" t="str">
        <v>Estado del arte</v>
      </c>
      <c r="C8" s="28" t="n">
        <v>8</v>
      </c>
      <c r="D8" s="72" t="n">
        <f>COUNTIFS(TblTareas[Responsable],TblEquipo[[#This Row],[Persona]],TblTareas[Activa],1)-COUNTIFS(TblTareas[Responsable],TblEquipo[[#This Row],[Persona]],TblTareas[Activa],1,TblTareas[Cierre],"Aceptada")</f>
        <v>2</v>
      </c>
      <c r="E8" s="72" t="n">
        <f>COUNTIFS(TblTareas[Responsable],TblEquipo[[#This Row],[Persona]],TblTareas[Activa],1,TblTareas[Cierre],"Aceptada")</f>
        <v>0</v>
      </c>
      <c r="F8" s="48" t="n">
        <f>SUMIF(TblTareas[Responsable],TblEquipo[[#This Row],[Persona]],TblTareas[Horas responsable])+SUMIF(TblTareas[Apoyo],TblEquipo[[#This Row],[Persona]],TblTareas[Horas apoyo])</f>
        <v>19</v>
      </c>
      <c r="G8" s="48" t="n">
        <f>SUMIF(TblTareas[Responsable],TblEquipo[[#This Row],[Persona]],TblTareas[Semana responsable])+SUMIF(TblTareas[Apoyo],TblEquipo[[#This Row],[Persona]],TblTareas[Semana apoyo])</f>
        <v>7.5</v>
      </c>
      <c r="H8" s="53" t="n">
        <f>IF(TblEquipo[[#This Row],[Capacidad semanal]]=0,"n.a.",TblEquipo[[#This Row],[Horas en semana]]/TblEquipo[[#This Row],[Capacidad semanal]])</f>
        <v>0.9375</v>
      </c>
      <c r="I8" s="44" t="str">
        <f>IF(TblEquipo[[#This Row],[Capacidad semanal]]=0,IF(TblEquipo[[#This Row],[Horas en semana]]=0,"Sin carga","Falta capacidad"),IF(TblEquipo[[#This Row],[Horas en semana]]&gt;TblEquipo[[#This Row],[Capacidad semanal]]+0.000001,"Sobrecarga","Dentro de capacidad"))</f>
        <v>Dentro de capacidad</v>
      </c>
    </row>
    <row r="9" ht="36" customHeight="1">
      <c r="A9" s="13" t="str">
        <v>Amin</v>
      </c>
      <c r="B9" s="13" t="str">
        <v>Diseño</v>
      </c>
      <c r="C9" s="28" t="n">
        <v>8</v>
      </c>
      <c r="D9" s="72" t="n">
        <f>COUNTIFS(TblTareas[Responsable],TblEquipo[[#This Row],[Persona]],TblTareas[Activa],1)-COUNTIFS(TblTareas[Responsable],TblEquipo[[#This Row],[Persona]],TblTareas[Activa],1,TblTareas[Cierre],"Aceptada")</f>
        <v>10</v>
      </c>
      <c r="E9" s="72" t="n">
        <f>COUNTIFS(TblTareas[Responsable],TblEquipo[[#This Row],[Persona]],TblTareas[Activa],1,TblTareas[Cierre],"Aceptada")</f>
        <v>0</v>
      </c>
      <c r="F9" s="48" t="n">
        <f>SUMIF(TblTareas[Responsable],TblEquipo[[#This Row],[Persona]],TblTareas[Horas responsable])+SUMIF(TblTareas[Apoyo],TblEquipo[[#This Row],[Persona]],TblTareas[Horas apoyo])</f>
        <v>54.89999999999999</v>
      </c>
      <c r="G9" s="48" t="n">
        <f>SUMIF(TblTareas[Responsable],TblEquipo[[#This Row],[Persona]],TblTareas[Semana responsable])+SUMIF(TblTareas[Apoyo],TblEquipo[[#This Row],[Persona]],TblTareas[Semana apoyo])</f>
        <v>6.75</v>
      </c>
      <c r="H9" s="53" t="n">
        <f>IF(TblEquipo[[#This Row],[Capacidad semanal]]=0,"n.a.",TblEquipo[[#This Row],[Horas en semana]]/TblEquipo[[#This Row],[Capacidad semanal]])</f>
        <v>0.84375</v>
      </c>
      <c r="I9" s="44" t="str">
        <f>IF(TblEquipo[[#This Row],[Capacidad semanal]]=0,IF(TblEquipo[[#This Row],[Horas en semana]]=0,"Sin carga","Falta capacidad"),IF(TblEquipo[[#This Row],[Horas en semana]]&gt;TblEquipo[[#This Row],[Capacidad semanal]]+0.000001,"Sobrecarga","Dentro de capacidad"))</f>
        <v>Dentro de capacidad</v>
      </c>
    </row>
    <row r="10" ht="36" customHeight="1">
      <c r="A10" s="23" t="str">
        <v>Ferran</v>
      </c>
      <c r="B10" s="23" t="str">
        <v>Interfaz</v>
      </c>
      <c r="C10" s="28" t="n">
        <v>8</v>
      </c>
      <c r="D10" s="72" t="n">
        <f>COUNTIFS(TblTareas[Responsable],TblEquipo[[#This Row],[Persona]],TblTareas[Activa],1)-COUNTIFS(TblTareas[Responsable],TblEquipo[[#This Row],[Persona]],TblTareas[Activa],1,TblTareas[Cierre],"Aceptada")</f>
        <v>3</v>
      </c>
      <c r="E10" s="72" t="n">
        <f>COUNTIFS(TblTareas[Responsable],TblEquipo[[#This Row],[Persona]],TblTareas[Activa],1,TblTareas[Cierre],"Aceptada")</f>
        <v>0</v>
      </c>
      <c r="F10" s="48" t="n">
        <f>SUMIF(TblTareas[Responsable],TblEquipo[[#This Row],[Persona]],TblTareas[Horas responsable])+SUMIF(TblTareas[Apoyo],TblEquipo[[#This Row],[Persona]],TblTareas[Horas apoyo])</f>
        <v>21.5</v>
      </c>
      <c r="G10" s="48" t="n">
        <f>SUMIF(TblTareas[Responsable],TblEquipo[[#This Row],[Persona]],TblTareas[Semana responsable])+SUMIF(TblTareas[Apoyo],TblEquipo[[#This Row],[Persona]],TblTareas[Semana apoyo])</f>
        <v>1.2</v>
      </c>
      <c r="H10" s="53" t="n">
        <f>IF(TblEquipo[[#This Row],[Capacidad semanal]]=0,"n.a.",TblEquipo[[#This Row],[Horas en semana]]/TblEquipo[[#This Row],[Capacidad semanal]])</f>
        <v>0.15</v>
      </c>
      <c r="I10" s="44" t="str">
        <f>IF(TblEquipo[[#This Row],[Capacidad semanal]]=0,IF(TblEquipo[[#This Row],[Horas en semana]]=0,"Sin carga","Falta capacidad"),IF(TblEquipo[[#This Row],[Horas en semana]]&gt;TblEquipo[[#This Row],[Capacidad semanal]]+0.000001,"Sobrecarga","Dentro de capacidad"))</f>
        <v>Dentro de capacidad</v>
      </c>
    </row>
    <row r="11" ht="36" customHeight="1">
      <c r="A11" s="13" t="str">
        <v>Iker</v>
      </c>
      <c r="B11" s="13" t="str">
        <v>Implementación</v>
      </c>
      <c r="C11" s="28" t="n">
        <v>8</v>
      </c>
      <c r="D11" s="72" t="n">
        <f>COUNTIFS(TblTareas[Responsable],TblEquipo[[#This Row],[Persona]],TblTareas[Activa],1)-COUNTIFS(TblTareas[Responsable],TblEquipo[[#This Row],[Persona]],TblTareas[Activa],1,TblTareas[Cierre],"Aceptada")</f>
        <v>16</v>
      </c>
      <c r="E11" s="72" t="n">
        <f>COUNTIFS(TblTareas[Responsable],TblEquipo[[#This Row],[Persona]],TblTareas[Activa],1,TblTareas[Cierre],"Aceptada")</f>
        <v>0</v>
      </c>
      <c r="F11" s="48" t="n">
        <f>SUMIF(TblTareas[Responsable],TblEquipo[[#This Row],[Persona]],TblTareas[Horas responsable])+SUMIF(TblTareas[Apoyo],TblEquipo[[#This Row],[Persona]],TblTareas[Horas apoyo])</f>
        <v>65.1</v>
      </c>
      <c r="G11" s="48" t="n">
        <f>SUMIF(TblTareas[Responsable],TblEquipo[[#This Row],[Persona]],TblTareas[Semana responsable])+SUMIF(TblTareas[Apoyo],TblEquipo[[#This Row],[Persona]],TblTareas[Semana apoyo])</f>
        <v>6.3</v>
      </c>
      <c r="H11" s="53" t="n">
        <f>IF(TblEquipo[[#This Row],[Capacidad semanal]]=0,"n.a.",TblEquipo[[#This Row],[Horas en semana]]/TblEquipo[[#This Row],[Capacidad semanal]])</f>
        <v>0.7875</v>
      </c>
      <c r="I11" s="44" t="str">
        <f>IF(TblEquipo[[#This Row],[Capacidad semanal]]=0,IF(TblEquipo[[#This Row],[Horas en semana]]=0,"Sin carga","Falta capacidad"),IF(TblEquipo[[#This Row],[Horas en semana]]&gt;TblEquipo[[#This Row],[Capacidad semanal]]+0.000001,"Sobrecarga","Dentro de capacidad"))</f>
        <v>Dentro de capacidad</v>
      </c>
    </row>
    <row r="12" ht="36" customHeight="1">
      <c r="A12" s="23" t="str">
        <v>Uri</v>
      </c>
      <c r="B12" s="23" t="str">
        <v>Test</v>
      </c>
      <c r="C12" s="28" t="n">
        <v>8</v>
      </c>
      <c r="D12" s="72" t="n">
        <f>COUNTIFS(TblTareas[Responsable],TblEquipo[[#This Row],[Persona]],TblTareas[Activa],1)-COUNTIFS(TblTareas[Responsable],TblEquipo[[#This Row],[Persona]],TblTareas[Activa],1,TblTareas[Cierre],"Aceptada")</f>
        <v>4</v>
      </c>
      <c r="E12" s="72" t="n">
        <f>COUNTIFS(TblTareas[Responsable],TblEquipo[[#This Row],[Persona]],TblTareas[Activa],1,TblTareas[Cierre],"Aceptada")</f>
        <v>0</v>
      </c>
      <c r="F12" s="48" t="n">
        <f>SUMIF(TblTareas[Responsable],TblEquipo[[#This Row],[Persona]],TblTareas[Horas responsable])+SUMIF(TblTareas[Apoyo],TblEquipo[[#This Row],[Persona]],TblTareas[Horas apoyo])</f>
        <v>22.2</v>
      </c>
      <c r="G12" s="48" t="n">
        <f>SUMIF(TblTareas[Responsable],TblEquipo[[#This Row],[Persona]],TblTareas[Semana responsable])+SUMIF(TblTareas[Apoyo],TblEquipo[[#This Row],[Persona]],TblTareas[Semana apoyo])</f>
        <v>0.30000000000000004</v>
      </c>
      <c r="H12" s="53" t="n">
        <f>IF(TblEquipo[[#This Row],[Capacidad semanal]]=0,"n.a.",TblEquipo[[#This Row],[Horas en semana]]/TblEquipo[[#This Row],[Capacidad semanal]])</f>
        <v>0.037500000000000006</v>
      </c>
      <c r="I12" s="44" t="str">
        <f>IF(TblEquipo[[#This Row],[Capacidad semanal]]=0,IF(TblEquipo[[#This Row],[Horas en semana]]=0,"Sin carga","Falta capacidad"),IF(TblEquipo[[#This Row],[Horas en semana]]&gt;TblEquipo[[#This Row],[Capacidad semanal]]+0.000001,"Sobrecarga","Dentro de capacidad"))</f>
        <v>Dentro de capacidad</v>
      </c>
    </row>
    <row r="13" ht="36" customHeight="1">
      <c r="A13" s="13" t="str">
        <v>David</v>
      </c>
      <c r="B13" s="13" t="str">
        <v>Memoria y presentación</v>
      </c>
      <c r="C13" s="28" t="n">
        <v>8</v>
      </c>
      <c r="D13" s="72" t="n">
        <f>COUNTIFS(TblTareas[Responsable],TblEquipo[[#This Row],[Persona]],TblTareas[Activa],1)-COUNTIFS(TblTareas[Responsable],TblEquipo[[#This Row],[Persona]],TblTareas[Activa],1,TblTareas[Cierre],"Aceptada")</f>
        <v>3</v>
      </c>
      <c r="E13" s="72" t="n">
        <f>COUNTIFS(TblTareas[Responsable],TblEquipo[[#This Row],[Persona]],TblTareas[Activa],1,TblTareas[Cierre],"Aceptada")</f>
        <v>0</v>
      </c>
      <c r="F13" s="48" t="n">
        <f>SUMIF(TblTareas[Responsable],TblEquipo[[#This Row],[Persona]],TblTareas[Horas responsable])+SUMIF(TblTareas[Apoyo],TblEquipo[[#This Row],[Persona]],TblTareas[Horas apoyo])</f>
        <v>26.3</v>
      </c>
      <c r="G13" s="48" t="n">
        <f>SUMIF(TblTareas[Responsable],TblEquipo[[#This Row],[Persona]],TblTareas[Semana responsable])+SUMIF(TblTareas[Apoyo],TblEquipo[[#This Row],[Persona]],TblTareas[Semana apoyo])</f>
        <v>3.45</v>
      </c>
      <c r="H13" s="53" t="n">
        <f>IF(TblEquipo[[#This Row],[Capacidad semanal]]=0,"n.a.",TblEquipo[[#This Row],[Horas en semana]]/TblEquipo[[#This Row],[Capacidad semanal]])</f>
        <v>0.43125</v>
      </c>
      <c r="I13" s="44" t="str">
        <f>IF(TblEquipo[[#This Row],[Capacidad semanal]]=0,IF(TblEquipo[[#This Row],[Horas en semana]]=0,"Sin carga","Falta capacidad"),IF(TblEquipo[[#This Row],[Horas en semana]]&gt;TblEquipo[[#This Row],[Capacidad semanal]]+0.000001,"Sobrecarga","Dentro de capacidad"))</f>
        <v>Dentro de capacidad</v>
      </c>
    </row>
    <row r="14" ht="22" customHeight="1">
      <c r="A14" s="3"/>
      <c r="B14" s="3"/>
      <c r="C14" s="3"/>
      <c r="D14" s="3"/>
      <c r="E14" s="3"/>
      <c r="F14" s="3"/>
      <c r="G14" s="3"/>
      <c r="H14" s="3"/>
      <c r="I14" s="3"/>
    </row>
    <row r="15" ht="22" customHeight="1">
      <c r="A15" s="3"/>
      <c r="B15" s="3"/>
      <c r="C15" s="3"/>
      <c r="D15" s="3"/>
      <c r="E15" s="3"/>
      <c r="F15" s="3"/>
      <c r="G15" s="3"/>
      <c r="H15" s="3"/>
      <c r="I15" s="3"/>
    </row>
    <row r="16" ht="22" customHeight="1">
      <c r="A16" s="3"/>
      <c r="B16" s="3"/>
      <c r="C16" s="3"/>
      <c r="D16" s="3"/>
      <c r="E16" s="3"/>
      <c r="F16" s="3"/>
      <c r="G16" s="3"/>
      <c r="H16" s="3"/>
      <c r="I16" s="3"/>
    </row>
    <row r="17" ht="22" customHeight="1">
      <c r="A17" s="3"/>
      <c r="B17" s="3"/>
      <c r="C17" s="3"/>
      <c r="D17" s="3"/>
      <c r="E17" s="3"/>
      <c r="F17" s="3"/>
      <c r="G17" s="3"/>
      <c r="H17" s="3"/>
      <c r="I17" s="3"/>
    </row>
    <row r="18" ht="30" customHeight="1">
      <c r="A18" s="13" t="str">
        <v>La carga es esfuerzo pendiente repartido por semana; una tarea aceptada deja de consumir capacidad futura.</v>
      </c>
      <c r="B18" s="13"/>
      <c r="C18" s="13"/>
      <c r="D18" s="13"/>
      <c r="E18" s="13"/>
      <c r="F18" s="13"/>
      <c r="G18" s="13"/>
      <c r="H18" s="13"/>
      <c r="I18" s="13"/>
    </row>
    <row r="19" ht="30" customHeight="1">
      <c r="A19" s="13"/>
      <c r="B19" s="13"/>
      <c r="C19" s="13"/>
      <c r="D19" s="13"/>
      <c r="E19" s="13"/>
      <c r="F19" s="13"/>
      <c r="G19" s="13"/>
      <c r="H19" s="13"/>
      <c r="I19" s="13"/>
    </row>
    <row r="20" ht="30" customHeight="1">
      <c r="A20" s="13" t="str">
        <v>8 h/persona/semana es una hipótesis de planificación: cada persona debe confirmar su capacidad real.</v>
      </c>
      <c r="B20" s="13"/>
      <c r="C20" s="13"/>
      <c r="D20" s="13"/>
      <c r="E20" s="13"/>
      <c r="F20" s="13"/>
      <c r="G20" s="13"/>
      <c r="H20" s="13"/>
      <c r="I20" s="13"/>
    </row>
    <row r="21" ht="30" customHeight="1">
      <c r="A21" s="13"/>
      <c r="B21" s="13"/>
      <c r="C21" s="13"/>
      <c r="D21" s="13"/>
      <c r="E21" s="13"/>
      <c r="F21" s="13"/>
      <c r="G21" s="13"/>
      <c r="H21" s="13"/>
      <c r="I21" s="13"/>
    </row>
    <row r="22" ht="30" customHeight="1">
      <c r="A22" s="13" t="str">
        <v>Cambiar responsable, apoyo y reparto en Tareas mueve automáticamente la carga entre personas.</v>
      </c>
      <c r="B22" s="13"/>
      <c r="C22" s="13"/>
      <c r="D22" s="13"/>
      <c r="E22" s="13"/>
      <c r="F22" s="13"/>
      <c r="G22" s="13"/>
      <c r="H22" s="13"/>
      <c r="I22" s="13"/>
    </row>
    <row r="23" ht="22" customHeight="1">
      <c r="A23" s="3"/>
      <c r="B23" s="3"/>
      <c r="C23" s="3"/>
      <c r="D23" s="3"/>
      <c r="E23" s="3"/>
      <c r="F23" s="3"/>
      <c r="G23" s="3"/>
      <c r="H23" s="3"/>
      <c r="I23" s="3"/>
    </row>
    <row r="24" ht="22" customHeight="1">
      <c r="A24" s="3"/>
      <c r="B24" s="3"/>
      <c r="C24" s="3"/>
      <c r="D24" s="3"/>
      <c r="E24" s="3"/>
      <c r="F24" s="3"/>
      <c r="G24" s="3"/>
      <c r="H24" s="3"/>
      <c r="I24" s="3"/>
    </row>
    <row r="25" ht="22" customHeight="1">
      <c r="A25" s="3"/>
      <c r="B25" s="3"/>
      <c r="C25" s="3"/>
      <c r="D25" s="3"/>
      <c r="E25" s="3"/>
      <c r="F25" s="3"/>
      <c r="G25" s="3"/>
      <c r="H25" s="3"/>
      <c r="I25" s="3"/>
    </row>
    <row r="26" ht="22" customHeight="1">
      <c r="A26" s="3"/>
      <c r="B26" s="3"/>
      <c r="C26" s="3"/>
      <c r="D26" s="3"/>
      <c r="E26" s="3"/>
      <c r="F26" s="3"/>
      <c r="G26" s="3"/>
      <c r="H26" s="3"/>
      <c r="I26" s="3"/>
    </row>
    <row r="27" ht="22" customHeight="1">
      <c r="A27" s="3"/>
      <c r="B27" s="3"/>
      <c r="C27" s="3"/>
      <c r="D27" s="3"/>
      <c r="E27" s="3"/>
      <c r="F27" s="3"/>
      <c r="G27" s="3"/>
      <c r="H27" s="3"/>
      <c r="I27" s="3"/>
    </row>
    <row r="28" ht="22" customHeight="1">
      <c r="A28" s="3"/>
      <c r="B28" s="3"/>
      <c r="C28" s="3"/>
      <c r="D28" s="3"/>
      <c r="E28" s="3"/>
      <c r="F28" s="3"/>
      <c r="G28" s="3"/>
      <c r="H28" s="3"/>
      <c r="I28" s="3"/>
    </row>
    <row r="29" ht="22" customHeight="1">
      <c r="A29" s="3"/>
      <c r="B29" s="3"/>
      <c r="C29" s="3"/>
      <c r="D29" s="3"/>
      <c r="E29" s="3"/>
      <c r="F29" s="3"/>
      <c r="G29" s="3"/>
      <c r="H29" s="3"/>
      <c r="I29" s="3"/>
    </row>
    <row r="30" ht="22" customHeight="1">
      <c r="A30" s="3"/>
      <c r="B30" s="3"/>
      <c r="C30" s="3"/>
      <c r="D30" s="3"/>
      <c r="E30" s="3"/>
      <c r="F30" s="3"/>
      <c r="G30" s="3"/>
      <c r="H30" s="3"/>
      <c r="I30" s="3"/>
    </row>
    <row r="31" ht="22" customHeight="1">
      <c r="A31" s="3"/>
      <c r="B31" s="3"/>
      <c r="C31" s="3"/>
      <c r="D31" s="3"/>
      <c r="E31" s="3"/>
      <c r="F31" s="3"/>
      <c r="G31" s="3"/>
      <c r="H31" s="3"/>
      <c r="I31" s="3"/>
    </row>
    <row r="32" ht="22" customHeight="1">
      <c r="A32" s="3"/>
      <c r="B32" s="3"/>
      <c r="C32" s="3"/>
      <c r="D32" s="3"/>
      <c r="E32" s="3"/>
      <c r="F32" s="3"/>
      <c r="G32" s="3"/>
      <c r="H32" s="3"/>
      <c r="I32" s="3"/>
    </row>
    <row r="33" ht="22" customHeight="1">
      <c r="A33" s="3"/>
      <c r="B33" s="3"/>
      <c r="C33" s="3"/>
      <c r="D33" s="3"/>
      <c r="E33" s="3"/>
      <c r="F33" s="3"/>
      <c r="G33" s="3"/>
      <c r="H33" s="3"/>
      <c r="I33" s="3"/>
    </row>
    <row r="34" ht="22" customHeight="1">
      <c r="A34" s="3"/>
      <c r="B34" s="3"/>
      <c r="C34" s="3"/>
      <c r="D34" s="3"/>
      <c r="E34" s="3"/>
      <c r="F34" s="3"/>
      <c r="G34" s="3"/>
      <c r="H34" s="3"/>
      <c r="I34" s="3"/>
    </row>
    <row r="35" ht="22" customHeight="1">
      <c r="A35" s="3"/>
      <c r="B35" s="3"/>
      <c r="C35" s="3"/>
      <c r="D35" s="3"/>
      <c r="E35" s="3"/>
      <c r="F35" s="3"/>
      <c r="G35" s="3"/>
      <c r="H35" s="3"/>
      <c r="I35" s="3"/>
    </row>
    <row r="36" ht="22" customHeight="1">
      <c r="A36" s="3"/>
      <c r="B36" s="3"/>
      <c r="C36" s="3"/>
      <c r="D36" s="3"/>
      <c r="E36" s="3"/>
      <c r="F36" s="3"/>
      <c r="G36" s="3"/>
      <c r="H36" s="3"/>
      <c r="I36" s="3"/>
    </row>
    <row r="37" ht="22" customHeight="1">
      <c r="A37" s="3"/>
      <c r="B37" s="3"/>
      <c r="C37" s="3"/>
      <c r="D37" s="3"/>
      <c r="E37" s="3"/>
      <c r="F37" s="3"/>
      <c r="G37" s="3"/>
      <c r="H37" s="3"/>
      <c r="I37" s="3"/>
    </row>
    <row r="38" ht="22" customHeight="1">
      <c r="A38" s="3"/>
      <c r="B38" s="3"/>
      <c r="C38" s="3"/>
      <c r="D38" s="3"/>
      <c r="E38" s="3"/>
      <c r="F38" s="3"/>
      <c r="G38" s="3"/>
      <c r="H38" s="3"/>
      <c r="I38" s="3"/>
    </row>
    <row r="39" ht="22" customHeight="1">
      <c r="A39" s="3"/>
      <c r="B39" s="3"/>
      <c r="C39" s="3"/>
      <c r="D39" s="3"/>
      <c r="E39" s="3"/>
      <c r="F39" s="3"/>
      <c r="G39" s="3"/>
      <c r="H39" s="3"/>
      <c r="I39" s="3"/>
    </row>
    <row r="40" ht="22" customHeight="1">
      <c r="A40" s="3"/>
      <c r="B40" s="3"/>
      <c r="C40" s="3"/>
      <c r="D40" s="3"/>
      <c r="E40" s="3"/>
      <c r="F40" s="3"/>
      <c r="G40" s="3"/>
      <c r="H40" s="3"/>
      <c r="I40" s="3"/>
    </row>
    <row r="41" ht="22" customHeight="1">
      <c r="A41" s="3"/>
      <c r="B41" s="3"/>
      <c r="C41" s="3"/>
      <c r="D41" s="3"/>
      <c r="E41" s="3"/>
      <c r="F41" s="3"/>
      <c r="G41" s="3"/>
      <c r="H41" s="3"/>
      <c r="I41" s="3"/>
    </row>
    <row r="42" ht="22" customHeight="1">
      <c r="A42" s="3"/>
      <c r="B42" s="3"/>
      <c r="C42" s="3"/>
      <c r="D42" s="3"/>
      <c r="E42" s="3"/>
      <c r="F42" s="3"/>
      <c r="G42" s="3"/>
      <c r="H42" s="3"/>
      <c r="I42" s="3"/>
    </row>
    <row r="43" ht="22" customHeight="1">
      <c r="A43" s="3"/>
      <c r="B43" s="3"/>
      <c r="C43" s="3"/>
      <c r="D43" s="3"/>
      <c r="E43" s="3"/>
      <c r="F43" s="3"/>
      <c r="G43" s="3"/>
      <c r="H43" s="3"/>
      <c r="I43" s="3"/>
    </row>
    <row r="44" ht="22" customHeight="1">
      <c r="A44" s="3"/>
      <c r="B44" s="3"/>
      <c r="C44" s="3"/>
      <c r="D44" s="3"/>
      <c r="E44" s="3"/>
      <c r="F44" s="3"/>
      <c r="G44" s="3"/>
      <c r="H44" s="3"/>
      <c r="I44" s="3"/>
    </row>
    <row r="45" ht="22" customHeight="1">
      <c r="A45" s="3"/>
      <c r="B45" s="3"/>
      <c r="C45" s="3"/>
      <c r="D45" s="3"/>
      <c r="E45" s="3"/>
      <c r="F45" s="3"/>
      <c r="G45" s="3"/>
      <c r="H45" s="3"/>
      <c r="I45" s="3"/>
    </row>
  </sheetData>
  <mergeCells>
    <mergeCell ref="A18:I18"/>
    <mergeCell ref="A20:I20"/>
    <mergeCell ref="A22:I22"/>
  </mergeCells>
  <conditionalFormatting sqref="I8:I13">
    <cfRule type="containsText" dxfId="40" priority="1" operator="containsText" text="Falta"/>
    <cfRule type="containsText" dxfId="41" priority="2" operator="containsText" text="Revisar"/>
    <cfRule type="containsText" dxfId="42" priority="3" operator="containsText" text="Duplicado"/>
    <cfRule type="containsText" dxfId="43" priority="4" operator="containsText" text="Vencida"/>
    <cfRule type="containsText" dxfId="44" priority="5" operator="containsText" text="No existe"/>
    <cfRule type="containsText" dxfId="45" priority="6" operator="containsText" text="Solape"/>
    <cfRule type="containsText" dxfId="46" priority="7" operator="containsText" text="Fuera"/>
    <cfRule type="containsText" dxfId="47" priority="8" operator="containsText" text="Aceptada"/>
    <cfRule type="containsText" dxfId="48" priority="9" operator="containsText" text="Sobrecarga"/>
  </conditionalFormatting>
  <dataValidations count="1">
    <dataValidation type="decimal" operator="between" sqref="C8:C13">
      <formula1>0</formula1>
      <formula2>60</formula2>
    </dataValidation>
  </dataValidations>
  <hyperlinks>
    <hyperlink ref="A4" location="'Inicio'!A1"/>
  </hyperlinks>
  <pageMargins left="0.7" right="0.7" top="0.75" bottom="0.75" header="0.3" footer="0.3"/>
  <tableParts count="1">
    <tablePart ns1:id="Recb49020b2774443"/>
  </tableParts>
</worksheet>
</file>

<file path=xl/worksheets/sheet7.xml><?xml version="1.0" encoding="utf-8"?>
<worksheet xmlns="http://schemas.openxmlformats.org/spreadsheetml/2006/main" xmlns:ns1="http://schemas.openxmlformats.org/officeDocument/2006/relationships">
  <sheetPr>
    <tabColor rgb="FF18344A"/>
  </sheetPr>
  <sheetViews>
    <sheetView showGridLines="0" workbookViewId="0">
      <pane xSplit="2" ySplit="7" topLeftCell="C8" activePane="bottomRight" state="frozen"/>
    </sheetView>
  </sheetViews>
  <sheetFormatPr defaultRowHeight="15"/>
  <cols>
    <col min="1" max="1" width="16" hidden="0" customWidth="1"/>
    <col min="2" max="2" width="22" hidden="0" customWidth="1"/>
    <col min="3" max="3" width="36" hidden="0" customWidth="1"/>
    <col min="4" max="4" width="14" hidden="0" customWidth="1"/>
    <col min="5" max="5" width="16" hidden="0" customWidth="1"/>
    <col min="6" max="6" width="22" hidden="0" customWidth="1"/>
    <col min="7" max="7" width="76" hidden="0" customWidth="1"/>
    <col min="8" max="8" width="65" hidden="0" customWidth="1"/>
    <col min="9" max="9" width="14" hidden="0" customWidth="1"/>
    <col min="10" max="10" width="32" hidden="0" customWidth="1"/>
  </cols>
  <sheetData>
    <row r="1" ht="22" customHeight="1">
      <c r="A1" s="3"/>
      <c r="B1" s="3"/>
      <c r="C1" s="3"/>
      <c r="D1" s="3"/>
      <c r="E1" s="3"/>
      <c r="F1" s="3"/>
      <c r="G1" s="3"/>
      <c r="H1" s="3"/>
      <c r="I1" s="3"/>
      <c r="J1" s="3"/>
    </row>
    <row r="2" ht="22" customHeight="1">
      <c r="A2" s="5" t="str">
        <v>Decisiones, cambios y riesgos</v>
      </c>
      <c r="B2" s="3"/>
      <c r="C2" s="3"/>
      <c r="D2" s="3"/>
      <c r="E2" s="3"/>
      <c r="F2" s="3"/>
      <c r="G2" s="3"/>
      <c r="H2" s="3"/>
      <c r="I2" s="3"/>
      <c r="J2" s="3"/>
    </row>
    <row r="3" ht="22" customHeight="1">
      <c r="A3" s="7" t="str">
        <v>Guardar la decisión del grupo y sus evidencias. Las filas propuestas no representan aprobación.</v>
      </c>
      <c r="B3" s="3"/>
      <c r="C3" s="3"/>
      <c r="D3" s="3"/>
      <c r="E3" s="3"/>
      <c r="F3" s="3"/>
      <c r="G3" s="3"/>
      <c r="H3" s="3"/>
      <c r="I3" s="3"/>
      <c r="J3" s="3"/>
    </row>
    <row r="4" ht="22" customHeight="1">
      <c r="A4" s="8" t="str">
        <v>← Inicio</v>
      </c>
      <c r="B4" s="3"/>
      <c r="C4" s="3"/>
      <c r="D4" s="3"/>
      <c r="E4" s="3"/>
      <c r="F4" s="3"/>
      <c r="G4" s="3"/>
      <c r="H4" s="3"/>
      <c r="I4" s="3"/>
      <c r="J4" s="3"/>
    </row>
    <row r="5" ht="22" customHeight="1">
      <c r="A5" s="3"/>
      <c r="B5" s="3"/>
      <c r="C5" s="3"/>
      <c r="D5" s="3"/>
      <c r="E5" s="3"/>
      <c r="F5" s="3"/>
      <c r="G5" s="3"/>
      <c r="H5" s="3"/>
      <c r="I5" s="3"/>
      <c r="J5" s="3"/>
    </row>
    <row r="6" ht="22" customHeight="1">
      <c r="A6" s="3"/>
      <c r="B6" s="3"/>
      <c r="C6" s="3"/>
      <c r="D6" s="3"/>
      <c r="E6" s="3"/>
      <c r="F6" s="3"/>
      <c r="G6" s="3"/>
      <c r="H6" s="3"/>
      <c r="I6" s="3"/>
      <c r="J6" s="3"/>
    </row>
    <row r="7" ht="38" customHeight="1">
      <c r="A7" s="21" t="str">
        <v>ID</v>
      </c>
      <c r="B7" s="21" t="str">
        <v>Tipo</v>
      </c>
      <c r="C7" s="21" t="str">
        <v>Asunto</v>
      </c>
      <c r="D7" s="21" t="str">
        <v>Responsable</v>
      </c>
      <c r="E7" s="21" t="str">
        <v>Estado</v>
      </c>
      <c r="F7" s="21" t="str">
        <v>Requisito</v>
      </c>
      <c r="G7" s="21" t="str">
        <v>Accion o decision</v>
      </c>
      <c r="H7" s="21" t="str">
        <v>Disparador o motivo</v>
      </c>
      <c r="I7" s="21" t="str">
        <v>Fecha</v>
      </c>
      <c r="J7" s="21" t="str">
        <v>Evidencia</v>
      </c>
    </row>
    <row r="8" ht="36" customHeight="1">
      <c r="A8" s="23" t="str">
        <v>DEC-01</v>
      </c>
      <c r="B8" s="25" t="str">
        <v>Decisión</v>
      </c>
      <c r="C8" s="25" t="str">
        <v>Mantener control lateral</v>
      </c>
      <c r="D8" s="25" t="str">
        <v>Amin</v>
      </c>
      <c r="E8" s="25" t="str">
        <v>Propuesto</v>
      </c>
      <c r="F8" s="25" t="str">
        <v>RQ-003;RQ-036</v>
      </c>
      <c r="G8" s="25" t="str">
        <v>Conservar lectura arcade y alcance</v>
      </c>
      <c r="H8" s="25" t="str">
        <v>Validar con el grupo</v>
      </c>
      <c r="I8" s="34"/>
      <c r="J8" s="25" t="str"/>
    </row>
    <row r="9" ht="36" customHeight="1">
      <c r="A9" s="13" t="str">
        <v>DEC-02</v>
      </c>
      <c r="B9" s="25" t="str">
        <v>Decisión</v>
      </c>
      <c r="C9" s="25" t="str">
        <v>Dos planos jugables</v>
      </c>
      <c r="D9" s="25" t="str">
        <v>Amin</v>
      </c>
      <c r="E9" s="25" t="str">
        <v>Propuesto</v>
      </c>
      <c r="F9" s="25" t="str">
        <v>RQ-038;RQ-041</v>
      </c>
      <c r="G9" s="25" t="str">
        <v>Elegir plano para ataque y esquiva</v>
      </c>
      <c r="H9" s="25" t="str">
        <v>Validar con el grupo</v>
      </c>
      <c r="I9" s="34"/>
      <c r="J9" s="25" t="str"/>
    </row>
    <row r="10" ht="36" customHeight="1">
      <c r="A10" s="23" t="str">
        <v>DEC-03</v>
      </c>
      <c r="B10" s="25" t="str">
        <v>Decisión</v>
      </c>
      <c r="C10" s="25" t="str">
        <v>Colisión por plano y círculo</v>
      </c>
      <c r="D10" s="25" t="str">
        <v>Amin</v>
      </c>
      <c r="E10" s="25" t="str">
        <v>Propuesto</v>
      </c>
      <c r="F10" s="25" t="str">
        <v>RQ-020;RQ-021;RQ-041</v>
      </c>
      <c r="G10" s="25" t="str">
        <v>Válida cuando z activo es discreto</v>
      </c>
      <c r="H10" s="25" t="str">
        <v>Validar con el grupo</v>
      </c>
      <c r="I10" s="34"/>
      <c r="J10" s="25" t="str"/>
    </row>
    <row r="11" ht="36" customHeight="1">
      <c r="A11" s="13" t="str">
        <v>DEC-04</v>
      </c>
      <c r="B11" s="25" t="str">
        <v>Decisión</v>
      </c>
      <c r="C11" s="25" t="str">
        <v>Paso fijo monotónico</v>
      </c>
      <c r="D11" s="25" t="str">
        <v>Amin</v>
      </c>
      <c r="E11" s="25" t="str">
        <v>Propuesto</v>
      </c>
      <c r="F11" s="25" t="str">
        <v>RQ-046</v>
      </c>
      <c r="G11" s="25" t="str">
        <v>Comparar lógica a distintas tasas de dibujo</v>
      </c>
      <c r="H11" s="25" t="str">
        <v>Validar con el grupo</v>
      </c>
      <c r="I11" s="34"/>
      <c r="J11" s="25" t="str"/>
    </row>
    <row r="12" ht="36" customHeight="1">
      <c r="A12" s="23" t="str">
        <v>DEC-05</v>
      </c>
      <c r="B12" s="25" t="str">
        <v>Decisión</v>
      </c>
      <c r="C12" s="25" t="str">
        <v>Transición con recarga</v>
      </c>
      <c r="D12" s="25" t="str">
        <v>Amin</v>
      </c>
      <c r="E12" s="25" t="str">
        <v>Propuesto</v>
      </c>
      <c r="F12" s="25" t="str">
        <v>RQ-039;RQ-040</v>
      </c>
      <c r="G12" s="25" t="str">
        <v>Coste táctico e invulnerabilidad limitada</v>
      </c>
      <c r="H12" s="25" t="str">
        <v>Validar con el grupo</v>
      </c>
      <c r="I12" s="34"/>
      <c r="J12" s="25" t="str"/>
    </row>
    <row r="13" ht="36" customHeight="1">
      <c r="A13" s="13" t="str">
        <v>DEC-06</v>
      </c>
      <c r="B13" s="25" t="str">
        <v>Decisión</v>
      </c>
      <c r="C13" s="25" t="str">
        <v>Derrota en doble muerte</v>
      </c>
      <c r="D13" s="25" t="str">
        <v>Amin</v>
      </c>
      <c r="E13" s="25" t="str">
        <v>Propuesto</v>
      </c>
      <c r="F13" s="25" t="str">
        <v>RQ-029</v>
      </c>
      <c r="G13" s="25" t="str">
        <v>Resultado único y consistente</v>
      </c>
      <c r="H13" s="25" t="str">
        <v>Validar con el grupo</v>
      </c>
      <c r="I13" s="34"/>
      <c r="J13" s="25" t="str"/>
    </row>
    <row r="14" ht="36" customHeight="1">
      <c r="A14" s="23" t="str">
        <v>DEC-07</v>
      </c>
      <c r="B14" s="25" t="str">
        <v>Decisión</v>
      </c>
      <c r="C14" s="25" t="str">
        <v>Rescate opcional P2</v>
      </c>
      <c r="D14" s="25" t="str">
        <v>Amin</v>
      </c>
      <c r="E14" s="25" t="str">
        <v>Propuesto</v>
      </c>
      <c r="F14" s="25" t="str">
        <v>RQ-051;RQ-052</v>
      </c>
      <c r="G14" s="25" t="str">
        <v>Integrar después de P0/P1 estable</v>
      </c>
      <c r="H14" s="25" t="str">
        <v>Validar con el grupo</v>
      </c>
      <c r="I14" s="34"/>
      <c r="J14" s="25" t="str"/>
    </row>
    <row r="15" ht="36" customHeight="1">
      <c r="A15" s="13" t="str">
        <v>DEC-08</v>
      </c>
      <c r="B15" s="25" t="str">
        <v>Decisión</v>
      </c>
      <c r="C15" s="25" t="str">
        <v>Separar malla y collider</v>
      </c>
      <c r="D15" s="25" t="str">
        <v>Amin</v>
      </c>
      <c r="E15" s="25" t="str">
        <v>Propuesto</v>
      </c>
      <c r="F15" s="25" t="str">
        <v>RQ-031;RQ-035</v>
      </c>
      <c r="G15" s="25" t="str">
        <v>El alabeo no cambia contacto</v>
      </c>
      <c r="H15" s="25" t="str">
        <v>Validar con el grupo</v>
      </c>
      <c r="I15" s="34"/>
      <c r="J15" s="25" t="str"/>
    </row>
    <row r="16" ht="36" customHeight="1">
      <c r="A16" s="23" t="str">
        <v>DEC-09</v>
      </c>
      <c r="B16" s="25" t="str">
        <v>Decisión</v>
      </c>
      <c r="C16" s="25" t="str">
        <v>Cámara fija de partida</v>
      </c>
      <c r="D16" s="25" t="str">
        <v>Amin</v>
      </c>
      <c r="E16" s="25" t="str">
        <v>Propuesto</v>
      </c>
      <c r="F16" s="25" t="str">
        <v>RQ-036</v>
      </c>
      <c r="G16" s="25" t="str">
        <v>Lectura estable de amenazas</v>
      </c>
      <c r="H16" s="25" t="str">
        <v>Validar con el grupo</v>
      </c>
      <c r="I16" s="34"/>
      <c r="J16" s="25" t="str"/>
    </row>
    <row r="17" ht="36" customHeight="1">
      <c r="A17" s="13" t="str">
        <v>DEC-10</v>
      </c>
      <c r="B17" s="25" t="str">
        <v>Decisión</v>
      </c>
      <c r="C17" s="25" t="str">
        <v>Medir duración</v>
      </c>
      <c r="D17" s="25" t="str">
        <v>Amin</v>
      </c>
      <c r="E17" s="25" t="str">
        <v>Propuesto</v>
      </c>
      <c r="F17" s="25" t="str">
        <v>RQ-002</v>
      </c>
      <c r="G17" s="25" t="str">
        <v>Objetivo de balance 300–480 s</v>
      </c>
      <c r="H17" s="25" t="str">
        <v>Validar con el grupo</v>
      </c>
      <c r="I17" s="34"/>
      <c r="J17" s="25" t="str"/>
    </row>
    <row r="18" ht="36" customHeight="1">
      <c r="A18" s="23" t="str">
        <v>RS-01</v>
      </c>
      <c r="B18" s="25" t="str">
        <v>Riesgo</v>
      </c>
      <c r="C18" s="25" t="str">
        <v>Profundidad difícil de leer</v>
      </c>
      <c r="D18" s="25" t="str">
        <v>Ferran</v>
      </c>
      <c r="E18" s="25" t="str">
        <v>Abierto</v>
      </c>
      <c r="F18" s="25" t="str">
        <v>RQ-043</v>
      </c>
      <c r="G18" s="25" t="str">
        <v>Aumentar marca y contorno; revisar cámara</v>
      </c>
      <c r="H18" s="25" t="str">
        <v>Prueba de cinco escenas inferior a 4 aciertos</v>
      </c>
      <c r="I18" s="34"/>
      <c r="J18" s="25" t="str"/>
    </row>
    <row r="19" ht="36" customHeight="1">
      <c r="A19" s="13" t="str">
        <v>RS-02</v>
      </c>
      <c r="B19" s="25" t="str">
        <v>Riesgo</v>
      </c>
      <c r="C19" s="25" t="str">
        <v>Duración fuera de 5 a 8 minutos</v>
      </c>
      <c r="D19" s="25" t="str">
        <v>Amin</v>
      </c>
      <c r="E19" s="25" t="str">
        <v>Abierto</v>
      </c>
      <c r="F19" s="25" t="str">
        <v>RQ-002</v>
      </c>
      <c r="G19" s="25" t="str">
        <v>Medir nueve partidas y ajustar curvas de dificultad</v>
      </c>
      <c r="H19" s="25" t="str">
        <v>Medianas fuera de objetivo</v>
      </c>
      <c r="I19" s="34"/>
      <c r="J19" s="25" t="str"/>
    </row>
    <row r="20" ht="36" customHeight="1">
      <c r="A20" s="23" t="str">
        <v>RS-03</v>
      </c>
      <c r="B20" s="25" t="str">
        <v>Riesgo</v>
      </c>
      <c r="C20" s="25" t="str">
        <v>Integración tardía en plantilla</v>
      </c>
      <c r="D20" s="25" t="str">
        <v>Iker</v>
      </c>
      <c r="E20" s="25" t="str">
        <v>Abierto</v>
      </c>
      <c r="F20" s="25" t="str">
        <v>RQ-050</v>
      </c>
      <c r="G20" s="25" t="str">
        <v>Revisar solución en semana 1; interfaces pequeñas</v>
      </c>
      <c r="H20" s="25" t="str">
        <v>Nave y render no integrados al fin de S2</v>
      </c>
      <c r="I20" s="34"/>
      <c r="J20" s="25" t="str"/>
    </row>
    <row r="21" ht="36" customHeight="1">
      <c r="A21" s="13" t="str">
        <v>RS-04</v>
      </c>
      <c r="B21" s="25" t="str">
        <v>Riesgo</v>
      </c>
      <c r="C21" s="25" t="str">
        <v>Impactos que atraviesan enemigos</v>
      </c>
      <c r="D21" s="25" t="str">
        <v>Amin</v>
      </c>
      <c r="E21" s="25" t="str">
        <v>Abierto</v>
      </c>
      <c r="F21" s="25" t="str">
        <v>RQ-021</v>
      </c>
      <c r="G21" s="25" t="str">
        <v>Barrido relativo y resolución por t</v>
      </c>
      <c r="H21" s="25" t="str">
        <v>Fallo al reducir tasa de render</v>
      </c>
      <c r="I21" s="34"/>
      <c r="J21" s="25" t="str"/>
    </row>
    <row r="22" ht="36" customHeight="1">
      <c r="A22" s="23" t="str">
        <v>RS-05</v>
      </c>
      <c r="B22" s="25" t="str">
        <v>Riesgo</v>
      </c>
      <c r="C22" s="25" t="str">
        <v>Sobrecarga por efectos o draw calls</v>
      </c>
      <c r="D22" s="25" t="str">
        <v>Iker</v>
      </c>
      <c r="E22" s="25" t="str">
        <v>Abierto</v>
      </c>
      <c r="F22" s="25" t="str">
        <v>RQ-047</v>
      </c>
      <c r="G22" s="25" t="str">
        <v>Medir frame time; cargar recursos fuera del frame</v>
      </c>
      <c r="H22" s="25" t="str">
        <v>p95 superior al objetivo</v>
      </c>
      <c r="I22" s="34"/>
      <c r="J22" s="25" t="str"/>
    </row>
    <row r="23" ht="36" customHeight="1">
      <c r="A23" s="13" t="str">
        <v>RS-06</v>
      </c>
      <c r="B23" s="25" t="str">
        <v>Riesgo</v>
      </c>
      <c r="C23" s="25" t="str">
        <v>Ampliación opcional retrasa entrega</v>
      </c>
      <c r="D23" s="25" t="str">
        <v>Amin</v>
      </c>
      <c r="E23" s="25" t="str">
        <v>Abierto</v>
      </c>
      <c r="F23" s="25" t="str">
        <v>RQ-051</v>
      </c>
      <c r="G23" s="25" t="str">
        <v>P2 solo después de P0/P1; evaluar margen</v>
      </c>
      <c r="H23" s="25" t="str">
        <v>P0/P1 con fallos críticos al empezar S8</v>
      </c>
      <c r="I23" s="34"/>
      <c r="J23" s="25" t="str"/>
    </row>
    <row r="24" ht="36" customHeight="1">
      <c r="A24" s="23" t="str">
        <v>RS-07</v>
      </c>
      <c r="B24" s="25" t="str">
        <v>Riesgo</v>
      </c>
      <c r="C24" s="25" t="str">
        <v>Estados no terminan oleada</v>
      </c>
      <c r="D24" s="25" t="str">
        <v>Uri</v>
      </c>
      <c r="E24" s="25" t="str">
        <v>Abierto</v>
      </c>
      <c r="F24" s="25" t="str">
        <v>RQ-017</v>
      </c>
      <c r="G24" s="25" t="str">
        <v>Contar vivos y spawn pendiente; probar Retorno</v>
      </c>
      <c r="H24" s="25" t="str">
        <v>Último enemigo fuera del campo bloquea o adelanta fase</v>
      </c>
      <c r="I24" s="34"/>
      <c r="J24" s="25" t="str"/>
    </row>
    <row r="25" ht="36" customHeight="1">
      <c r="A25" s="13" t="str">
        <v>RS-08</v>
      </c>
      <c r="B25" s="25" t="str">
        <v>Riesgo</v>
      </c>
      <c r="C25" s="25" t="str">
        <v>Calendario real aún sin fijar</v>
      </c>
      <c r="D25" s="25" t="str">
        <v>David</v>
      </c>
      <c r="E25" s="25" t="str">
        <v>Abierto</v>
      </c>
      <c r="F25" s="25" t="str">
        <v>RQ-049</v>
      </c>
      <c r="G25" s="25" t="str">
        <v>Obtener fechas y completar inicio del plan</v>
      </c>
      <c r="H25" s="25" t="str">
        <v>Fecha de entrega no confirmada</v>
      </c>
      <c r="I25" s="34"/>
      <c r="J25" s="25" t="str"/>
    </row>
    <row r="26" ht="54" customHeight="1">
      <c r="A26" s="23" t="str">
        <v>REV-RQ-002</v>
      </c>
      <c r="B26" s="25" t="str">
        <v>Cambio de criterio</v>
      </c>
      <c r="C26" s="25" t="str">
        <v>RQ-002 revisado</v>
      </c>
      <c r="D26" s="25" t="str">
        <v>Amin</v>
      </c>
      <c r="E26" s="25" t="str">
        <v>Propuesto</v>
      </c>
      <c r="F26" s="25" t="str">
        <v>RQ-002</v>
      </c>
      <c r="G26" s="25" t="str">
        <v>Tres personas completan dos partidas cada una. Registrar seis tiempos, muertes y medianas por persona. Si una mediana queda fuera de 300–480 s, registrar el ajuste o la desviación aceptada por el grupo. Las pausas se excluyen.</v>
      </c>
      <c r="H26" s="25" t="str">
        <v>La duración es un objetivo de balance; completar una medición concreta es alcanzable y no finge que nueve partidas garantizan el resultado.</v>
      </c>
      <c r="I26" s="34"/>
      <c r="J26" s="25" t="str"/>
    </row>
    <row r="27" ht="54" customHeight="1">
      <c r="A27" s="13" t="str">
        <v>REV-RQ-003</v>
      </c>
      <c r="B27" s="25" t="str">
        <v>Cambio de criterio</v>
      </c>
      <c r="C27" s="25" t="str">
        <v>RQ-003 revisado</v>
      </c>
      <c r="D27" s="25" t="str">
        <v>Amin</v>
      </c>
      <c r="E27" s="25" t="str">
        <v>Propuesto</v>
      </c>
      <c r="F27" s="25" t="str">
        <v>RQ-003</v>
      </c>
      <c r="G27" s="25" t="str">
        <v>Con configuración de referencia (velocidad 6 u/s y radio 0,32), 60 pasos desde x=0 desplazan el centro a x=6 ±0,01 u. Tras mantener la dirección 3 s más, no supera x=7,68. Repetir a la izquierda.</v>
      </c>
      <c r="H27" s="25" t="str">
        <v>Añadir tolerancia, paso y prueba de ambos extremos elimina una aceptación ambigua.</v>
      </c>
      <c r="I27" s="34"/>
      <c r="J27" s="25" t="str"/>
    </row>
    <row r="28" ht="40" customHeight="1">
      <c r="A28" s="23" t="str">
        <v>REV-RQ-008</v>
      </c>
      <c r="B28" s="25" t="str">
        <v>Cambio de criterio</v>
      </c>
      <c r="C28" s="25" t="str">
        <v>RQ-008 revisado</v>
      </c>
      <c r="D28" s="25" t="str">
        <v>Amin</v>
      </c>
      <c r="E28" s="25" t="str">
        <v>Propuesto</v>
      </c>
      <c r="F28" s="25" t="str">
        <v>RQ-008</v>
      </c>
      <c r="G28" s="25" t="str">
        <v>Al finalizar la ruta, el estado es Formación y la distancia al slot actual es ≤0,01 u. No hay dos enemigos vivos ocupando el mismo slot.</v>
      </c>
      <c r="H28" s="25" t="str">
        <v>El slot se mueve y necesita una tolerancia medible.</v>
      </c>
      <c r="I28" s="34"/>
      <c r="J28" s="25" t="str"/>
    </row>
    <row r="29" ht="40" customHeight="1">
      <c r="A29" s="13" t="str">
        <v>REV-RQ-010</v>
      </c>
      <c r="B29" s="25" t="str">
        <v>Cambio de criterio</v>
      </c>
      <c r="C29" s="25" t="str">
        <v>RQ-010 revisado</v>
      </c>
      <c r="D29" s="25" t="str">
        <v>Amin</v>
      </c>
      <c r="E29" s="25" t="str">
        <v>Propuesto</v>
      </c>
      <c r="F29" s="25" t="str">
        <v>RQ-010</v>
      </c>
      <c r="G29" s="25" t="str">
        <v>Sin bala ni Picado antes de 0,65 s activos. Con h=1/60 s, pasa a Picado entre 0,65 s y 0,65 s+h usando tolerancia numérica de 10⁻⁶ s.</v>
      </c>
      <c r="H29" s="25" t="str">
        <v>La temporización debe aceptar el redondeo de un paso y la coma flotante.</v>
      </c>
      <c r="I29" s="34"/>
      <c r="J29" s="25" t="str"/>
    </row>
    <row r="30" ht="40" customHeight="1">
      <c r="A30" s="23" t="str">
        <v>REV-RQ-012</v>
      </c>
      <c r="B30" s="25" t="str">
        <v>Cambio de criterio</v>
      </c>
      <c r="C30" s="25" t="str">
        <v>RQ-012 revisado</v>
      </c>
      <c r="D30" s="25" t="str">
        <v>Amin</v>
      </c>
      <c r="E30" s="25" t="str">
        <v>Propuesto</v>
      </c>
      <c r="F30" s="25" t="str">
        <v>RQ-012</v>
      </c>
      <c r="G30" s="25" t="str">
        <v>Tras Retorno, el enemigo vuelve a Formación a ≤0,01 u de su slot actual; el slotId se conserva y no se asigna a otro enemigo vivo.</v>
      </c>
      <c r="H30" s="25" t="str">
        <v>Hacer comprobable el retorno sin exigir igualdad exacta de floats.</v>
      </c>
      <c r="I30" s="34"/>
      <c r="J30" s="25" t="str"/>
    </row>
    <row r="31" ht="54" customHeight="1">
      <c r="A31" s="13" t="str">
        <v>REV-RQ-025</v>
      </c>
      <c r="B31" s="25" t="str">
        <v>Cambio de criterio</v>
      </c>
      <c r="C31" s="25" t="str">
        <v>RQ-025 revisado</v>
      </c>
      <c r="D31" s="25" t="str">
        <v>Amin</v>
      </c>
      <c r="E31" s="25" t="str">
        <v>Propuesto</v>
      </c>
      <c r="F31" s="25" t="str">
        <v>RQ-025</v>
      </c>
      <c r="G31" s="25" t="str">
        <v>Tras daño no letal: una vida menos; sin control durante 0,75 s ±h. Reaparece en x=0 ±0,01 u y el mismo plano con 1,5 s ±h de protección. Un contacto a los 0,5 s de reaparecer no resta vida.</v>
      </c>
      <c r="H31" s="25" t="str">
        <v>Separar espera, reaparición y protección y concretar cómo se comprueban.</v>
      </c>
      <c r="I31" s="34"/>
      <c r="J31" s="25" t="str"/>
    </row>
    <row r="32" ht="68" customHeight="1">
      <c r="A32" s="23" t="str">
        <v>REV-RQ-035</v>
      </c>
      <c r="B32" s="25" t="str">
        <v>Cambio de criterio</v>
      </c>
      <c r="C32" s="25" t="str">
        <v>RQ-035 revisado</v>
      </c>
      <c r="D32" s="25" t="str">
        <v>Amin</v>
      </c>
      <c r="E32" s="25" t="str">
        <v>Propuesto</v>
      </c>
      <c r="F32" s="25" t="str">
        <v>RQ-035</v>
      </c>
      <c r="G32" s="25" t="str">
        <v>Registrar 100 muestras de Entrada, Picado y Retorno. Con velocidad ≥0,01 u/s, el ángulo entre eje frontal y tangente es ≤5° y el alabeo absoluto ≤20°. En velocidad menor se conserva la última orientación. Rotar solo el modelo no cambia posición ni radio del collider.</v>
      </c>
      <c r="H32" s="25" t="str">
        <v>Medir la orientación con muestras, umbral de velocidad y tolerancia angular.</v>
      </c>
      <c r="I32" s="34"/>
      <c r="J32" s="25" t="str"/>
    </row>
    <row r="33" ht="54" customHeight="1">
      <c r="A33" s="13" t="str">
        <v>REV-RQ-039</v>
      </c>
      <c r="B33" s="25" t="str">
        <v>Cambio de criterio</v>
      </c>
      <c r="C33" s="25" t="str">
        <v>RQ-039 revisado</v>
      </c>
      <c r="D33" s="25" t="str">
        <v>Amin</v>
      </c>
      <c r="E33" s="25" t="str">
        <v>Propuesto</v>
      </c>
      <c r="F33" s="25" t="str">
        <v>RQ-039</v>
      </c>
      <c r="G33" s="25" t="str">
        <v>Durante el cambio no hay tiro ni contactos del jugador. Se completa entre 0,25 s y 0,25 s+h (h=1/60 s); z final y PlaneId coinciden con el destino y empieza entonces la recarga.</v>
      </c>
      <c r="H33" s="25" t="str">
        <v>La frontera temporal y el momento de activar el nuevo plano quedan definidos.</v>
      </c>
      <c r="I33" s="34"/>
      <c r="J33" s="25" t="str"/>
    </row>
    <row r="34" ht="54" customHeight="1">
      <c r="A34" s="23" t="str">
        <v>REV-RQ-043</v>
      </c>
      <c r="B34" s="25" t="str">
        <v>Cambio de criterio</v>
      </c>
      <c r="C34" s="25" t="str">
        <v>RQ-043 revisado</v>
      </c>
      <c r="D34" s="25" t="str">
        <v>Amin</v>
      </c>
      <c r="E34" s="25" t="str">
        <v>Propuesto</v>
      </c>
      <c r="F34" s="25" t="str">
        <v>RQ-043</v>
      </c>
      <c r="G34" s="25" t="str">
        <v>Tres personas identifican el plano y si hay contacto posible en cinco escenas sin explicación previa. Cada persona acierta al menos 4/5; se conservan respuestas y capturas, incluida una versión en escala de grises.</v>
      </c>
      <c r="H34" s="25" t="str">
        <v>Concretar muestra y criterio por persona; integrar la prueba sin color evita interpretaciones diferentes.</v>
      </c>
      <c r="I34" s="34"/>
      <c r="J34" s="25" t="str"/>
    </row>
    <row r="35" ht="54" customHeight="1">
      <c r="A35" s="13" t="str">
        <v>REV-RQ-046</v>
      </c>
      <c r="B35" s="25" t="str">
        <v>Cambio de criterio</v>
      </c>
      <c r="C35" s="25" t="str">
        <v>RQ-046 revisado</v>
      </c>
      <c r="D35" s="25" t="str">
        <v>Amin</v>
      </c>
      <c r="E35" s="25" t="str">
        <v>Propuesto</v>
      </c>
      <c r="F35" s="25" t="str">
        <v>RQ-046</v>
      </c>
      <c r="G35" s="25" t="str">
        <v>A 30, 60 y 120 FPS de render, la misma semilla y entrada durante 10 s producen vidas y puntos idénticos y posiciones con diferencia ≤0,01 u. No se descarta tiempo de simulación durante este ensayo.</v>
      </c>
      <c r="H35" s="25" t="str">
        <v>La equivalencia debe tener tolerancia y excluir la degradación deliberada por sobrecarga.</v>
      </c>
      <c r="I35" s="34"/>
      <c r="J35" s="25" t="str"/>
    </row>
    <row r="36" ht="68" customHeight="1">
      <c r="A36" s="23" t="str">
        <v>REV-RQ-047</v>
      </c>
      <c r="B36" s="25" t="str">
        <v>Cambio de criterio</v>
      </c>
      <c r="C36" s="25" t="str">
        <v>RQ-047 revisado</v>
      </c>
      <c r="D36" s="25" t="str">
        <v>Amin</v>
      </c>
      <c r="E36" s="25" t="str">
        <v>Propuesto</v>
      </c>
      <c r="F36" s="25" t="str">
        <v>RQ-047</v>
      </c>
      <c r="G36" s="25" t="str">
        <v>Build Release a 1280×720: tras 10 s de calentamiento, registrar 60 s con la oleada 3 y efectos previstos. p95 del tiempo de frame ≤33,3 ms (mínimo propuesto de 30 FPS); 16,7 ms es objetivo adicional. Registrar CPU, GPU y build. Confirmar este presupuesto con la rúbrica.</v>
      </c>
      <c r="H36" s="25" t="str">
        <v>60 FPS en hardware desconocido no es una obligación justificada por el acta; se propone un mínimo viable y un objetivo adicional, ambos medibles.</v>
      </c>
      <c r="I36" s="34"/>
      <c r="J36" s="25" t="str"/>
    </row>
    <row r="37" ht="68" customHeight="1">
      <c r="A37" s="13" t="str">
        <v>REV-RQ-048</v>
      </c>
      <c r="B37" s="25" t="str">
        <v>Cambio de criterio</v>
      </c>
      <c r="C37" s="25" t="str">
        <v>RQ-048 revisado</v>
      </c>
      <c r="D37" s="25" t="str">
        <v>Amin</v>
      </c>
      <c r="E37" s="25" t="str">
        <v>Propuesto</v>
      </c>
      <c r="F37" s="25" t="str">
        <v>RQ-048</v>
      </c>
      <c r="G37" s="25" t="str">
        <v>Tras cinco reinicios, el contador de entidades de cada nueva sesión coincide con el de la primera sesión. Ningún id de la sesión anterior sigue activo. Tras la carga inicial, los contadores de mallas/texturas/buffers persistentes no aumentan por reiniciar. Registrar memoria como diagnóstico.</v>
      </c>
      <c r="H37" s="25" t="str">
        <v>“Sin crecimiento sostenido de memoria” no era un umbral verificable; los contadores y los ids detectan el defecto concreto.</v>
      </c>
      <c r="I37" s="34"/>
      <c r="J37" s="25" t="str"/>
    </row>
    <row r="38" ht="54" customHeight="1">
      <c r="A38" s="23" t="str">
        <v>REV-RQ-049</v>
      </c>
      <c r="B38" s="25" t="str">
        <v>Cambio de criterio</v>
      </c>
      <c r="C38" s="25" t="str">
        <v>RQ-049 revisado</v>
      </c>
      <c r="D38" s="25" t="str">
        <v>Amin</v>
      </c>
      <c r="E38" s="25" t="str">
        <v>Propuesto</v>
      </c>
      <c r="F38" s="25" t="str">
        <v>RQ-049</v>
      </c>
      <c r="G38" s="25" t="str">
        <v>Para cada requisito incluido, la memoria indica estado y prueba/evidencia o causa pendiente. Abrir todas las evidencias de los requisitos aceptados y comprobar que la build coincide. Identificar los P2 no incluidos y atribuir imágenes y vídeos externos.</v>
      </c>
      <c r="H38" s="25" t="str">
        <v>La documentación debe reflejar pendientes reales y no exigir evidencias de funciones opcionales descartadas.</v>
      </c>
      <c r="I38" s="34"/>
      <c r="J38" s="25" t="str"/>
    </row>
    <row r="39" ht="40" customHeight="1">
      <c r="A39" s="13" t="str">
        <v>REV-RQ-007</v>
      </c>
      <c r="B39" s="25" t="str">
        <v>Cambio de criterio</v>
      </c>
      <c r="C39" s="25" t="str">
        <v>RQ-007 revisado</v>
      </c>
      <c r="D39" s="25" t="str">
        <v>Amin</v>
      </c>
      <c r="E39" s="25" t="str">
        <v>Propuesto</v>
      </c>
      <c r="F39" s="25" t="str">
        <v>RQ-007</v>
      </c>
      <c r="G39" s="25" t="str">
        <v>Con h=1/60 s, sin obstáculos y desde y=0: tras 30 pasos su desplazamiento es 9 ±0,01 u; x y PlaneId se conservan.</v>
      </c>
      <c r="H39" s="25" t="str">
        <v>Añadir tolerancia, paso y conservación de plano al ensayo de velocidad.</v>
      </c>
      <c r="I39" s="34"/>
      <c r="J39" s="25" t="str"/>
    </row>
    <row r="40" ht="54" customHeight="1">
      <c r="A40" s="23" t="str">
        <v>REV-RQ-032</v>
      </c>
      <c r="B40" s="25" t="str">
        <v>Cambio de criterio</v>
      </c>
      <c r="C40" s="25" t="str">
        <v>RQ-032 revisado</v>
      </c>
      <c r="D40" s="25" t="str">
        <v>Amin</v>
      </c>
      <c r="E40" s="25" t="str">
        <v>Propuesto</v>
      </c>
      <c r="F40" s="25" t="str">
        <v>RQ-032</v>
      </c>
      <c r="G40" s="25" t="str">
        <v>Con cámara fija, registrar las matrices antes y después de mover solo la nave 1 u en x. Su Model cambia únicamente en la traslación prevista; View, Projection y Model de cada enemigo conservan sus elementos con diferencia absoluta ≤10⁻⁶.</v>
      </c>
      <c r="H40" s="25" t="str">
        <v>Sustituir la comparación visual de transformadas por matrices registradas.</v>
      </c>
      <c r="I40" s="34"/>
      <c r="J40" s="25" t="str"/>
    </row>
    <row r="41" ht="68" customHeight="1">
      <c r="A41" s="13" t="str">
        <v>REV-RQ-036</v>
      </c>
      <c r="B41" s="25" t="str">
        <v>Cambio de criterio</v>
      </c>
      <c r="C41" s="25" t="str">
        <v>RQ-036 revisado</v>
      </c>
      <c r="D41" s="25" t="str">
        <v>Amin</v>
      </c>
      <c r="E41" s="25" t="str">
        <v>Propuesto</v>
      </c>
      <c r="F41" s="25" t="str">
        <v>RQ-036</v>
      </c>
      <c r="G41" s="25" t="str">
        <v>En 1280×720 y 1024×768, guardar capturas con la nave en ambos límites y durante la oleada 3. Los cuatro bordes del campo definido son visibles; todos los indicadores del HUD quedan íntegros dentro del viewport y se puede leer vida, puntos, oleada y plano sin solaparse.</v>
      </c>
      <c r="H41" s="25" t="str">
        <v>Eliminar recortes críticos como criterio ambiguo y definir resoluciones y capturas.</v>
      </c>
      <c r="I41" s="34"/>
      <c r="J41" s="25" t="str"/>
    </row>
    <row r="42" ht="22" customHeight="1">
      <c r="A42" s="3"/>
      <c r="B42" s="3"/>
      <c r="C42" s="3"/>
      <c r="D42" s="9"/>
      <c r="E42" s="9"/>
      <c r="F42" s="3"/>
      <c r="G42" s="3"/>
      <c r="H42" s="3"/>
      <c r="I42" s="3"/>
      <c r="J42" s="3"/>
    </row>
    <row r="43" ht="22" customHeight="1">
      <c r="A43" s="3"/>
      <c r="B43" s="3"/>
      <c r="C43" s="3"/>
      <c r="D43" s="9"/>
      <c r="E43" s="9"/>
      <c r="F43" s="3"/>
      <c r="G43" s="3"/>
      <c r="H43" s="3"/>
      <c r="I43" s="3"/>
      <c r="J43" s="3"/>
    </row>
    <row r="44" ht="22" customHeight="1">
      <c r="A44" s="3"/>
      <c r="B44" s="3"/>
      <c r="C44" s="3"/>
      <c r="D44" s="9"/>
      <c r="E44" s="9"/>
      <c r="F44" s="3"/>
      <c r="G44" s="3"/>
      <c r="H44" s="3"/>
      <c r="I44" s="3"/>
      <c r="J44" s="3"/>
    </row>
    <row r="45" ht="22" customHeight="1">
      <c r="A45" s="3"/>
      <c r="B45" s="3"/>
      <c r="C45" s="3"/>
      <c r="D45" s="9"/>
      <c r="E45" s="9"/>
      <c r="F45" s="3"/>
      <c r="G45" s="3"/>
      <c r="H45" s="3"/>
      <c r="I45" s="3"/>
      <c r="J45" s="3"/>
    </row>
    <row r="46" ht="22" customHeight="1">
      <c r="A46" s="3"/>
      <c r="B46" s="3"/>
      <c r="C46" s="3"/>
      <c r="D46" s="9"/>
      <c r="E46" s="9"/>
      <c r="F46" s="3"/>
      <c r="G46" s="3"/>
      <c r="H46" s="3"/>
      <c r="I46" s="3"/>
      <c r="J46" s="3"/>
    </row>
    <row r="47" ht="22" customHeight="1">
      <c r="A47" s="3"/>
      <c r="B47" s="3"/>
      <c r="C47" s="3"/>
      <c r="D47" s="9"/>
      <c r="E47" s="9"/>
      <c r="F47" s="3"/>
      <c r="G47" s="3"/>
      <c r="H47" s="3"/>
      <c r="I47" s="3"/>
      <c r="J47" s="3"/>
    </row>
    <row r="48" ht="22" customHeight="1">
      <c r="A48" s="3"/>
      <c r="B48" s="3"/>
      <c r="C48" s="3"/>
      <c r="D48" s="9"/>
      <c r="E48" s="9"/>
      <c r="F48" s="3"/>
      <c r="G48" s="3"/>
      <c r="H48" s="3"/>
      <c r="I48" s="3"/>
      <c r="J48" s="3"/>
    </row>
    <row r="49" ht="22" customHeight="1">
      <c r="A49" s="3"/>
      <c r="B49" s="3"/>
      <c r="C49" s="3"/>
      <c r="D49" s="9"/>
      <c r="E49" s="9"/>
      <c r="F49" s="3"/>
      <c r="G49" s="3"/>
      <c r="H49" s="3"/>
      <c r="I49" s="3"/>
      <c r="J49" s="3"/>
    </row>
    <row r="50" ht="22" customHeight="1">
      <c r="A50" s="3"/>
      <c r="B50" s="3"/>
      <c r="C50" s="3"/>
      <c r="D50" s="9"/>
      <c r="E50" s="9"/>
      <c r="F50" s="3"/>
      <c r="G50" s="3"/>
      <c r="H50" s="3"/>
      <c r="I50" s="3"/>
      <c r="J50" s="3"/>
    </row>
    <row r="51" ht="22" customHeight="1">
      <c r="A51" s="3"/>
      <c r="B51" s="3"/>
      <c r="C51" s="3"/>
      <c r="D51" s="9"/>
      <c r="E51" s="9"/>
      <c r="F51" s="3"/>
      <c r="G51" s="3"/>
      <c r="H51" s="3"/>
      <c r="I51" s="3"/>
      <c r="J51" s="3"/>
    </row>
    <row r="52" ht="22" customHeight="1">
      <c r="A52" s="3"/>
      <c r="B52" s="3"/>
      <c r="C52" s="3"/>
      <c r="D52" s="9"/>
      <c r="E52" s="9"/>
      <c r="F52" s="3"/>
      <c r="G52" s="3"/>
      <c r="H52" s="3"/>
      <c r="I52" s="3"/>
      <c r="J52" s="3"/>
    </row>
    <row r="53" ht="22" customHeight="1">
      <c r="A53" s="3"/>
      <c r="B53" s="3"/>
      <c r="C53" s="3"/>
      <c r="D53" s="9"/>
      <c r="E53" s="9"/>
      <c r="F53" s="3"/>
      <c r="G53" s="3"/>
      <c r="H53" s="3"/>
      <c r="I53" s="3"/>
      <c r="J53" s="3"/>
    </row>
    <row r="54" ht="22" customHeight="1">
      <c r="A54" s="3"/>
      <c r="B54" s="3"/>
      <c r="C54" s="3"/>
      <c r="D54" s="9"/>
      <c r="E54" s="9"/>
      <c r="F54" s="3"/>
      <c r="G54" s="3"/>
      <c r="H54" s="3"/>
      <c r="I54" s="3"/>
      <c r="J54" s="3"/>
    </row>
    <row r="55" ht="22" customHeight="1">
      <c r="A55" s="3"/>
      <c r="B55" s="3"/>
      <c r="C55" s="3"/>
      <c r="D55" s="9"/>
      <c r="E55" s="9"/>
      <c r="F55" s="3"/>
      <c r="G55" s="3"/>
      <c r="H55" s="3"/>
      <c r="I55" s="3"/>
      <c r="J55" s="3"/>
    </row>
    <row r="56" ht="22" customHeight="1">
      <c r="A56" s="3"/>
      <c r="B56" s="3"/>
      <c r="C56" s="3"/>
      <c r="D56" s="9"/>
      <c r="E56" s="9"/>
      <c r="F56" s="3"/>
      <c r="G56" s="3"/>
      <c r="H56" s="3"/>
      <c r="I56" s="3"/>
      <c r="J56" s="3"/>
    </row>
    <row r="57" ht="22" customHeight="1">
      <c r="A57" s="3"/>
      <c r="B57" s="3"/>
      <c r="C57" s="3"/>
      <c r="D57" s="9"/>
      <c r="E57" s="9"/>
      <c r="F57" s="3"/>
      <c r="G57" s="3"/>
      <c r="H57" s="3"/>
      <c r="I57" s="3"/>
      <c r="J57" s="3"/>
    </row>
    <row r="58" ht="22" customHeight="1">
      <c r="A58" s="3"/>
      <c r="B58" s="3"/>
      <c r="C58" s="3"/>
      <c r="D58" s="9"/>
      <c r="E58" s="9"/>
      <c r="F58" s="3"/>
      <c r="G58" s="3"/>
      <c r="H58" s="3"/>
      <c r="I58" s="3"/>
      <c r="J58" s="3"/>
    </row>
    <row r="59" ht="22" customHeight="1">
      <c r="A59" s="3"/>
      <c r="B59" s="3"/>
      <c r="C59" s="3"/>
      <c r="D59" s="9"/>
      <c r="E59" s="9"/>
      <c r="F59" s="3"/>
      <c r="G59" s="3"/>
      <c r="H59" s="3"/>
      <c r="I59" s="3"/>
      <c r="J59" s="3"/>
    </row>
    <row r="60" ht="22" customHeight="1">
      <c r="A60" s="3"/>
      <c r="B60" s="3"/>
      <c r="C60" s="3"/>
      <c r="D60" s="9"/>
      <c r="E60" s="9"/>
      <c r="F60" s="3"/>
      <c r="G60" s="3"/>
      <c r="H60" s="3"/>
      <c r="I60" s="3"/>
      <c r="J60" s="3"/>
    </row>
    <row r="61" ht="22" customHeight="1">
      <c r="A61" s="3"/>
      <c r="B61" s="3"/>
      <c r="C61" s="3"/>
      <c r="D61" s="9"/>
      <c r="E61" s="9"/>
      <c r="F61" s="3"/>
      <c r="G61" s="3"/>
      <c r="H61" s="3"/>
      <c r="I61" s="3"/>
      <c r="J61" s="3"/>
    </row>
    <row r="62" ht="22" customHeight="1">
      <c r="A62" s="3"/>
      <c r="B62" s="3"/>
      <c r="C62" s="3"/>
      <c r="D62" s="9"/>
      <c r="E62" s="9"/>
      <c r="F62" s="3"/>
      <c r="G62" s="3"/>
      <c r="H62" s="3"/>
      <c r="I62" s="3"/>
      <c r="J62" s="3"/>
    </row>
    <row r="63" ht="22" customHeight="1">
      <c r="A63" s="3"/>
      <c r="B63" s="3"/>
      <c r="C63" s="3"/>
      <c r="D63" s="9"/>
      <c r="E63" s="9"/>
      <c r="F63" s="3"/>
      <c r="G63" s="3"/>
      <c r="H63" s="3"/>
      <c r="I63" s="3"/>
      <c r="J63" s="3"/>
    </row>
    <row r="64" ht="22" customHeight="1">
      <c r="A64" s="3"/>
      <c r="B64" s="3"/>
      <c r="C64" s="3"/>
      <c r="D64" s="9"/>
      <c r="E64" s="9"/>
      <c r="F64" s="3"/>
      <c r="G64" s="3"/>
      <c r="H64" s="3"/>
      <c r="I64" s="3"/>
      <c r="J64" s="3"/>
    </row>
    <row r="65" ht="22" customHeight="1">
      <c r="A65" s="3"/>
      <c r="B65" s="3"/>
      <c r="C65" s="3"/>
      <c r="D65" s="9"/>
      <c r="E65" s="9"/>
      <c r="F65" s="3"/>
      <c r="G65" s="3"/>
      <c r="H65" s="3"/>
      <c r="I65" s="3"/>
      <c r="J65" s="3"/>
    </row>
    <row r="66" ht="22" customHeight="1">
      <c r="A66" s="3"/>
      <c r="B66" s="3"/>
      <c r="C66" s="3"/>
      <c r="D66" s="9"/>
      <c r="E66" s="9"/>
      <c r="F66" s="3"/>
      <c r="G66" s="3"/>
      <c r="H66" s="3"/>
      <c r="I66" s="3"/>
      <c r="J66" s="3"/>
    </row>
    <row r="67" ht="22" customHeight="1">
      <c r="A67" s="3"/>
      <c r="B67" s="3"/>
      <c r="C67" s="3"/>
      <c r="D67" s="9"/>
      <c r="E67" s="9"/>
      <c r="F67" s="3"/>
      <c r="G67" s="3"/>
      <c r="H67" s="3"/>
      <c r="I67" s="3"/>
      <c r="J67" s="3"/>
    </row>
    <row r="68" ht="22" customHeight="1">
      <c r="A68" s="3"/>
      <c r="B68" s="3"/>
      <c r="C68" s="3"/>
      <c r="D68" s="9"/>
      <c r="E68" s="9"/>
      <c r="F68" s="3"/>
      <c r="G68" s="3"/>
      <c r="H68" s="3"/>
      <c r="I68" s="3"/>
      <c r="J68" s="3"/>
    </row>
    <row r="69" ht="22" customHeight="1">
      <c r="A69" s="3"/>
      <c r="B69" s="3"/>
      <c r="C69" s="3"/>
      <c r="D69" s="9"/>
      <c r="E69" s="9"/>
      <c r="F69" s="3"/>
      <c r="G69" s="3"/>
      <c r="H69" s="3"/>
      <c r="I69" s="3"/>
      <c r="J69" s="3"/>
    </row>
    <row r="70" ht="22" customHeight="1">
      <c r="A70" s="3"/>
      <c r="B70" s="3"/>
      <c r="C70" s="3"/>
      <c r="D70" s="9"/>
      <c r="E70" s="9"/>
      <c r="F70" s="3"/>
      <c r="G70" s="3"/>
      <c r="H70" s="3"/>
      <c r="I70" s="3"/>
      <c r="J70" s="3"/>
    </row>
    <row r="71" ht="22" customHeight="1">
      <c r="A71" s="3"/>
      <c r="B71" s="3"/>
      <c r="C71" s="3"/>
      <c r="D71" s="9"/>
      <c r="E71" s="9"/>
      <c r="F71" s="3"/>
      <c r="G71" s="3"/>
      <c r="H71" s="3"/>
      <c r="I71" s="3"/>
      <c r="J71" s="3"/>
    </row>
    <row r="72" ht="22" customHeight="1">
      <c r="A72" s="3"/>
      <c r="B72" s="3"/>
      <c r="C72" s="3"/>
      <c r="D72" s="9"/>
      <c r="E72" s="9"/>
      <c r="F72" s="3"/>
      <c r="G72" s="3"/>
      <c r="H72" s="3"/>
      <c r="I72" s="3"/>
      <c r="J72" s="3"/>
    </row>
    <row r="73" ht="22" customHeight="1">
      <c r="A73" s="3"/>
      <c r="B73" s="3"/>
      <c r="C73" s="3"/>
      <c r="D73" s="9"/>
      <c r="E73" s="9"/>
      <c r="F73" s="3"/>
      <c r="G73" s="3"/>
      <c r="H73" s="3"/>
      <c r="I73" s="3"/>
      <c r="J73" s="3"/>
    </row>
    <row r="74" ht="22" customHeight="1">
      <c r="A74" s="3"/>
      <c r="B74" s="3"/>
      <c r="C74" s="3"/>
      <c r="D74" s="9"/>
      <c r="E74" s="9"/>
      <c r="F74" s="3"/>
      <c r="G74" s="3"/>
      <c r="H74" s="3"/>
      <c r="I74" s="3"/>
      <c r="J74" s="3"/>
    </row>
    <row r="75" ht="22" customHeight="1">
      <c r="A75" s="3"/>
      <c r="B75" s="3"/>
      <c r="C75" s="3"/>
      <c r="D75" s="9"/>
      <c r="E75" s="9"/>
      <c r="F75" s="3"/>
      <c r="G75" s="3"/>
      <c r="H75" s="3"/>
      <c r="I75" s="3"/>
      <c r="J75" s="3"/>
    </row>
    <row r="76">
      <c r="D76" s="26"/>
      <c r="E76" s="26"/>
    </row>
    <row r="77">
      <c r="D77" s="26"/>
      <c r="E77" s="26"/>
    </row>
    <row r="78">
      <c r="D78" s="26"/>
      <c r="E78" s="26"/>
    </row>
    <row r="79">
      <c r="D79" s="26"/>
      <c r="E79" s="26"/>
    </row>
    <row r="80">
      <c r="D80" s="26"/>
      <c r="E80" s="26"/>
    </row>
    <row r="81">
      <c r="D81" s="26"/>
      <c r="E81" s="26"/>
    </row>
    <row r="82">
      <c r="D82" s="26"/>
      <c r="E82" s="26"/>
    </row>
    <row r="83">
      <c r="D83" s="26"/>
      <c r="E83" s="26"/>
    </row>
    <row r="84">
      <c r="D84" s="26"/>
      <c r="E84" s="26"/>
    </row>
    <row r="85">
      <c r="D85" s="26"/>
      <c r="E85" s="26"/>
    </row>
    <row r="86">
      <c r="D86" s="26"/>
      <c r="E86" s="26"/>
    </row>
    <row r="87">
      <c r="D87" s="26"/>
      <c r="E87" s="26"/>
    </row>
    <row r="88">
      <c r="D88" s="26"/>
      <c r="E88" s="26"/>
    </row>
    <row r="89">
      <c r="D89" s="26"/>
      <c r="E89" s="26"/>
    </row>
    <row r="90">
      <c r="D90" s="26"/>
      <c r="E90" s="26"/>
    </row>
    <row r="91">
      <c r="D91" s="26"/>
      <c r="E91" s="26"/>
    </row>
    <row r="92">
      <c r="D92" s="26"/>
      <c r="E92" s="26"/>
    </row>
    <row r="93">
      <c r="D93" s="26"/>
      <c r="E93" s="26"/>
    </row>
    <row r="94">
      <c r="D94" s="26"/>
      <c r="E94" s="26"/>
    </row>
    <row r="95">
      <c r="D95" s="26"/>
      <c r="E95" s="26"/>
    </row>
    <row r="96">
      <c r="D96" s="26"/>
      <c r="E96" s="26"/>
    </row>
    <row r="97">
      <c r="D97" s="26"/>
      <c r="E97" s="26"/>
    </row>
    <row r="98">
      <c r="D98" s="26"/>
      <c r="E98" s="26"/>
    </row>
    <row r="99">
      <c r="D99" s="26"/>
      <c r="E99" s="26"/>
    </row>
    <row r="100">
      <c r="D100" s="26"/>
      <c r="E100" s="26"/>
    </row>
    <row r="101">
      <c r="D101" s="26"/>
      <c r="E101" s="26"/>
    </row>
    <row r="102">
      <c r="D102" s="26"/>
      <c r="E102" s="26"/>
    </row>
    <row r="103">
      <c r="D103" s="26"/>
      <c r="E103" s="26"/>
    </row>
    <row r="104">
      <c r="D104" s="26"/>
      <c r="E104" s="26"/>
    </row>
    <row r="105">
      <c r="D105" s="26"/>
      <c r="E105" s="26"/>
    </row>
    <row r="106">
      <c r="D106" s="26"/>
      <c r="E106" s="26"/>
    </row>
    <row r="107">
      <c r="D107" s="26"/>
      <c r="E107" s="26"/>
    </row>
    <row r="108">
      <c r="D108" s="26"/>
      <c r="E108" s="26"/>
    </row>
    <row r="109">
      <c r="D109" s="26"/>
      <c r="E109" s="26"/>
    </row>
    <row r="110">
      <c r="D110" s="26"/>
      <c r="E110" s="26"/>
    </row>
    <row r="111">
      <c r="D111" s="26"/>
      <c r="E111" s="26"/>
    </row>
    <row r="112">
      <c r="D112" s="26"/>
      <c r="E112" s="26"/>
    </row>
    <row r="113">
      <c r="D113" s="26"/>
      <c r="E113" s="26"/>
    </row>
    <row r="114">
      <c r="D114" s="26"/>
      <c r="E114" s="26"/>
    </row>
    <row r="115">
      <c r="D115" s="26"/>
      <c r="E115" s="26"/>
    </row>
    <row r="116">
      <c r="D116" s="26"/>
      <c r="E116" s="26"/>
    </row>
    <row r="117">
      <c r="D117" s="26"/>
      <c r="E117" s="26"/>
    </row>
    <row r="118">
      <c r="D118" s="26"/>
      <c r="E118" s="26"/>
    </row>
    <row r="119">
      <c r="D119" s="26"/>
      <c r="E119" s="26"/>
    </row>
    <row r="120">
      <c r="D120" s="26"/>
      <c r="E120" s="26"/>
    </row>
    <row r="121">
      <c r="D121" s="26"/>
      <c r="E121" s="26"/>
    </row>
    <row r="122">
      <c r="D122" s="26"/>
      <c r="E122" s="26"/>
    </row>
    <row r="123">
      <c r="D123" s="26"/>
      <c r="E123" s="26"/>
    </row>
    <row r="124">
      <c r="D124" s="26"/>
      <c r="E124" s="26"/>
    </row>
    <row r="125">
      <c r="D125" s="26"/>
      <c r="E125" s="26"/>
    </row>
    <row r="126">
      <c r="D126" s="26"/>
      <c r="E126" s="26"/>
    </row>
    <row r="127">
      <c r="D127" s="26"/>
      <c r="E127" s="26"/>
    </row>
    <row r="128">
      <c r="D128" s="26"/>
      <c r="E128" s="26"/>
    </row>
    <row r="129">
      <c r="D129" s="26"/>
      <c r="E129" s="26"/>
    </row>
    <row r="130">
      <c r="D130" s="26"/>
      <c r="E130" s="26"/>
    </row>
    <row r="131">
      <c r="D131" s="26"/>
      <c r="E131" s="26"/>
    </row>
    <row r="132">
      <c r="D132" s="26"/>
      <c r="E132" s="26"/>
    </row>
    <row r="133">
      <c r="D133" s="26"/>
      <c r="E133" s="26"/>
    </row>
    <row r="134">
      <c r="D134" s="26"/>
      <c r="E134" s="26"/>
    </row>
    <row r="135">
      <c r="D135" s="26"/>
      <c r="E135" s="26"/>
    </row>
    <row r="136">
      <c r="D136" s="26"/>
      <c r="E136" s="26"/>
    </row>
    <row r="137">
      <c r="D137" s="26"/>
      <c r="E137" s="26"/>
    </row>
    <row r="138">
      <c r="D138" s="26"/>
      <c r="E138" s="26"/>
    </row>
    <row r="139">
      <c r="D139" s="26"/>
      <c r="E139" s="26"/>
    </row>
    <row r="140">
      <c r="D140" s="26"/>
      <c r="E140" s="26"/>
    </row>
    <row r="141">
      <c r="D141" s="26"/>
      <c r="E141" s="26"/>
    </row>
    <row r="142">
      <c r="D142" s="26"/>
      <c r="E142" s="26"/>
    </row>
    <row r="143">
      <c r="D143" s="26"/>
      <c r="E143" s="26"/>
    </row>
    <row r="144">
      <c r="D144" s="26"/>
      <c r="E144" s="26"/>
    </row>
    <row r="145">
      <c r="D145" s="26"/>
      <c r="E145" s="26"/>
    </row>
    <row r="146">
      <c r="D146" s="26"/>
      <c r="E146" s="26"/>
    </row>
    <row r="147">
      <c r="D147" s="26"/>
      <c r="E147" s="26"/>
    </row>
    <row r="148">
      <c r="D148" s="26"/>
      <c r="E148" s="26"/>
    </row>
    <row r="149">
      <c r="D149" s="26"/>
      <c r="E149" s="26"/>
    </row>
    <row r="150">
      <c r="D150" s="26"/>
      <c r="E150" s="26"/>
    </row>
    <row r="151">
      <c r="D151" s="26"/>
      <c r="E151" s="26"/>
    </row>
    <row r="152">
      <c r="D152" s="26"/>
      <c r="E152" s="26"/>
    </row>
    <row r="153">
      <c r="D153" s="26"/>
      <c r="E153" s="26"/>
    </row>
    <row r="154">
      <c r="D154" s="26"/>
      <c r="E154" s="26"/>
    </row>
    <row r="155">
      <c r="D155" s="26"/>
      <c r="E155" s="26"/>
    </row>
    <row r="156">
      <c r="D156" s="26"/>
      <c r="E156" s="26"/>
    </row>
    <row r="157">
      <c r="D157" s="26"/>
      <c r="E157" s="26"/>
    </row>
    <row r="158">
      <c r="D158" s="26"/>
      <c r="E158" s="26"/>
    </row>
    <row r="159">
      <c r="D159" s="26"/>
      <c r="E159" s="26"/>
    </row>
    <row r="160">
      <c r="D160" s="26"/>
      <c r="E160" s="26"/>
    </row>
    <row r="161">
      <c r="D161" s="26"/>
      <c r="E161" s="26"/>
    </row>
    <row r="162">
      <c r="D162" s="26"/>
      <c r="E162" s="26"/>
    </row>
    <row r="163">
      <c r="D163" s="26"/>
      <c r="E163" s="26"/>
    </row>
    <row r="164">
      <c r="D164" s="26"/>
      <c r="E164" s="26"/>
    </row>
    <row r="165">
      <c r="D165" s="26"/>
      <c r="E165" s="26"/>
    </row>
    <row r="166">
      <c r="D166" s="26"/>
      <c r="E166" s="26"/>
    </row>
    <row r="167">
      <c r="D167" s="26"/>
      <c r="E167" s="26"/>
    </row>
    <row r="168">
      <c r="D168" s="26"/>
      <c r="E168" s="26"/>
    </row>
    <row r="169">
      <c r="D169" s="26"/>
      <c r="E169" s="26"/>
    </row>
    <row r="170">
      <c r="D170" s="26"/>
      <c r="E170" s="26"/>
    </row>
    <row r="171">
      <c r="D171" s="26"/>
      <c r="E171" s="26"/>
    </row>
    <row r="172">
      <c r="D172" s="26"/>
      <c r="E172" s="26"/>
    </row>
    <row r="173">
      <c r="D173" s="26"/>
      <c r="E173" s="26"/>
    </row>
    <row r="174">
      <c r="D174" s="26"/>
      <c r="E174" s="26"/>
    </row>
    <row r="175">
      <c r="D175" s="26"/>
      <c r="E175" s="26"/>
    </row>
    <row r="176">
      <c r="D176" s="26"/>
      <c r="E176" s="26"/>
    </row>
    <row r="177">
      <c r="D177" s="26"/>
      <c r="E177" s="26"/>
    </row>
    <row r="178">
      <c r="D178" s="26"/>
      <c r="E178" s="26"/>
    </row>
    <row r="179">
      <c r="D179" s="26"/>
      <c r="E179" s="26"/>
    </row>
    <row r="180">
      <c r="D180" s="26"/>
      <c r="E180" s="26"/>
    </row>
    <row r="181">
      <c r="D181" s="26"/>
      <c r="E181" s="26"/>
    </row>
    <row r="182">
      <c r="D182" s="26"/>
      <c r="E182" s="26"/>
    </row>
    <row r="183">
      <c r="D183" s="26"/>
      <c r="E183" s="26"/>
    </row>
    <row r="184">
      <c r="D184" s="26"/>
      <c r="E184" s="26"/>
    </row>
    <row r="185">
      <c r="D185" s="26"/>
      <c r="E185" s="26"/>
    </row>
    <row r="186">
      <c r="D186" s="26"/>
      <c r="E186" s="26"/>
    </row>
    <row r="187">
      <c r="D187" s="26"/>
      <c r="E187" s="26"/>
    </row>
    <row r="188">
      <c r="D188" s="26"/>
      <c r="E188" s="26"/>
    </row>
    <row r="189">
      <c r="D189" s="26"/>
      <c r="E189" s="26"/>
    </row>
    <row r="190">
      <c r="D190" s="26"/>
      <c r="E190" s="26"/>
    </row>
    <row r="191">
      <c r="D191" s="26"/>
      <c r="E191" s="26"/>
    </row>
    <row r="192">
      <c r="D192" s="26"/>
      <c r="E192" s="26"/>
    </row>
    <row r="193">
      <c r="D193" s="26"/>
      <c r="E193" s="26"/>
    </row>
    <row r="194">
      <c r="D194" s="26"/>
      <c r="E194" s="26"/>
    </row>
    <row r="195">
      <c r="D195" s="26"/>
      <c r="E195" s="26"/>
    </row>
    <row r="196">
      <c r="D196" s="26"/>
      <c r="E196" s="26"/>
    </row>
    <row r="197">
      <c r="D197" s="26"/>
      <c r="E197" s="26"/>
    </row>
    <row r="198">
      <c r="D198" s="26"/>
      <c r="E198" s="26"/>
    </row>
    <row r="199">
      <c r="D199" s="26"/>
      <c r="E199" s="26"/>
    </row>
    <row r="200">
      <c r="D200" s="26"/>
      <c r="E200" s="26"/>
    </row>
    <row r="201">
      <c r="D201" s="26"/>
      <c r="E201" s="26"/>
    </row>
    <row r="202">
      <c r="D202" s="26"/>
      <c r="E202" s="26"/>
    </row>
    <row r="203">
      <c r="D203" s="26"/>
      <c r="E203" s="26"/>
    </row>
    <row r="204">
      <c r="D204" s="26"/>
      <c r="E204" s="26"/>
    </row>
    <row r="205">
      <c r="D205" s="26"/>
      <c r="E205" s="26"/>
    </row>
    <row r="206">
      <c r="D206" s="26"/>
      <c r="E206" s="26"/>
    </row>
    <row r="207">
      <c r="D207" s="26"/>
      <c r="E207" s="26"/>
    </row>
    <row r="208">
      <c r="D208" s="26"/>
      <c r="E208" s="26"/>
    </row>
    <row r="209">
      <c r="D209" s="26"/>
      <c r="E209" s="26"/>
    </row>
    <row r="210">
      <c r="D210" s="26"/>
      <c r="E210" s="26"/>
    </row>
    <row r="211">
      <c r="D211" s="26"/>
      <c r="E211" s="26"/>
    </row>
    <row r="212">
      <c r="D212" s="26"/>
      <c r="E212" s="26"/>
    </row>
    <row r="213">
      <c r="D213" s="26"/>
      <c r="E213" s="26"/>
    </row>
    <row r="214">
      <c r="D214" s="26"/>
      <c r="E214" s="26"/>
    </row>
    <row r="215">
      <c r="D215" s="26"/>
      <c r="E215" s="26"/>
    </row>
    <row r="216">
      <c r="D216" s="26"/>
      <c r="E216" s="26"/>
    </row>
    <row r="217">
      <c r="D217" s="26"/>
      <c r="E217" s="26"/>
    </row>
    <row r="218">
      <c r="D218" s="26"/>
      <c r="E218" s="26"/>
    </row>
    <row r="219">
      <c r="D219" s="26"/>
      <c r="E219" s="26"/>
    </row>
    <row r="220">
      <c r="D220" s="26"/>
      <c r="E220" s="26"/>
    </row>
    <row r="221">
      <c r="D221" s="26"/>
      <c r="E221" s="26"/>
    </row>
    <row r="222">
      <c r="D222" s="26"/>
      <c r="E222" s="26"/>
    </row>
    <row r="223">
      <c r="D223" s="26"/>
      <c r="E223" s="26"/>
    </row>
    <row r="224">
      <c r="D224" s="26"/>
      <c r="E224" s="26"/>
    </row>
    <row r="225">
      <c r="D225" s="26"/>
      <c r="E225" s="26"/>
    </row>
    <row r="226">
      <c r="D226" s="26"/>
      <c r="E226" s="26"/>
    </row>
    <row r="227">
      <c r="D227" s="26"/>
      <c r="E227" s="26"/>
    </row>
    <row r="228">
      <c r="D228" s="26"/>
      <c r="E228" s="26"/>
    </row>
    <row r="229">
      <c r="D229" s="26"/>
      <c r="E229" s="26"/>
    </row>
    <row r="230">
      <c r="D230" s="26"/>
      <c r="E230" s="26"/>
    </row>
    <row r="231">
      <c r="D231" s="26"/>
      <c r="E231" s="26"/>
    </row>
    <row r="232">
      <c r="D232" s="26"/>
      <c r="E232" s="26"/>
    </row>
    <row r="233">
      <c r="D233" s="26"/>
      <c r="E233" s="26"/>
    </row>
    <row r="234">
      <c r="D234" s="26"/>
      <c r="E234" s="26"/>
    </row>
    <row r="235">
      <c r="D235" s="26"/>
      <c r="E235" s="26"/>
    </row>
    <row r="236">
      <c r="D236" s="26"/>
      <c r="E236" s="26"/>
    </row>
    <row r="237">
      <c r="D237" s="26"/>
      <c r="E237" s="26"/>
    </row>
    <row r="238">
      <c r="D238" s="26"/>
      <c r="E238" s="26"/>
    </row>
    <row r="239">
      <c r="D239" s="26"/>
      <c r="E239" s="26"/>
    </row>
    <row r="240">
      <c r="D240" s="26"/>
      <c r="E240" s="26"/>
    </row>
    <row r="241">
      <c r="D241" s="26"/>
      <c r="E241" s="26"/>
    </row>
    <row r="242">
      <c r="D242" s="26"/>
      <c r="E242" s="26"/>
    </row>
    <row r="243">
      <c r="D243" s="26"/>
      <c r="E243" s="26"/>
    </row>
    <row r="244">
      <c r="D244" s="26"/>
      <c r="E244" s="26"/>
    </row>
    <row r="245">
      <c r="D245" s="26"/>
      <c r="E245" s="26"/>
    </row>
    <row r="246">
      <c r="D246" s="26"/>
      <c r="E246" s="26"/>
    </row>
    <row r="247">
      <c r="D247" s="26"/>
      <c r="E247" s="26"/>
    </row>
    <row r="248">
      <c r="D248" s="26"/>
      <c r="E248" s="26"/>
    </row>
    <row r="249">
      <c r="D249" s="26"/>
      <c r="E249" s="26"/>
    </row>
    <row r="250">
      <c r="D250" s="26"/>
      <c r="E250" s="26"/>
    </row>
    <row r="251">
      <c r="D251" s="26"/>
      <c r="E251" s="26"/>
    </row>
    <row r="252">
      <c r="D252" s="26"/>
      <c r="E252" s="26"/>
    </row>
    <row r="253">
      <c r="D253" s="26"/>
      <c r="E253" s="26"/>
    </row>
    <row r="254">
      <c r="D254" s="26"/>
      <c r="E254" s="26"/>
    </row>
    <row r="255">
      <c r="D255" s="26"/>
      <c r="E255" s="26"/>
    </row>
    <row r="256">
      <c r="D256" s="26"/>
      <c r="E256" s="26"/>
    </row>
    <row r="257">
      <c r="D257" s="26"/>
      <c r="E257" s="26"/>
    </row>
    <row r="258">
      <c r="D258" s="26"/>
      <c r="E258" s="26"/>
    </row>
    <row r="259">
      <c r="D259" s="26"/>
      <c r="E259" s="26"/>
    </row>
    <row r="260">
      <c r="D260" s="26"/>
      <c r="E260" s="26"/>
    </row>
    <row r="261">
      <c r="D261" s="26"/>
      <c r="E261" s="26"/>
    </row>
    <row r="262">
      <c r="D262" s="26"/>
      <c r="E262" s="26"/>
    </row>
    <row r="263">
      <c r="D263" s="26"/>
      <c r="E263" s="26"/>
    </row>
    <row r="264">
      <c r="D264" s="26"/>
      <c r="E264" s="26"/>
    </row>
    <row r="265">
      <c r="D265" s="26"/>
      <c r="E265" s="26"/>
    </row>
    <row r="266">
      <c r="D266" s="26"/>
      <c r="E266" s="26"/>
    </row>
    <row r="267">
      <c r="D267" s="26"/>
      <c r="E267" s="26"/>
    </row>
    <row r="268">
      <c r="D268" s="26"/>
      <c r="E268" s="26"/>
    </row>
    <row r="269">
      <c r="D269" s="26"/>
      <c r="E269" s="26"/>
    </row>
    <row r="270">
      <c r="D270" s="26"/>
      <c r="E270" s="26"/>
    </row>
    <row r="271">
      <c r="D271" s="26"/>
      <c r="E271" s="26"/>
    </row>
    <row r="272">
      <c r="D272" s="26"/>
      <c r="E272" s="26"/>
    </row>
    <row r="273">
      <c r="D273" s="26"/>
      <c r="E273" s="26"/>
    </row>
    <row r="274">
      <c r="D274" s="26"/>
      <c r="E274" s="26"/>
    </row>
    <row r="275">
      <c r="D275" s="26"/>
      <c r="E275" s="26"/>
    </row>
    <row r="276">
      <c r="D276" s="26"/>
      <c r="E276" s="26"/>
    </row>
    <row r="277">
      <c r="D277" s="26"/>
      <c r="E277" s="26"/>
    </row>
    <row r="278">
      <c r="D278" s="26"/>
      <c r="E278" s="26"/>
    </row>
    <row r="279">
      <c r="D279" s="26"/>
      <c r="E279" s="26"/>
    </row>
    <row r="280">
      <c r="D280" s="26"/>
      <c r="E280" s="26"/>
    </row>
    <row r="281">
      <c r="D281" s="26"/>
      <c r="E281" s="26"/>
    </row>
    <row r="282">
      <c r="D282" s="26"/>
      <c r="E282" s="26"/>
    </row>
    <row r="283">
      <c r="D283" s="26"/>
      <c r="E283" s="26"/>
    </row>
    <row r="284">
      <c r="D284" s="26"/>
      <c r="E284" s="26"/>
    </row>
    <row r="285">
      <c r="D285" s="26"/>
      <c r="E285" s="26"/>
    </row>
    <row r="286">
      <c r="D286" s="26"/>
      <c r="E286" s="26"/>
    </row>
    <row r="287">
      <c r="D287" s="26"/>
      <c r="E287" s="26"/>
    </row>
    <row r="288">
      <c r="D288" s="26"/>
      <c r="E288" s="26"/>
    </row>
    <row r="289">
      <c r="D289" s="26"/>
      <c r="E289" s="26"/>
    </row>
    <row r="290">
      <c r="D290" s="26"/>
      <c r="E290" s="26"/>
    </row>
    <row r="291">
      <c r="D291" s="26"/>
      <c r="E291" s="26"/>
    </row>
    <row r="292">
      <c r="D292" s="26"/>
      <c r="E292" s="26"/>
    </row>
    <row r="293">
      <c r="D293" s="26"/>
      <c r="E293" s="26"/>
    </row>
    <row r="294">
      <c r="D294" s="26"/>
      <c r="E294" s="26"/>
    </row>
    <row r="295">
      <c r="D295" s="26"/>
      <c r="E295" s="26"/>
    </row>
    <row r="296">
      <c r="D296" s="26"/>
      <c r="E296" s="26"/>
    </row>
    <row r="297">
      <c r="D297" s="26"/>
      <c r="E297" s="26"/>
    </row>
    <row r="298">
      <c r="D298" s="26"/>
      <c r="E298" s="26"/>
    </row>
    <row r="299">
      <c r="D299" s="26"/>
      <c r="E299" s="26"/>
    </row>
    <row r="300">
      <c r="D300" s="26"/>
      <c r="E300" s="26"/>
    </row>
    <row r="301">
      <c r="D301" s="26"/>
      <c r="E301" s="26"/>
    </row>
    <row r="302">
      <c r="D302" s="26"/>
      <c r="E302" s="26"/>
    </row>
    <row r="303">
      <c r="D303" s="26"/>
      <c r="E303" s="26"/>
    </row>
    <row r="304">
      <c r="D304" s="26"/>
      <c r="E304" s="26"/>
    </row>
    <row r="305">
      <c r="D305" s="26"/>
      <c r="E305" s="26"/>
    </row>
    <row r="306">
      <c r="D306" s="26"/>
      <c r="E306" s="26"/>
    </row>
    <row r="307">
      <c r="D307" s="26"/>
      <c r="E307" s="26"/>
    </row>
    <row r="308">
      <c r="D308" s="26"/>
      <c r="E308" s="26"/>
    </row>
    <row r="309">
      <c r="D309" s="26"/>
      <c r="E309" s="26"/>
    </row>
    <row r="310">
      <c r="D310" s="26"/>
      <c r="E310" s="26"/>
    </row>
    <row r="311">
      <c r="D311" s="26"/>
      <c r="E311" s="26"/>
    </row>
    <row r="312">
      <c r="D312" s="26"/>
      <c r="E312" s="26"/>
    </row>
    <row r="313">
      <c r="D313" s="26"/>
      <c r="E313" s="26"/>
    </row>
    <row r="314">
      <c r="D314" s="26"/>
      <c r="E314" s="26"/>
    </row>
    <row r="315">
      <c r="D315" s="26"/>
      <c r="E315" s="26"/>
    </row>
    <row r="316">
      <c r="D316" s="26"/>
      <c r="E316" s="26"/>
    </row>
    <row r="317">
      <c r="D317" s="26"/>
      <c r="E317" s="26"/>
    </row>
    <row r="318">
      <c r="D318" s="26"/>
      <c r="E318" s="26"/>
    </row>
    <row r="319">
      <c r="D319" s="26"/>
      <c r="E319" s="26"/>
    </row>
    <row r="320">
      <c r="D320" s="26"/>
      <c r="E320" s="26"/>
    </row>
    <row r="321">
      <c r="D321" s="26"/>
      <c r="E321" s="26"/>
    </row>
    <row r="322">
      <c r="D322" s="26"/>
      <c r="E322" s="26"/>
    </row>
    <row r="323">
      <c r="D323" s="26"/>
      <c r="E323" s="26"/>
    </row>
    <row r="324">
      <c r="D324" s="26"/>
      <c r="E324" s="26"/>
    </row>
    <row r="325">
      <c r="D325" s="26"/>
      <c r="E325" s="26"/>
    </row>
    <row r="326">
      <c r="D326" s="26"/>
      <c r="E326" s="26"/>
    </row>
    <row r="327">
      <c r="D327" s="26"/>
      <c r="E327" s="26"/>
    </row>
    <row r="328">
      <c r="D328" s="26"/>
      <c r="E328" s="26"/>
    </row>
    <row r="329">
      <c r="D329" s="26"/>
      <c r="E329" s="26"/>
    </row>
    <row r="330">
      <c r="D330" s="26"/>
      <c r="E330" s="26"/>
    </row>
    <row r="331">
      <c r="D331" s="26"/>
      <c r="E331" s="26"/>
    </row>
    <row r="332">
      <c r="D332" s="26"/>
      <c r="E332" s="26"/>
    </row>
    <row r="333">
      <c r="D333" s="26"/>
      <c r="E333" s="26"/>
    </row>
    <row r="334">
      <c r="D334" s="26"/>
      <c r="E334" s="26"/>
    </row>
    <row r="335">
      <c r="D335" s="26"/>
      <c r="E335" s="26"/>
    </row>
    <row r="336">
      <c r="D336" s="26"/>
      <c r="E336" s="26"/>
    </row>
    <row r="337">
      <c r="D337" s="26"/>
      <c r="E337" s="26"/>
    </row>
    <row r="338">
      <c r="D338" s="26"/>
      <c r="E338" s="26"/>
    </row>
    <row r="339">
      <c r="D339" s="26"/>
      <c r="E339" s="26"/>
    </row>
    <row r="340">
      <c r="D340" s="26"/>
      <c r="E340" s="26"/>
    </row>
    <row r="341">
      <c r="D341" s="26"/>
      <c r="E341" s="26"/>
    </row>
    <row r="342">
      <c r="D342" s="26"/>
      <c r="E342" s="26"/>
    </row>
    <row r="343">
      <c r="D343" s="26"/>
      <c r="E343" s="26"/>
    </row>
    <row r="344">
      <c r="D344" s="26"/>
      <c r="E344" s="26"/>
    </row>
    <row r="345">
      <c r="D345" s="26"/>
      <c r="E345" s="26"/>
    </row>
    <row r="346">
      <c r="D346" s="26"/>
      <c r="E346" s="26"/>
    </row>
    <row r="347">
      <c r="D347" s="26"/>
      <c r="E347" s="26"/>
    </row>
    <row r="348">
      <c r="D348" s="26"/>
      <c r="E348" s="26"/>
    </row>
    <row r="349">
      <c r="D349" s="26"/>
      <c r="E349" s="26"/>
    </row>
    <row r="350">
      <c r="D350" s="26"/>
      <c r="E350" s="26"/>
    </row>
    <row r="351">
      <c r="D351" s="26"/>
      <c r="E351" s="26"/>
    </row>
    <row r="352">
      <c r="D352" s="26"/>
      <c r="E352" s="26"/>
    </row>
    <row r="353">
      <c r="D353" s="26"/>
      <c r="E353" s="26"/>
    </row>
    <row r="354">
      <c r="D354" s="26"/>
      <c r="E354" s="26"/>
    </row>
    <row r="355">
      <c r="D355" s="26"/>
      <c r="E355" s="26"/>
    </row>
    <row r="356">
      <c r="D356" s="26"/>
      <c r="E356" s="26"/>
    </row>
    <row r="357">
      <c r="D357" s="26"/>
      <c r="E357" s="26"/>
    </row>
    <row r="358">
      <c r="D358" s="26"/>
      <c r="E358" s="26"/>
    </row>
    <row r="359">
      <c r="D359" s="26"/>
      <c r="E359" s="26"/>
    </row>
    <row r="360">
      <c r="D360" s="26"/>
      <c r="E360" s="26"/>
    </row>
    <row r="361">
      <c r="D361" s="26"/>
      <c r="E361" s="26"/>
    </row>
    <row r="362">
      <c r="D362" s="26"/>
      <c r="E362" s="26"/>
    </row>
    <row r="363">
      <c r="D363" s="26"/>
      <c r="E363" s="26"/>
    </row>
    <row r="364">
      <c r="D364" s="26"/>
      <c r="E364" s="26"/>
    </row>
    <row r="365">
      <c r="D365" s="26"/>
      <c r="E365" s="26"/>
    </row>
    <row r="366">
      <c r="D366" s="26"/>
      <c r="E366" s="26"/>
    </row>
    <row r="367">
      <c r="D367" s="26"/>
      <c r="E367" s="26"/>
    </row>
    <row r="368">
      <c r="D368" s="26"/>
      <c r="E368" s="26"/>
    </row>
    <row r="369">
      <c r="D369" s="26"/>
      <c r="E369" s="26"/>
    </row>
    <row r="370">
      <c r="D370" s="26"/>
      <c r="E370" s="26"/>
    </row>
    <row r="371">
      <c r="D371" s="26"/>
      <c r="E371" s="26"/>
    </row>
    <row r="372">
      <c r="D372" s="26"/>
      <c r="E372" s="26"/>
    </row>
    <row r="373">
      <c r="D373" s="26"/>
      <c r="E373" s="26"/>
    </row>
    <row r="374">
      <c r="D374" s="26"/>
      <c r="E374" s="26"/>
    </row>
    <row r="375">
      <c r="D375" s="26"/>
      <c r="E375" s="26"/>
    </row>
    <row r="376">
      <c r="D376" s="26"/>
      <c r="E376" s="26"/>
    </row>
    <row r="377">
      <c r="D377" s="26"/>
      <c r="E377" s="26"/>
    </row>
    <row r="378">
      <c r="D378" s="26"/>
      <c r="E378" s="26"/>
    </row>
    <row r="379">
      <c r="D379" s="26"/>
      <c r="E379" s="26"/>
    </row>
    <row r="380">
      <c r="D380" s="26"/>
      <c r="E380" s="26"/>
    </row>
    <row r="381">
      <c r="D381" s="26"/>
      <c r="E381" s="26"/>
    </row>
    <row r="382">
      <c r="D382" s="26"/>
      <c r="E382" s="26"/>
    </row>
    <row r="383">
      <c r="D383" s="26"/>
      <c r="E383" s="26"/>
    </row>
    <row r="384">
      <c r="D384" s="26"/>
      <c r="E384" s="26"/>
    </row>
    <row r="385">
      <c r="D385" s="26"/>
      <c r="E385" s="26"/>
    </row>
    <row r="386">
      <c r="D386" s="26"/>
      <c r="E386" s="26"/>
    </row>
    <row r="387">
      <c r="D387" s="26"/>
      <c r="E387" s="26"/>
    </row>
    <row r="388">
      <c r="D388" s="26"/>
      <c r="E388" s="26"/>
    </row>
    <row r="389">
      <c r="D389" s="26"/>
      <c r="E389" s="26"/>
    </row>
    <row r="390">
      <c r="D390" s="26"/>
      <c r="E390" s="26"/>
    </row>
    <row r="391">
      <c r="D391" s="26"/>
      <c r="E391" s="26"/>
    </row>
    <row r="392">
      <c r="D392" s="26"/>
      <c r="E392" s="26"/>
    </row>
    <row r="393">
      <c r="D393" s="26"/>
      <c r="E393" s="26"/>
    </row>
    <row r="394">
      <c r="D394" s="26"/>
      <c r="E394" s="26"/>
    </row>
    <row r="395">
      <c r="D395" s="26"/>
      <c r="E395" s="26"/>
    </row>
    <row r="396">
      <c r="D396" s="26"/>
      <c r="E396" s="26"/>
    </row>
    <row r="397">
      <c r="D397" s="26"/>
      <c r="E397" s="26"/>
    </row>
    <row r="398">
      <c r="D398" s="26"/>
      <c r="E398" s="26"/>
    </row>
    <row r="399">
      <c r="D399" s="26"/>
      <c r="E399" s="26"/>
    </row>
    <row r="400">
      <c r="D400" s="26"/>
      <c r="E400" s="26"/>
    </row>
    <row r="401">
      <c r="D401" s="26"/>
      <c r="E401" s="26"/>
    </row>
    <row r="402">
      <c r="D402" s="26"/>
      <c r="E402" s="26"/>
    </row>
    <row r="403">
      <c r="D403" s="26"/>
      <c r="E403" s="26"/>
    </row>
    <row r="404">
      <c r="D404" s="26"/>
      <c r="E404" s="26"/>
    </row>
    <row r="405">
      <c r="D405" s="26"/>
      <c r="E405" s="26"/>
    </row>
    <row r="406">
      <c r="D406" s="26"/>
      <c r="E406" s="26"/>
    </row>
    <row r="407">
      <c r="D407" s="26"/>
      <c r="E407" s="26"/>
    </row>
    <row r="408">
      <c r="D408" s="26"/>
      <c r="E408" s="26"/>
    </row>
    <row r="409">
      <c r="D409" s="26"/>
      <c r="E409" s="26"/>
    </row>
    <row r="410">
      <c r="D410" s="26"/>
      <c r="E410" s="26"/>
    </row>
    <row r="411">
      <c r="D411" s="26"/>
      <c r="E411" s="26"/>
    </row>
    <row r="412">
      <c r="D412" s="26"/>
      <c r="E412" s="26"/>
    </row>
    <row r="413">
      <c r="D413" s="26"/>
      <c r="E413" s="26"/>
    </row>
    <row r="414">
      <c r="D414" s="26"/>
      <c r="E414" s="26"/>
    </row>
    <row r="415">
      <c r="D415" s="26"/>
      <c r="E415" s="26"/>
    </row>
    <row r="416">
      <c r="D416" s="26"/>
      <c r="E416" s="26"/>
    </row>
    <row r="417">
      <c r="D417" s="26"/>
      <c r="E417" s="26"/>
    </row>
    <row r="418">
      <c r="D418" s="26"/>
      <c r="E418" s="26"/>
    </row>
    <row r="419">
      <c r="D419" s="26"/>
      <c r="E419" s="26"/>
    </row>
    <row r="420">
      <c r="D420" s="26"/>
      <c r="E420" s="26"/>
    </row>
    <row r="421">
      <c r="D421" s="26"/>
      <c r="E421" s="26"/>
    </row>
    <row r="422">
      <c r="D422" s="26"/>
      <c r="E422" s="26"/>
    </row>
    <row r="423">
      <c r="D423" s="26"/>
      <c r="E423" s="26"/>
    </row>
    <row r="424">
      <c r="D424" s="26"/>
      <c r="E424" s="26"/>
    </row>
    <row r="425">
      <c r="D425" s="26"/>
      <c r="E425" s="26"/>
    </row>
    <row r="426">
      <c r="D426" s="26"/>
      <c r="E426" s="26"/>
    </row>
    <row r="427">
      <c r="D427" s="26"/>
      <c r="E427" s="26"/>
    </row>
    <row r="428">
      <c r="D428" s="26"/>
      <c r="E428" s="26"/>
    </row>
    <row r="429">
      <c r="D429" s="26"/>
      <c r="E429" s="26"/>
    </row>
    <row r="430">
      <c r="D430" s="26"/>
      <c r="E430" s="26"/>
    </row>
    <row r="431">
      <c r="D431" s="26"/>
      <c r="E431" s="26"/>
    </row>
    <row r="432">
      <c r="D432" s="26"/>
      <c r="E432" s="26"/>
    </row>
    <row r="433">
      <c r="D433" s="26"/>
      <c r="E433" s="26"/>
    </row>
    <row r="434">
      <c r="D434" s="26"/>
      <c r="E434" s="26"/>
    </row>
    <row r="435">
      <c r="D435" s="26"/>
      <c r="E435" s="26"/>
    </row>
    <row r="436">
      <c r="D436" s="26"/>
      <c r="E436" s="26"/>
    </row>
    <row r="437">
      <c r="D437" s="26"/>
      <c r="E437" s="26"/>
    </row>
    <row r="438">
      <c r="D438" s="26"/>
      <c r="E438" s="26"/>
    </row>
    <row r="439">
      <c r="D439" s="26"/>
      <c r="E439" s="26"/>
    </row>
    <row r="440">
      <c r="D440" s="26"/>
      <c r="E440" s="26"/>
    </row>
    <row r="441">
      <c r="D441" s="26"/>
      <c r="E441" s="26"/>
    </row>
    <row r="442">
      <c r="D442" s="26"/>
      <c r="E442" s="26"/>
    </row>
    <row r="443">
      <c r="D443" s="26"/>
      <c r="E443" s="26"/>
    </row>
    <row r="444">
      <c r="D444" s="26"/>
      <c r="E444" s="26"/>
    </row>
    <row r="445">
      <c r="D445" s="26"/>
      <c r="E445" s="26"/>
    </row>
    <row r="446">
      <c r="D446" s="26"/>
      <c r="E446" s="26"/>
    </row>
    <row r="447">
      <c r="D447" s="26"/>
      <c r="E447" s="26"/>
    </row>
    <row r="448">
      <c r="D448" s="26"/>
      <c r="E448" s="26"/>
    </row>
    <row r="449">
      <c r="D449" s="26"/>
      <c r="E449" s="26"/>
    </row>
    <row r="450">
      <c r="D450" s="26"/>
      <c r="E450" s="26"/>
    </row>
    <row r="451">
      <c r="D451" s="26"/>
      <c r="E451" s="26"/>
    </row>
    <row r="452">
      <c r="D452" s="26"/>
      <c r="E452" s="26"/>
    </row>
    <row r="453">
      <c r="D453" s="26"/>
      <c r="E453" s="26"/>
    </row>
    <row r="454">
      <c r="D454" s="26"/>
      <c r="E454" s="26"/>
    </row>
    <row r="455">
      <c r="D455" s="26"/>
      <c r="E455" s="26"/>
    </row>
    <row r="456">
      <c r="D456" s="26"/>
      <c r="E456" s="26"/>
    </row>
    <row r="457">
      <c r="D457" s="26"/>
      <c r="E457" s="26"/>
    </row>
    <row r="458">
      <c r="D458" s="26"/>
      <c r="E458" s="26"/>
    </row>
    <row r="459">
      <c r="D459" s="26"/>
      <c r="E459" s="26"/>
    </row>
    <row r="460">
      <c r="D460" s="26"/>
      <c r="E460" s="26"/>
    </row>
    <row r="461">
      <c r="D461" s="26"/>
      <c r="E461" s="26"/>
    </row>
    <row r="462">
      <c r="D462" s="26"/>
      <c r="E462" s="26"/>
    </row>
    <row r="463">
      <c r="D463" s="26"/>
      <c r="E463" s="26"/>
    </row>
    <row r="464">
      <c r="D464" s="26"/>
      <c r="E464" s="26"/>
    </row>
    <row r="465">
      <c r="D465" s="26"/>
      <c r="E465" s="26"/>
    </row>
    <row r="466">
      <c r="D466" s="26"/>
      <c r="E466" s="26"/>
    </row>
    <row r="467">
      <c r="D467" s="26"/>
      <c r="E467" s="26"/>
    </row>
    <row r="468">
      <c r="D468" s="26"/>
      <c r="E468" s="26"/>
    </row>
    <row r="469">
      <c r="D469" s="26"/>
      <c r="E469" s="26"/>
    </row>
    <row r="470">
      <c r="D470" s="26"/>
      <c r="E470" s="26"/>
    </row>
    <row r="471">
      <c r="D471" s="26"/>
      <c r="E471" s="26"/>
    </row>
    <row r="472">
      <c r="D472" s="26"/>
      <c r="E472" s="26"/>
    </row>
    <row r="473">
      <c r="D473" s="26"/>
      <c r="E473" s="26"/>
    </row>
    <row r="474">
      <c r="D474" s="26"/>
      <c r="E474" s="26"/>
    </row>
    <row r="475">
      <c r="D475" s="26"/>
      <c r="E475" s="26"/>
    </row>
    <row r="476">
      <c r="D476" s="26"/>
      <c r="E476" s="26"/>
    </row>
    <row r="477">
      <c r="D477" s="26"/>
      <c r="E477" s="26"/>
    </row>
    <row r="478">
      <c r="D478" s="26"/>
      <c r="E478" s="26"/>
    </row>
    <row r="479">
      <c r="D479" s="26"/>
      <c r="E479" s="26"/>
    </row>
    <row r="480">
      <c r="D480" s="26"/>
      <c r="E480" s="26"/>
    </row>
    <row r="481">
      <c r="D481" s="26"/>
      <c r="E481" s="26"/>
    </row>
    <row r="482">
      <c r="D482" s="26"/>
      <c r="E482" s="26"/>
    </row>
    <row r="483">
      <c r="D483" s="26"/>
      <c r="E483" s="26"/>
    </row>
    <row r="484">
      <c r="D484" s="26"/>
      <c r="E484" s="26"/>
    </row>
    <row r="485">
      <c r="D485" s="26"/>
      <c r="E485" s="26"/>
    </row>
    <row r="486">
      <c r="D486" s="26"/>
      <c r="E486" s="26"/>
    </row>
    <row r="487">
      <c r="D487" s="26"/>
      <c r="E487" s="26"/>
    </row>
    <row r="488">
      <c r="D488" s="26"/>
      <c r="E488" s="26"/>
    </row>
    <row r="489">
      <c r="D489" s="26"/>
      <c r="E489" s="26"/>
    </row>
    <row r="490">
      <c r="D490" s="26"/>
      <c r="E490" s="26"/>
    </row>
    <row r="491">
      <c r="D491" s="26"/>
      <c r="E491" s="26"/>
    </row>
    <row r="492">
      <c r="D492" s="26"/>
      <c r="E492" s="26"/>
    </row>
    <row r="493">
      <c r="D493" s="26"/>
      <c r="E493" s="26"/>
    </row>
    <row r="494">
      <c r="D494" s="26"/>
      <c r="E494" s="26"/>
    </row>
    <row r="495">
      <c r="D495" s="26"/>
      <c r="E495" s="26"/>
    </row>
    <row r="496">
      <c r="D496" s="26"/>
      <c r="E496" s="26"/>
    </row>
    <row r="497">
      <c r="D497" s="26"/>
      <c r="E497" s="26"/>
    </row>
    <row r="498">
      <c r="D498" s="26"/>
      <c r="E498" s="26"/>
    </row>
    <row r="499">
      <c r="D499" s="26"/>
      <c r="E499" s="26"/>
    </row>
    <row r="500">
      <c r="D500" s="26"/>
      <c r="E500" s="26"/>
    </row>
    <row r="501">
      <c r="D501" s="26"/>
      <c r="E501" s="26"/>
    </row>
    <row r="502">
      <c r="D502" s="26"/>
      <c r="E502" s="26"/>
    </row>
    <row r="503">
      <c r="D503" s="26"/>
      <c r="E503" s="26"/>
    </row>
    <row r="504">
      <c r="D504" s="26"/>
      <c r="E504" s="26"/>
    </row>
    <row r="505">
      <c r="D505" s="26"/>
      <c r="E505" s="26"/>
    </row>
    <row r="506">
      <c r="D506" s="26"/>
      <c r="E506" s="26"/>
    </row>
    <row r="507">
      <c r="D507" s="26"/>
      <c r="E507" s="26"/>
    </row>
    <row r="508">
      <c r="D508" s="26"/>
      <c r="E508" s="26"/>
    </row>
    <row r="509">
      <c r="D509" s="26"/>
      <c r="E509" s="26"/>
    </row>
    <row r="510">
      <c r="D510" s="26"/>
      <c r="E510" s="26"/>
    </row>
    <row r="511">
      <c r="D511" s="26"/>
      <c r="E511" s="26"/>
    </row>
    <row r="512">
      <c r="D512" s="26"/>
      <c r="E512" s="26"/>
    </row>
    <row r="513">
      <c r="D513" s="26"/>
      <c r="E513" s="26"/>
    </row>
    <row r="514">
      <c r="D514" s="26"/>
      <c r="E514" s="26"/>
    </row>
    <row r="515">
      <c r="D515" s="26"/>
      <c r="E515" s="26"/>
    </row>
    <row r="516">
      <c r="D516" s="26"/>
      <c r="E516" s="26"/>
    </row>
    <row r="517">
      <c r="D517" s="26"/>
      <c r="E517" s="26"/>
    </row>
    <row r="518">
      <c r="D518" s="26"/>
      <c r="E518" s="26"/>
    </row>
    <row r="519">
      <c r="D519" s="26"/>
      <c r="E519" s="26"/>
    </row>
    <row r="520">
      <c r="D520" s="26"/>
      <c r="E520" s="26"/>
    </row>
    <row r="521">
      <c r="D521" s="26"/>
      <c r="E521" s="26"/>
    </row>
    <row r="522">
      <c r="D522" s="26"/>
      <c r="E522" s="26"/>
    </row>
    <row r="523">
      <c r="D523" s="26"/>
      <c r="E523" s="26"/>
    </row>
    <row r="524">
      <c r="D524" s="26"/>
      <c r="E524" s="26"/>
    </row>
    <row r="525">
      <c r="D525" s="26"/>
      <c r="E525" s="26"/>
    </row>
    <row r="526">
      <c r="D526" s="26"/>
      <c r="E526" s="26"/>
    </row>
    <row r="527">
      <c r="D527" s="26"/>
      <c r="E527" s="26"/>
    </row>
    <row r="528">
      <c r="D528" s="26"/>
      <c r="E528" s="26"/>
    </row>
    <row r="529">
      <c r="D529" s="26"/>
      <c r="E529" s="26"/>
    </row>
    <row r="530">
      <c r="D530" s="26"/>
      <c r="E530" s="26"/>
    </row>
    <row r="531">
      <c r="D531" s="26"/>
      <c r="E531" s="26"/>
    </row>
    <row r="532">
      <c r="D532" s="26"/>
      <c r="E532" s="26"/>
    </row>
    <row r="533">
      <c r="D533" s="26"/>
      <c r="E533" s="26"/>
    </row>
    <row r="534">
      <c r="D534" s="26"/>
      <c r="E534" s="26"/>
    </row>
    <row r="535">
      <c r="D535" s="26"/>
      <c r="E535" s="26"/>
    </row>
    <row r="536">
      <c r="D536" s="26"/>
      <c r="E536" s="26"/>
    </row>
    <row r="537">
      <c r="D537" s="26"/>
      <c r="E537" s="26"/>
    </row>
    <row r="538">
      <c r="D538" s="26"/>
      <c r="E538" s="26"/>
    </row>
    <row r="539">
      <c r="D539" s="26"/>
      <c r="E539" s="26"/>
    </row>
    <row r="540">
      <c r="D540" s="26"/>
      <c r="E540" s="26"/>
    </row>
    <row r="541">
      <c r="D541" s="26"/>
      <c r="E541" s="26"/>
    </row>
    <row r="542">
      <c r="D542" s="26"/>
      <c r="E542" s="26"/>
    </row>
    <row r="543">
      <c r="D543" s="26"/>
      <c r="E543" s="26"/>
    </row>
    <row r="544">
      <c r="D544" s="26"/>
      <c r="E544" s="26"/>
    </row>
    <row r="545">
      <c r="D545" s="26"/>
      <c r="E545" s="26"/>
    </row>
    <row r="546">
      <c r="D546" s="26"/>
      <c r="E546" s="26"/>
    </row>
    <row r="547">
      <c r="D547" s="26"/>
      <c r="E547" s="26"/>
    </row>
    <row r="548">
      <c r="D548" s="26"/>
      <c r="E548" s="26"/>
    </row>
    <row r="549">
      <c r="D549" s="26"/>
      <c r="E549" s="26"/>
    </row>
    <row r="550">
      <c r="D550" s="26"/>
      <c r="E550" s="26"/>
    </row>
    <row r="551">
      <c r="D551" s="26"/>
      <c r="E551" s="26"/>
    </row>
    <row r="552">
      <c r="D552" s="26"/>
      <c r="E552" s="26"/>
    </row>
    <row r="553">
      <c r="D553" s="26"/>
      <c r="E553" s="26"/>
    </row>
    <row r="554">
      <c r="D554" s="26"/>
      <c r="E554" s="26"/>
    </row>
    <row r="555">
      <c r="D555" s="26"/>
      <c r="E555" s="26"/>
    </row>
    <row r="556">
      <c r="D556" s="26"/>
      <c r="E556" s="26"/>
    </row>
    <row r="557">
      <c r="D557" s="26"/>
      <c r="E557" s="26"/>
    </row>
    <row r="558">
      <c r="D558" s="26"/>
      <c r="E558" s="26"/>
    </row>
    <row r="559">
      <c r="D559" s="26"/>
      <c r="E559" s="26"/>
    </row>
    <row r="560">
      <c r="D560" s="26"/>
      <c r="E560" s="26"/>
    </row>
    <row r="561">
      <c r="D561" s="26"/>
      <c r="E561" s="26"/>
    </row>
    <row r="562">
      <c r="D562" s="26"/>
      <c r="E562" s="26"/>
    </row>
    <row r="563">
      <c r="D563" s="26"/>
      <c r="E563" s="26"/>
    </row>
    <row r="564">
      <c r="D564" s="26"/>
      <c r="E564" s="26"/>
    </row>
    <row r="565">
      <c r="D565" s="26"/>
      <c r="E565" s="26"/>
    </row>
    <row r="566">
      <c r="D566" s="26"/>
      <c r="E566" s="26"/>
    </row>
    <row r="567">
      <c r="D567" s="26"/>
      <c r="E567" s="26"/>
    </row>
    <row r="568">
      <c r="D568" s="26"/>
      <c r="E568" s="26"/>
    </row>
    <row r="569">
      <c r="D569" s="26"/>
      <c r="E569" s="26"/>
    </row>
    <row r="570">
      <c r="D570" s="26"/>
      <c r="E570" s="26"/>
    </row>
    <row r="571">
      <c r="D571" s="26"/>
      <c r="E571" s="26"/>
    </row>
    <row r="572">
      <c r="D572" s="26"/>
      <c r="E572" s="26"/>
    </row>
    <row r="573">
      <c r="D573" s="26"/>
      <c r="E573" s="26"/>
    </row>
    <row r="574">
      <c r="D574" s="26"/>
      <c r="E574" s="26"/>
    </row>
    <row r="575">
      <c r="D575" s="26"/>
      <c r="E575" s="26"/>
    </row>
    <row r="576">
      <c r="D576" s="26"/>
      <c r="E576" s="26"/>
    </row>
    <row r="577">
      <c r="D577" s="26"/>
      <c r="E577" s="26"/>
    </row>
    <row r="578">
      <c r="D578" s="26"/>
      <c r="E578" s="26"/>
    </row>
    <row r="579">
      <c r="D579" s="26"/>
      <c r="E579" s="26"/>
    </row>
    <row r="580">
      <c r="D580" s="26"/>
      <c r="E580" s="26"/>
    </row>
    <row r="581">
      <c r="D581" s="26"/>
      <c r="E581" s="26"/>
    </row>
    <row r="582">
      <c r="D582" s="26"/>
      <c r="E582" s="26"/>
    </row>
    <row r="583">
      <c r="D583" s="26"/>
      <c r="E583" s="26"/>
    </row>
    <row r="584">
      <c r="D584" s="26"/>
      <c r="E584" s="26"/>
    </row>
    <row r="585">
      <c r="D585" s="26"/>
      <c r="E585" s="26"/>
    </row>
    <row r="586">
      <c r="D586" s="26"/>
      <c r="E586" s="26"/>
    </row>
    <row r="587">
      <c r="D587" s="26"/>
      <c r="E587" s="26"/>
    </row>
    <row r="588">
      <c r="D588" s="26"/>
      <c r="E588" s="26"/>
    </row>
    <row r="589">
      <c r="D589" s="26"/>
      <c r="E589" s="26"/>
    </row>
    <row r="590">
      <c r="D590" s="26"/>
      <c r="E590" s="26"/>
    </row>
    <row r="591">
      <c r="D591" s="26"/>
      <c r="E591" s="26"/>
    </row>
    <row r="592">
      <c r="D592" s="26"/>
      <c r="E592" s="26"/>
    </row>
    <row r="593">
      <c r="D593" s="26"/>
      <c r="E593" s="26"/>
    </row>
    <row r="594">
      <c r="D594" s="26"/>
      <c r="E594" s="26"/>
    </row>
    <row r="595">
      <c r="D595" s="26"/>
      <c r="E595" s="26"/>
    </row>
    <row r="596">
      <c r="D596" s="26"/>
      <c r="E596" s="26"/>
    </row>
    <row r="597">
      <c r="D597" s="26"/>
      <c r="E597" s="26"/>
    </row>
    <row r="598">
      <c r="D598" s="26"/>
      <c r="E598" s="26"/>
    </row>
    <row r="599">
      <c r="D599" s="26"/>
      <c r="E599" s="26"/>
    </row>
    <row r="600">
      <c r="D600" s="26"/>
      <c r="E600" s="26"/>
    </row>
    <row r="601">
      <c r="D601" s="26"/>
      <c r="E601" s="26"/>
    </row>
    <row r="602">
      <c r="D602" s="26"/>
      <c r="E602" s="26"/>
    </row>
    <row r="603">
      <c r="D603" s="26"/>
      <c r="E603" s="26"/>
    </row>
    <row r="604">
      <c r="D604" s="26"/>
      <c r="E604" s="26"/>
    </row>
    <row r="605">
      <c r="D605" s="26"/>
      <c r="E605" s="26"/>
    </row>
    <row r="606">
      <c r="D606" s="26"/>
      <c r="E606" s="26"/>
    </row>
    <row r="607">
      <c r="D607" s="26"/>
      <c r="E607" s="26"/>
    </row>
    <row r="608">
      <c r="D608" s="26"/>
      <c r="E608" s="26"/>
    </row>
    <row r="609">
      <c r="D609" s="26"/>
      <c r="E609" s="26"/>
    </row>
    <row r="610">
      <c r="D610" s="26"/>
      <c r="E610" s="26"/>
    </row>
    <row r="611">
      <c r="D611" s="26"/>
      <c r="E611" s="26"/>
    </row>
    <row r="612">
      <c r="D612" s="26"/>
      <c r="E612" s="26"/>
    </row>
    <row r="613">
      <c r="D613" s="26"/>
      <c r="E613" s="26"/>
    </row>
    <row r="614">
      <c r="D614" s="26"/>
      <c r="E614" s="26"/>
    </row>
    <row r="615">
      <c r="D615" s="26"/>
      <c r="E615" s="26"/>
    </row>
    <row r="616">
      <c r="D616" s="26"/>
      <c r="E616" s="26"/>
    </row>
    <row r="617">
      <c r="D617" s="26"/>
      <c r="E617" s="26"/>
    </row>
    <row r="618">
      <c r="D618" s="26"/>
      <c r="E618" s="26"/>
    </row>
    <row r="619">
      <c r="D619" s="26"/>
      <c r="E619" s="26"/>
    </row>
    <row r="620">
      <c r="D620" s="26"/>
      <c r="E620" s="26"/>
    </row>
    <row r="621">
      <c r="D621" s="26"/>
      <c r="E621" s="26"/>
    </row>
    <row r="622">
      <c r="D622" s="26"/>
      <c r="E622" s="26"/>
    </row>
    <row r="623">
      <c r="D623" s="26"/>
      <c r="E623" s="26"/>
    </row>
    <row r="624">
      <c r="D624" s="26"/>
      <c r="E624" s="26"/>
    </row>
    <row r="625">
      <c r="D625" s="26"/>
      <c r="E625" s="26"/>
    </row>
    <row r="626">
      <c r="D626" s="26"/>
      <c r="E626" s="26"/>
    </row>
    <row r="627">
      <c r="D627" s="26"/>
      <c r="E627" s="26"/>
    </row>
    <row r="628">
      <c r="D628" s="26"/>
      <c r="E628" s="26"/>
    </row>
    <row r="629">
      <c r="D629" s="26"/>
      <c r="E629" s="26"/>
    </row>
    <row r="630">
      <c r="D630" s="26"/>
      <c r="E630" s="26"/>
    </row>
    <row r="631">
      <c r="D631" s="26"/>
      <c r="E631" s="26"/>
    </row>
    <row r="632">
      <c r="D632" s="26"/>
      <c r="E632" s="26"/>
    </row>
    <row r="633">
      <c r="D633" s="26"/>
      <c r="E633" s="26"/>
    </row>
    <row r="634">
      <c r="D634" s="26"/>
      <c r="E634" s="26"/>
    </row>
    <row r="635">
      <c r="D635" s="26"/>
      <c r="E635" s="26"/>
    </row>
    <row r="636">
      <c r="D636" s="26"/>
      <c r="E636" s="26"/>
    </row>
    <row r="637">
      <c r="D637" s="26"/>
      <c r="E637" s="26"/>
    </row>
    <row r="638">
      <c r="D638" s="26"/>
      <c r="E638" s="26"/>
    </row>
    <row r="639">
      <c r="D639" s="26"/>
      <c r="E639" s="26"/>
    </row>
    <row r="640">
      <c r="D640" s="26"/>
      <c r="E640" s="26"/>
    </row>
    <row r="641">
      <c r="D641" s="26"/>
      <c r="E641" s="26"/>
    </row>
    <row r="642">
      <c r="D642" s="26"/>
      <c r="E642" s="26"/>
    </row>
    <row r="643">
      <c r="D643" s="26"/>
      <c r="E643" s="26"/>
    </row>
    <row r="644">
      <c r="D644" s="26"/>
      <c r="E644" s="26"/>
    </row>
    <row r="645">
      <c r="D645" s="26"/>
      <c r="E645" s="26"/>
    </row>
    <row r="646">
      <c r="D646" s="26"/>
      <c r="E646" s="26"/>
    </row>
    <row r="647">
      <c r="D647" s="26"/>
      <c r="E647" s="26"/>
    </row>
    <row r="648">
      <c r="D648" s="26"/>
      <c r="E648" s="26"/>
    </row>
    <row r="649">
      <c r="D649" s="26"/>
      <c r="E649" s="26"/>
    </row>
    <row r="650">
      <c r="D650" s="26"/>
      <c r="E650" s="26"/>
    </row>
    <row r="651">
      <c r="D651" s="26"/>
      <c r="E651" s="26"/>
    </row>
    <row r="652">
      <c r="D652" s="26"/>
      <c r="E652" s="26"/>
    </row>
    <row r="653">
      <c r="D653" s="26"/>
      <c r="E653" s="26"/>
    </row>
    <row r="654">
      <c r="D654" s="26"/>
      <c r="E654" s="26"/>
    </row>
    <row r="655">
      <c r="D655" s="26"/>
      <c r="E655" s="26"/>
    </row>
    <row r="656">
      <c r="D656" s="26"/>
      <c r="E656" s="26"/>
    </row>
    <row r="657">
      <c r="D657" s="26"/>
      <c r="E657" s="26"/>
    </row>
    <row r="658">
      <c r="D658" s="26"/>
      <c r="E658" s="26"/>
    </row>
    <row r="659">
      <c r="D659" s="26"/>
      <c r="E659" s="26"/>
    </row>
    <row r="660">
      <c r="D660" s="26"/>
      <c r="E660" s="26"/>
    </row>
    <row r="661">
      <c r="D661" s="26"/>
      <c r="E661" s="26"/>
    </row>
    <row r="662">
      <c r="D662" s="26"/>
      <c r="E662" s="26"/>
    </row>
    <row r="663">
      <c r="D663" s="26"/>
      <c r="E663" s="26"/>
    </row>
    <row r="664">
      <c r="D664" s="26"/>
      <c r="E664" s="26"/>
    </row>
    <row r="665">
      <c r="D665" s="26"/>
      <c r="E665" s="26"/>
    </row>
    <row r="666">
      <c r="D666" s="26"/>
      <c r="E666" s="26"/>
    </row>
    <row r="667">
      <c r="D667" s="26"/>
      <c r="E667" s="26"/>
    </row>
    <row r="668">
      <c r="D668" s="26"/>
      <c r="E668" s="26"/>
    </row>
    <row r="669">
      <c r="D669" s="26"/>
      <c r="E669" s="26"/>
    </row>
    <row r="670">
      <c r="D670" s="26"/>
      <c r="E670" s="26"/>
    </row>
    <row r="671">
      <c r="D671" s="26"/>
      <c r="E671" s="26"/>
    </row>
    <row r="672">
      <c r="D672" s="26"/>
      <c r="E672" s="26"/>
    </row>
    <row r="673">
      <c r="D673" s="26"/>
      <c r="E673" s="26"/>
    </row>
    <row r="674">
      <c r="D674" s="26"/>
      <c r="E674" s="26"/>
    </row>
    <row r="675">
      <c r="D675" s="26"/>
      <c r="E675" s="26"/>
    </row>
    <row r="676">
      <c r="D676" s="26"/>
      <c r="E676" s="26"/>
    </row>
    <row r="677">
      <c r="D677" s="26"/>
      <c r="E677" s="26"/>
    </row>
    <row r="678">
      <c r="D678" s="26"/>
      <c r="E678" s="26"/>
    </row>
    <row r="679">
      <c r="D679" s="26"/>
      <c r="E679" s="26"/>
    </row>
    <row r="680">
      <c r="D680" s="26"/>
      <c r="E680" s="26"/>
    </row>
    <row r="681">
      <c r="D681" s="26"/>
      <c r="E681" s="26"/>
    </row>
    <row r="682">
      <c r="D682" s="26"/>
      <c r="E682" s="26"/>
    </row>
    <row r="683">
      <c r="D683" s="26"/>
      <c r="E683" s="26"/>
    </row>
    <row r="684">
      <c r="D684" s="26"/>
      <c r="E684" s="26"/>
    </row>
    <row r="685">
      <c r="D685" s="26"/>
      <c r="E685" s="26"/>
    </row>
    <row r="686">
      <c r="D686" s="26"/>
      <c r="E686" s="26"/>
    </row>
    <row r="687">
      <c r="D687" s="26"/>
      <c r="E687" s="26"/>
    </row>
    <row r="688">
      <c r="D688" s="26"/>
      <c r="E688" s="26"/>
    </row>
    <row r="689">
      <c r="D689" s="26"/>
      <c r="E689" s="26"/>
    </row>
    <row r="690">
      <c r="D690" s="26"/>
      <c r="E690" s="26"/>
    </row>
    <row r="691">
      <c r="D691" s="26"/>
      <c r="E691" s="26"/>
    </row>
    <row r="692">
      <c r="D692" s="26"/>
      <c r="E692" s="26"/>
    </row>
    <row r="693">
      <c r="D693" s="26"/>
      <c r="E693" s="26"/>
    </row>
    <row r="694">
      <c r="D694" s="26"/>
      <c r="E694" s="26"/>
    </row>
    <row r="695">
      <c r="D695" s="26"/>
      <c r="E695" s="26"/>
    </row>
    <row r="696">
      <c r="D696" s="26"/>
      <c r="E696" s="26"/>
    </row>
    <row r="697">
      <c r="D697" s="26"/>
      <c r="E697" s="26"/>
    </row>
    <row r="698">
      <c r="D698" s="26"/>
      <c r="E698" s="26"/>
    </row>
    <row r="699">
      <c r="D699" s="26"/>
      <c r="E699" s="26"/>
    </row>
    <row r="700">
      <c r="D700" s="26"/>
      <c r="E700" s="26"/>
    </row>
    <row r="701">
      <c r="D701" s="26"/>
      <c r="E701" s="26"/>
    </row>
    <row r="702">
      <c r="D702" s="26"/>
      <c r="E702" s="26"/>
    </row>
    <row r="703">
      <c r="D703" s="26"/>
      <c r="E703" s="26"/>
    </row>
    <row r="704">
      <c r="D704" s="26"/>
      <c r="E704" s="26"/>
    </row>
    <row r="705">
      <c r="D705" s="26"/>
      <c r="E705" s="26"/>
    </row>
    <row r="706">
      <c r="D706" s="26"/>
      <c r="E706" s="26"/>
    </row>
    <row r="707">
      <c r="D707" s="26"/>
      <c r="E707" s="26"/>
    </row>
    <row r="708">
      <c r="D708" s="26"/>
      <c r="E708" s="26"/>
    </row>
    <row r="709">
      <c r="D709" s="26"/>
      <c r="E709" s="26"/>
    </row>
    <row r="710">
      <c r="D710" s="26"/>
      <c r="E710" s="26"/>
    </row>
    <row r="711">
      <c r="D711" s="26"/>
      <c r="E711" s="26"/>
    </row>
    <row r="712">
      <c r="D712" s="26"/>
      <c r="E712" s="26"/>
    </row>
    <row r="713">
      <c r="D713" s="26"/>
      <c r="E713" s="26"/>
    </row>
    <row r="714">
      <c r="D714" s="26"/>
      <c r="E714" s="26"/>
    </row>
    <row r="715">
      <c r="D715" s="26"/>
      <c r="E715" s="26"/>
    </row>
    <row r="716">
      <c r="D716" s="26"/>
      <c r="E716" s="26"/>
    </row>
    <row r="717">
      <c r="D717" s="26"/>
      <c r="E717" s="26"/>
    </row>
    <row r="718">
      <c r="D718" s="26"/>
      <c r="E718" s="26"/>
    </row>
    <row r="719">
      <c r="D719" s="26"/>
      <c r="E719" s="26"/>
    </row>
    <row r="720">
      <c r="D720" s="26"/>
      <c r="E720" s="26"/>
    </row>
    <row r="721">
      <c r="D721" s="26"/>
      <c r="E721" s="26"/>
    </row>
    <row r="722">
      <c r="D722" s="26"/>
      <c r="E722" s="26"/>
    </row>
    <row r="723">
      <c r="D723" s="26"/>
      <c r="E723" s="26"/>
    </row>
    <row r="724">
      <c r="D724" s="26"/>
      <c r="E724" s="26"/>
    </row>
    <row r="725">
      <c r="D725" s="26"/>
      <c r="E725" s="26"/>
    </row>
    <row r="726">
      <c r="D726" s="26"/>
      <c r="E726" s="26"/>
    </row>
    <row r="727">
      <c r="D727" s="26"/>
      <c r="E727" s="26"/>
    </row>
    <row r="728">
      <c r="D728" s="26"/>
      <c r="E728" s="26"/>
    </row>
    <row r="729">
      <c r="D729" s="26"/>
      <c r="E729" s="26"/>
    </row>
    <row r="730">
      <c r="D730" s="26"/>
      <c r="E730" s="26"/>
    </row>
    <row r="731">
      <c r="D731" s="26"/>
      <c r="E731" s="26"/>
    </row>
    <row r="732">
      <c r="D732" s="26"/>
      <c r="E732" s="26"/>
    </row>
    <row r="733">
      <c r="D733" s="26"/>
      <c r="E733" s="26"/>
    </row>
    <row r="734">
      <c r="D734" s="26"/>
      <c r="E734" s="26"/>
    </row>
    <row r="735">
      <c r="D735" s="26"/>
      <c r="E735" s="26"/>
    </row>
    <row r="736">
      <c r="D736" s="26"/>
      <c r="E736" s="26"/>
    </row>
    <row r="737">
      <c r="D737" s="26"/>
      <c r="E737" s="26"/>
    </row>
    <row r="738">
      <c r="D738" s="26"/>
      <c r="E738" s="26"/>
    </row>
    <row r="739">
      <c r="D739" s="26"/>
      <c r="E739" s="26"/>
    </row>
    <row r="740">
      <c r="D740" s="26"/>
      <c r="E740" s="26"/>
    </row>
    <row r="741">
      <c r="D741" s="26"/>
      <c r="E741" s="26"/>
    </row>
    <row r="742">
      <c r="D742" s="26"/>
      <c r="E742" s="26"/>
    </row>
    <row r="743">
      <c r="D743" s="26"/>
      <c r="E743" s="26"/>
    </row>
    <row r="744">
      <c r="D744" s="26"/>
      <c r="E744" s="26"/>
    </row>
    <row r="745">
      <c r="D745" s="26"/>
      <c r="E745" s="26"/>
    </row>
    <row r="746">
      <c r="D746" s="26"/>
      <c r="E746" s="26"/>
    </row>
    <row r="747">
      <c r="D747" s="26"/>
      <c r="E747" s="26"/>
    </row>
    <row r="748">
      <c r="D748" s="26"/>
      <c r="E748" s="26"/>
    </row>
    <row r="749">
      <c r="D749" s="26"/>
      <c r="E749" s="26"/>
    </row>
    <row r="750">
      <c r="D750" s="26"/>
      <c r="E750" s="26"/>
    </row>
    <row r="751">
      <c r="D751" s="26"/>
      <c r="E751" s="26"/>
    </row>
    <row r="752">
      <c r="D752" s="26"/>
      <c r="E752" s="26"/>
    </row>
    <row r="753">
      <c r="D753" s="26"/>
      <c r="E753" s="26"/>
    </row>
    <row r="754">
      <c r="D754" s="26"/>
      <c r="E754" s="26"/>
    </row>
    <row r="755">
      <c r="D755" s="26"/>
      <c r="E755" s="26"/>
    </row>
    <row r="756">
      <c r="D756" s="26"/>
      <c r="E756" s="26"/>
    </row>
    <row r="757">
      <c r="D757" s="26"/>
      <c r="E757" s="26"/>
    </row>
    <row r="758">
      <c r="D758" s="26"/>
      <c r="E758" s="26"/>
    </row>
    <row r="759">
      <c r="D759" s="26"/>
      <c r="E759" s="26"/>
    </row>
    <row r="760">
      <c r="D760" s="26"/>
      <c r="E760" s="26"/>
    </row>
    <row r="761">
      <c r="D761" s="26"/>
      <c r="E761" s="26"/>
    </row>
    <row r="762">
      <c r="D762" s="26"/>
      <c r="E762" s="26"/>
    </row>
    <row r="763">
      <c r="D763" s="26"/>
      <c r="E763" s="26"/>
    </row>
    <row r="764">
      <c r="D764" s="26"/>
      <c r="E764" s="26"/>
    </row>
    <row r="765">
      <c r="D765" s="26"/>
      <c r="E765" s="26"/>
    </row>
    <row r="766">
      <c r="D766" s="26"/>
      <c r="E766" s="26"/>
    </row>
    <row r="767">
      <c r="D767" s="26"/>
      <c r="E767" s="26"/>
    </row>
    <row r="768">
      <c r="D768" s="26"/>
      <c r="E768" s="26"/>
    </row>
    <row r="769">
      <c r="D769" s="26"/>
      <c r="E769" s="26"/>
    </row>
    <row r="770">
      <c r="D770" s="26"/>
      <c r="E770" s="26"/>
    </row>
    <row r="771">
      <c r="D771" s="26"/>
      <c r="E771" s="26"/>
    </row>
    <row r="772">
      <c r="D772" s="26"/>
      <c r="E772" s="26"/>
    </row>
    <row r="773">
      <c r="D773" s="26"/>
      <c r="E773" s="26"/>
    </row>
    <row r="774">
      <c r="D774" s="26"/>
      <c r="E774" s="26"/>
    </row>
    <row r="775">
      <c r="D775" s="26"/>
      <c r="E775" s="26"/>
    </row>
    <row r="776">
      <c r="D776" s="26"/>
      <c r="E776" s="26"/>
    </row>
    <row r="777">
      <c r="D777" s="26"/>
      <c r="E777" s="26"/>
    </row>
    <row r="778">
      <c r="D778" s="26"/>
      <c r="E778" s="26"/>
    </row>
    <row r="779">
      <c r="D779" s="26"/>
      <c r="E779" s="26"/>
    </row>
    <row r="780">
      <c r="D780" s="26"/>
      <c r="E780" s="26"/>
    </row>
    <row r="781">
      <c r="D781" s="26"/>
      <c r="E781" s="26"/>
    </row>
    <row r="782">
      <c r="D782" s="26"/>
      <c r="E782" s="26"/>
    </row>
    <row r="783">
      <c r="D783" s="26"/>
      <c r="E783" s="26"/>
    </row>
    <row r="784">
      <c r="D784" s="26"/>
      <c r="E784" s="26"/>
    </row>
    <row r="785">
      <c r="D785" s="26"/>
      <c r="E785" s="26"/>
    </row>
    <row r="786">
      <c r="D786" s="26"/>
      <c r="E786" s="26"/>
    </row>
    <row r="787">
      <c r="D787" s="26"/>
      <c r="E787" s="26"/>
    </row>
    <row r="788">
      <c r="D788" s="26"/>
      <c r="E788" s="26"/>
    </row>
    <row r="789">
      <c r="D789" s="26"/>
      <c r="E789" s="26"/>
    </row>
    <row r="790">
      <c r="D790" s="26"/>
      <c r="E790" s="26"/>
    </row>
    <row r="791">
      <c r="D791" s="26"/>
      <c r="E791" s="26"/>
    </row>
    <row r="792">
      <c r="D792" s="26"/>
      <c r="E792" s="26"/>
    </row>
    <row r="793">
      <c r="D793" s="26"/>
      <c r="E793" s="26"/>
    </row>
    <row r="794">
      <c r="D794" s="26"/>
      <c r="E794" s="26"/>
    </row>
    <row r="795">
      <c r="D795" s="26"/>
      <c r="E795" s="26"/>
    </row>
    <row r="796">
      <c r="D796" s="26"/>
      <c r="E796" s="26"/>
    </row>
    <row r="797">
      <c r="D797" s="26"/>
      <c r="E797" s="26"/>
    </row>
    <row r="798">
      <c r="D798" s="26"/>
      <c r="E798" s="26"/>
    </row>
    <row r="799">
      <c r="D799" s="26"/>
      <c r="E799" s="26"/>
    </row>
    <row r="800">
      <c r="D800" s="26"/>
      <c r="E800" s="26"/>
    </row>
    <row r="801">
      <c r="D801" s="26"/>
      <c r="E801" s="26"/>
    </row>
    <row r="802">
      <c r="D802" s="26"/>
      <c r="E802" s="26"/>
    </row>
    <row r="803">
      <c r="D803" s="26"/>
      <c r="E803" s="26"/>
    </row>
    <row r="804">
      <c r="D804" s="26"/>
      <c r="E804" s="26"/>
    </row>
    <row r="805">
      <c r="D805" s="26"/>
      <c r="E805" s="26"/>
    </row>
    <row r="806">
      <c r="D806" s="26"/>
      <c r="E806" s="26"/>
    </row>
    <row r="807">
      <c r="D807" s="26"/>
      <c r="E807" s="26"/>
    </row>
    <row r="808">
      <c r="D808" s="26"/>
      <c r="E808" s="26"/>
    </row>
    <row r="809">
      <c r="D809" s="26"/>
      <c r="E809" s="26"/>
    </row>
    <row r="810">
      <c r="D810" s="26"/>
      <c r="E810" s="26"/>
    </row>
    <row r="811">
      <c r="D811" s="26"/>
      <c r="E811" s="26"/>
    </row>
    <row r="812">
      <c r="D812" s="26"/>
      <c r="E812" s="26"/>
    </row>
    <row r="813">
      <c r="D813" s="26"/>
      <c r="E813" s="26"/>
    </row>
    <row r="814">
      <c r="D814" s="26"/>
      <c r="E814" s="26"/>
    </row>
    <row r="815">
      <c r="D815" s="26"/>
      <c r="E815" s="26"/>
    </row>
    <row r="816">
      <c r="D816" s="26"/>
      <c r="E816" s="26"/>
    </row>
    <row r="817">
      <c r="D817" s="26"/>
      <c r="E817" s="26"/>
    </row>
    <row r="818">
      <c r="D818" s="26"/>
      <c r="E818" s="26"/>
    </row>
    <row r="819">
      <c r="D819" s="26"/>
      <c r="E819" s="26"/>
    </row>
    <row r="820">
      <c r="D820" s="26"/>
      <c r="E820" s="26"/>
    </row>
    <row r="821">
      <c r="D821" s="26"/>
      <c r="E821" s="26"/>
    </row>
    <row r="822">
      <c r="D822" s="26"/>
      <c r="E822" s="26"/>
    </row>
    <row r="823">
      <c r="D823" s="26"/>
      <c r="E823" s="26"/>
    </row>
    <row r="824">
      <c r="D824" s="26"/>
      <c r="E824" s="26"/>
    </row>
    <row r="825">
      <c r="D825" s="26"/>
      <c r="E825" s="26"/>
    </row>
    <row r="826">
      <c r="D826" s="26"/>
      <c r="E826" s="26"/>
    </row>
    <row r="827">
      <c r="D827" s="26"/>
      <c r="E827" s="26"/>
    </row>
    <row r="828">
      <c r="D828" s="26"/>
      <c r="E828" s="26"/>
    </row>
    <row r="829">
      <c r="D829" s="26"/>
      <c r="E829" s="26"/>
    </row>
    <row r="830">
      <c r="D830" s="26"/>
      <c r="E830" s="26"/>
    </row>
    <row r="831">
      <c r="D831" s="26"/>
      <c r="E831" s="26"/>
    </row>
    <row r="832">
      <c r="D832" s="26"/>
      <c r="E832" s="26"/>
    </row>
    <row r="833">
      <c r="D833" s="26"/>
      <c r="E833" s="26"/>
    </row>
    <row r="834">
      <c r="D834" s="26"/>
      <c r="E834" s="26"/>
    </row>
    <row r="835">
      <c r="D835" s="26"/>
      <c r="E835" s="26"/>
    </row>
    <row r="836">
      <c r="D836" s="26"/>
      <c r="E836" s="26"/>
    </row>
    <row r="837">
      <c r="D837" s="26"/>
      <c r="E837" s="26"/>
    </row>
    <row r="838">
      <c r="D838" s="26"/>
      <c r="E838" s="26"/>
    </row>
    <row r="839">
      <c r="D839" s="26"/>
      <c r="E839" s="26"/>
    </row>
    <row r="840">
      <c r="D840" s="26"/>
      <c r="E840" s="26"/>
    </row>
    <row r="841">
      <c r="D841" s="26"/>
      <c r="E841" s="26"/>
    </row>
    <row r="842">
      <c r="D842" s="26"/>
      <c r="E842" s="26"/>
    </row>
    <row r="843">
      <c r="D843" s="26"/>
      <c r="E843" s="26"/>
    </row>
    <row r="844">
      <c r="D844" s="26"/>
      <c r="E844" s="26"/>
    </row>
    <row r="845">
      <c r="D845" s="26"/>
      <c r="E845" s="26"/>
    </row>
    <row r="846">
      <c r="D846" s="26"/>
      <c r="E846" s="26"/>
    </row>
    <row r="847">
      <c r="D847" s="26"/>
      <c r="E847" s="26"/>
    </row>
    <row r="848">
      <c r="D848" s="26"/>
      <c r="E848" s="26"/>
    </row>
    <row r="849">
      <c r="D849" s="26"/>
      <c r="E849" s="26"/>
    </row>
    <row r="850">
      <c r="D850" s="26"/>
      <c r="E850" s="26"/>
    </row>
    <row r="851">
      <c r="D851" s="26"/>
      <c r="E851" s="26"/>
    </row>
    <row r="852">
      <c r="D852" s="26"/>
      <c r="E852" s="26"/>
    </row>
    <row r="853">
      <c r="D853" s="26"/>
      <c r="E853" s="26"/>
    </row>
    <row r="854">
      <c r="D854" s="26"/>
      <c r="E854" s="26"/>
    </row>
    <row r="855">
      <c r="D855" s="26"/>
      <c r="E855" s="26"/>
    </row>
    <row r="856">
      <c r="D856" s="26"/>
      <c r="E856" s="26"/>
    </row>
    <row r="857">
      <c r="D857" s="26"/>
      <c r="E857" s="26"/>
    </row>
    <row r="858">
      <c r="D858" s="26"/>
      <c r="E858" s="26"/>
    </row>
    <row r="859">
      <c r="D859" s="26"/>
      <c r="E859" s="26"/>
    </row>
    <row r="860">
      <c r="D860" s="26"/>
      <c r="E860" s="26"/>
    </row>
    <row r="861">
      <c r="D861" s="26"/>
      <c r="E861" s="26"/>
    </row>
    <row r="862">
      <c r="D862" s="26"/>
      <c r="E862" s="26"/>
    </row>
    <row r="863">
      <c r="D863" s="26"/>
      <c r="E863" s="26"/>
    </row>
    <row r="864">
      <c r="D864" s="26"/>
      <c r="E864" s="26"/>
    </row>
    <row r="865">
      <c r="D865" s="26"/>
      <c r="E865" s="26"/>
    </row>
    <row r="866">
      <c r="D866" s="26"/>
      <c r="E866" s="26"/>
    </row>
    <row r="867">
      <c r="D867" s="26"/>
      <c r="E867" s="26"/>
    </row>
    <row r="868">
      <c r="D868" s="26"/>
      <c r="E868" s="26"/>
    </row>
    <row r="869">
      <c r="D869" s="26"/>
      <c r="E869" s="26"/>
    </row>
    <row r="870">
      <c r="D870" s="26"/>
      <c r="E870" s="26"/>
    </row>
    <row r="871">
      <c r="D871" s="26"/>
      <c r="E871" s="26"/>
    </row>
    <row r="872">
      <c r="D872" s="26"/>
      <c r="E872" s="26"/>
    </row>
    <row r="873">
      <c r="D873" s="26"/>
      <c r="E873" s="26"/>
    </row>
    <row r="874">
      <c r="D874" s="26"/>
      <c r="E874" s="26"/>
    </row>
    <row r="875">
      <c r="D875" s="26"/>
      <c r="E875" s="26"/>
    </row>
    <row r="876">
      <c r="D876" s="26"/>
      <c r="E876" s="26"/>
    </row>
    <row r="877">
      <c r="D877" s="26"/>
      <c r="E877" s="26"/>
    </row>
    <row r="878">
      <c r="D878" s="26"/>
      <c r="E878" s="26"/>
    </row>
    <row r="879">
      <c r="D879" s="26"/>
      <c r="E879" s="26"/>
    </row>
    <row r="880">
      <c r="D880" s="26"/>
      <c r="E880" s="26"/>
    </row>
    <row r="881">
      <c r="D881" s="26"/>
      <c r="E881" s="26"/>
    </row>
    <row r="882">
      <c r="D882" s="26"/>
      <c r="E882" s="26"/>
    </row>
    <row r="883">
      <c r="D883" s="26"/>
      <c r="E883" s="26"/>
    </row>
    <row r="884">
      <c r="D884" s="26"/>
      <c r="E884" s="26"/>
    </row>
    <row r="885">
      <c r="D885" s="26"/>
      <c r="E885" s="26"/>
    </row>
    <row r="886">
      <c r="D886" s="26"/>
      <c r="E886" s="26"/>
    </row>
    <row r="887">
      <c r="D887" s="26"/>
      <c r="E887" s="26"/>
    </row>
    <row r="888">
      <c r="D888" s="26"/>
      <c r="E888" s="26"/>
    </row>
    <row r="889">
      <c r="D889" s="26"/>
      <c r="E889" s="26"/>
    </row>
    <row r="890">
      <c r="D890" s="26"/>
      <c r="E890" s="26"/>
    </row>
    <row r="891">
      <c r="D891" s="26"/>
      <c r="E891" s="26"/>
    </row>
    <row r="892">
      <c r="D892" s="26"/>
      <c r="E892" s="26"/>
    </row>
    <row r="893">
      <c r="D893" s="26"/>
      <c r="E893" s="26"/>
    </row>
    <row r="894">
      <c r="D894" s="26"/>
      <c r="E894" s="26"/>
    </row>
    <row r="895">
      <c r="D895" s="26"/>
      <c r="E895" s="26"/>
    </row>
    <row r="896">
      <c r="D896" s="26"/>
      <c r="E896" s="26"/>
    </row>
    <row r="897">
      <c r="D897" s="26"/>
      <c r="E897" s="26"/>
    </row>
    <row r="898">
      <c r="D898" s="26"/>
      <c r="E898" s="26"/>
    </row>
    <row r="899">
      <c r="D899" s="26"/>
      <c r="E899" s="26"/>
    </row>
    <row r="900">
      <c r="D900" s="26"/>
      <c r="E900" s="26"/>
    </row>
    <row r="901">
      <c r="D901" s="26"/>
      <c r="E901" s="26"/>
    </row>
    <row r="902">
      <c r="D902" s="26"/>
      <c r="E902" s="26"/>
    </row>
    <row r="903">
      <c r="D903" s="26"/>
      <c r="E903" s="26"/>
    </row>
    <row r="904">
      <c r="D904" s="26"/>
      <c r="E904" s="26"/>
    </row>
    <row r="905">
      <c r="D905" s="26"/>
      <c r="E905" s="26"/>
    </row>
    <row r="906">
      <c r="D906" s="26"/>
      <c r="E906" s="26"/>
    </row>
    <row r="907">
      <c r="D907" s="26"/>
      <c r="E907" s="26"/>
    </row>
    <row r="908">
      <c r="D908" s="26"/>
      <c r="E908" s="26"/>
    </row>
    <row r="909">
      <c r="D909" s="26"/>
      <c r="E909" s="26"/>
    </row>
    <row r="910">
      <c r="D910" s="26"/>
      <c r="E910" s="26"/>
    </row>
    <row r="911">
      <c r="D911" s="26"/>
      <c r="E911" s="26"/>
    </row>
    <row r="912">
      <c r="D912" s="26"/>
      <c r="E912" s="26"/>
    </row>
    <row r="913">
      <c r="D913" s="26"/>
      <c r="E913" s="26"/>
    </row>
    <row r="914">
      <c r="D914" s="26"/>
      <c r="E914" s="26"/>
    </row>
    <row r="915">
      <c r="D915" s="26"/>
      <c r="E915" s="26"/>
    </row>
    <row r="916">
      <c r="D916" s="26"/>
      <c r="E916" s="26"/>
    </row>
    <row r="917">
      <c r="D917" s="26"/>
      <c r="E917" s="26"/>
    </row>
    <row r="918">
      <c r="D918" s="26"/>
      <c r="E918" s="26"/>
    </row>
    <row r="919">
      <c r="D919" s="26"/>
      <c r="E919" s="26"/>
    </row>
    <row r="920">
      <c r="D920" s="26"/>
      <c r="E920" s="26"/>
    </row>
    <row r="921">
      <c r="D921" s="26"/>
      <c r="E921" s="26"/>
    </row>
    <row r="922">
      <c r="D922" s="26"/>
      <c r="E922" s="26"/>
    </row>
    <row r="923">
      <c r="D923" s="26"/>
      <c r="E923" s="26"/>
    </row>
    <row r="924">
      <c r="D924" s="26"/>
      <c r="E924" s="26"/>
    </row>
    <row r="925">
      <c r="D925" s="26"/>
      <c r="E925" s="26"/>
    </row>
    <row r="926">
      <c r="D926" s="26"/>
      <c r="E926" s="26"/>
    </row>
    <row r="927">
      <c r="D927" s="26"/>
      <c r="E927" s="26"/>
    </row>
    <row r="928">
      <c r="D928" s="26"/>
      <c r="E928" s="26"/>
    </row>
    <row r="929">
      <c r="D929" s="26"/>
      <c r="E929" s="26"/>
    </row>
    <row r="930">
      <c r="D930" s="26"/>
      <c r="E930" s="26"/>
    </row>
    <row r="931">
      <c r="D931" s="26"/>
      <c r="E931" s="26"/>
    </row>
    <row r="932">
      <c r="D932" s="26"/>
      <c r="E932" s="26"/>
    </row>
    <row r="933">
      <c r="D933" s="26"/>
      <c r="E933" s="26"/>
    </row>
    <row r="934">
      <c r="D934" s="26"/>
      <c r="E934" s="26"/>
    </row>
    <row r="935">
      <c r="D935" s="26"/>
      <c r="E935" s="26"/>
    </row>
    <row r="936">
      <c r="D936" s="26"/>
      <c r="E936" s="26"/>
    </row>
    <row r="937">
      <c r="D937" s="26"/>
      <c r="E937" s="26"/>
    </row>
    <row r="938">
      <c r="D938" s="26"/>
      <c r="E938" s="26"/>
    </row>
    <row r="939">
      <c r="D939" s="26"/>
      <c r="E939" s="26"/>
    </row>
    <row r="940">
      <c r="D940" s="26"/>
      <c r="E940" s="26"/>
    </row>
    <row r="941">
      <c r="D941" s="26"/>
      <c r="E941" s="26"/>
    </row>
    <row r="942">
      <c r="D942" s="26"/>
      <c r="E942" s="26"/>
    </row>
    <row r="943">
      <c r="D943" s="26"/>
      <c r="E943" s="26"/>
    </row>
    <row r="944">
      <c r="D944" s="26"/>
      <c r="E944" s="26"/>
    </row>
    <row r="945">
      <c r="D945" s="26"/>
      <c r="E945" s="26"/>
    </row>
    <row r="946">
      <c r="D946" s="26"/>
      <c r="E946" s="26"/>
    </row>
    <row r="947">
      <c r="D947" s="26"/>
      <c r="E947" s="26"/>
    </row>
    <row r="948">
      <c r="D948" s="26"/>
      <c r="E948" s="26"/>
    </row>
    <row r="949">
      <c r="D949" s="26"/>
      <c r="E949" s="26"/>
    </row>
    <row r="950">
      <c r="D950" s="26"/>
      <c r="E950" s="26"/>
    </row>
    <row r="951">
      <c r="D951" s="26"/>
      <c r="E951" s="26"/>
    </row>
    <row r="952">
      <c r="D952" s="26"/>
      <c r="E952" s="26"/>
    </row>
    <row r="953">
      <c r="D953" s="26"/>
      <c r="E953" s="26"/>
    </row>
    <row r="954">
      <c r="D954" s="26"/>
      <c r="E954" s="26"/>
    </row>
    <row r="955">
      <c r="D955" s="26"/>
      <c r="E955" s="26"/>
    </row>
    <row r="956">
      <c r="D956" s="26"/>
      <c r="E956" s="26"/>
    </row>
    <row r="957">
      <c r="D957" s="26"/>
      <c r="E957" s="26"/>
    </row>
    <row r="958">
      <c r="D958" s="26"/>
      <c r="E958" s="26"/>
    </row>
    <row r="959">
      <c r="D959" s="26"/>
      <c r="E959" s="26"/>
    </row>
    <row r="960">
      <c r="D960" s="26"/>
      <c r="E960" s="26"/>
    </row>
    <row r="961">
      <c r="D961" s="26"/>
      <c r="E961" s="26"/>
    </row>
    <row r="962">
      <c r="D962" s="26"/>
      <c r="E962" s="26"/>
    </row>
    <row r="963">
      <c r="D963" s="26"/>
      <c r="E963" s="26"/>
    </row>
    <row r="964">
      <c r="D964" s="26"/>
      <c r="E964" s="26"/>
    </row>
    <row r="965">
      <c r="D965" s="26"/>
      <c r="E965" s="26"/>
    </row>
    <row r="966">
      <c r="D966" s="26"/>
      <c r="E966" s="26"/>
    </row>
    <row r="967">
      <c r="D967" s="26"/>
      <c r="E967" s="26"/>
    </row>
    <row r="968">
      <c r="D968" s="26"/>
      <c r="E968" s="26"/>
    </row>
    <row r="969">
      <c r="D969" s="26"/>
      <c r="E969" s="26"/>
    </row>
    <row r="970">
      <c r="D970" s="26"/>
      <c r="E970" s="26"/>
    </row>
    <row r="971">
      <c r="D971" s="26"/>
      <c r="E971" s="26"/>
    </row>
    <row r="972">
      <c r="D972" s="26"/>
      <c r="E972" s="26"/>
    </row>
    <row r="973">
      <c r="D973" s="26"/>
      <c r="E973" s="26"/>
    </row>
    <row r="974">
      <c r="D974" s="26"/>
      <c r="E974" s="26"/>
    </row>
    <row r="975">
      <c r="D975" s="26"/>
      <c r="E975" s="26"/>
    </row>
    <row r="976">
      <c r="D976" s="26"/>
      <c r="E976" s="26"/>
    </row>
    <row r="977">
      <c r="D977" s="26"/>
      <c r="E977" s="26"/>
    </row>
    <row r="978">
      <c r="D978" s="26"/>
      <c r="E978" s="26"/>
    </row>
    <row r="979">
      <c r="D979" s="26"/>
      <c r="E979" s="26"/>
    </row>
    <row r="980">
      <c r="D980" s="26"/>
      <c r="E980" s="26"/>
    </row>
    <row r="981">
      <c r="D981" s="26"/>
      <c r="E981" s="26"/>
    </row>
    <row r="982">
      <c r="D982" s="26"/>
      <c r="E982" s="26"/>
    </row>
    <row r="983">
      <c r="D983" s="26"/>
      <c r="E983" s="26"/>
    </row>
    <row r="984">
      <c r="D984" s="26"/>
      <c r="E984" s="26"/>
    </row>
    <row r="985">
      <c r="D985" s="26"/>
      <c r="E985" s="26"/>
    </row>
    <row r="986">
      <c r="D986" s="26"/>
      <c r="E986" s="26"/>
    </row>
    <row r="987">
      <c r="D987" s="26"/>
      <c r="E987" s="26"/>
    </row>
    <row r="988">
      <c r="D988" s="26"/>
      <c r="E988" s="26"/>
    </row>
    <row r="989">
      <c r="D989" s="26"/>
      <c r="E989" s="26"/>
    </row>
    <row r="990">
      <c r="D990" s="26"/>
      <c r="E990" s="26"/>
    </row>
    <row r="991">
      <c r="D991" s="26"/>
      <c r="E991" s="26"/>
    </row>
    <row r="992">
      <c r="D992" s="26"/>
      <c r="E992" s="26"/>
    </row>
    <row r="993">
      <c r="D993" s="26"/>
      <c r="E993" s="26"/>
    </row>
    <row r="994">
      <c r="D994" s="26"/>
      <c r="E994" s="26"/>
    </row>
    <row r="995">
      <c r="D995" s="26"/>
      <c r="E995" s="26"/>
    </row>
    <row r="996">
      <c r="D996" s="26"/>
      <c r="E996" s="26"/>
    </row>
    <row r="997">
      <c r="D997" s="26"/>
      <c r="E997" s="26"/>
    </row>
    <row r="998">
      <c r="D998" s="26"/>
      <c r="E998" s="26"/>
    </row>
    <row r="999">
      <c r="D999" s="26"/>
      <c r="E999" s="26"/>
    </row>
    <row r="1000">
      <c r="D1000" s="26"/>
      <c r="E1000" s="26"/>
    </row>
    <row r="1001">
      <c r="D1001" s="26"/>
      <c r="E1001" s="26"/>
    </row>
    <row r="1002">
      <c r="D1002" s="26"/>
      <c r="E1002" s="26"/>
    </row>
    <row r="1003">
      <c r="D1003" s="26"/>
      <c r="E1003" s="26"/>
    </row>
    <row r="1004">
      <c r="D1004" s="26"/>
      <c r="E1004" s="26"/>
    </row>
    <row r="1005">
      <c r="D1005" s="26"/>
      <c r="E1005" s="26"/>
    </row>
    <row r="1006">
      <c r="D1006" s="26"/>
      <c r="E1006" s="26"/>
    </row>
    <row r="1007">
      <c r="D1007" s="26"/>
      <c r="E1007" s="26"/>
    </row>
    <row r="1008">
      <c r="D1008" s="26"/>
      <c r="E1008" s="26"/>
    </row>
    <row r="1009">
      <c r="D1009" s="26"/>
      <c r="E1009" s="26"/>
    </row>
    <row r="1010">
      <c r="D1010" s="26"/>
      <c r="E1010" s="26"/>
    </row>
    <row r="1011">
      <c r="D1011" s="26"/>
      <c r="E1011" s="26"/>
    </row>
    <row r="1012">
      <c r="D1012" s="26"/>
      <c r="E1012" s="26"/>
    </row>
    <row r="1013">
      <c r="D1013" s="26"/>
      <c r="E1013" s="26"/>
    </row>
    <row r="1014">
      <c r="D1014" s="26"/>
      <c r="E1014" s="26"/>
    </row>
    <row r="1015">
      <c r="D1015" s="26"/>
      <c r="E1015" s="26"/>
    </row>
    <row r="1016">
      <c r="D1016" s="26"/>
      <c r="E1016" s="26"/>
    </row>
    <row r="1017">
      <c r="D1017" s="26"/>
      <c r="E1017" s="26"/>
    </row>
    <row r="1018">
      <c r="D1018" s="26"/>
      <c r="E1018" s="26"/>
    </row>
    <row r="1019">
      <c r="D1019" s="26"/>
      <c r="E1019" s="26"/>
    </row>
    <row r="1020">
      <c r="D1020" s="26"/>
      <c r="E1020" s="26"/>
    </row>
    <row r="1021">
      <c r="D1021" s="26"/>
      <c r="E1021" s="26"/>
    </row>
    <row r="1022">
      <c r="D1022" s="26"/>
      <c r="E1022" s="26"/>
    </row>
    <row r="1023">
      <c r="D1023" s="26"/>
      <c r="E1023" s="26"/>
    </row>
    <row r="1024">
      <c r="D1024" s="26"/>
      <c r="E1024" s="26"/>
    </row>
    <row r="1025">
      <c r="D1025" s="26"/>
      <c r="E1025" s="26"/>
    </row>
    <row r="1026">
      <c r="D1026" s="26"/>
      <c r="E1026" s="26"/>
    </row>
    <row r="1027">
      <c r="D1027" s="26"/>
      <c r="E1027" s="26"/>
    </row>
    <row r="1028">
      <c r="D1028" s="26"/>
      <c r="E1028" s="26"/>
    </row>
    <row r="1029">
      <c r="D1029" s="26"/>
      <c r="E1029" s="26"/>
    </row>
    <row r="1030">
      <c r="D1030" s="26"/>
      <c r="E1030" s="26"/>
    </row>
    <row r="1031">
      <c r="D1031" s="26"/>
      <c r="E1031" s="26"/>
    </row>
    <row r="1032">
      <c r="D1032" s="26"/>
      <c r="E1032" s="26"/>
    </row>
    <row r="1033">
      <c r="D1033" s="26"/>
      <c r="E1033" s="26"/>
    </row>
    <row r="1034">
      <c r="D1034" s="26"/>
      <c r="E1034" s="26"/>
    </row>
    <row r="1035">
      <c r="D1035" s="26"/>
      <c r="E1035" s="26"/>
    </row>
    <row r="1036">
      <c r="D1036" s="26"/>
      <c r="E1036" s="26"/>
    </row>
    <row r="1037">
      <c r="D1037" s="26"/>
      <c r="E1037" s="26"/>
    </row>
    <row r="1038">
      <c r="D1038" s="26"/>
      <c r="E1038" s="26"/>
    </row>
    <row r="1039">
      <c r="D1039" s="26"/>
      <c r="E1039" s="26"/>
    </row>
    <row r="1040">
      <c r="D1040" s="26"/>
      <c r="E1040" s="26"/>
    </row>
    <row r="1041">
      <c r="D1041" s="26"/>
      <c r="E1041" s="26"/>
    </row>
    <row r="1042">
      <c r="D1042" s="26"/>
      <c r="E1042" s="26"/>
    </row>
    <row r="1043">
      <c r="D1043" s="26"/>
      <c r="E1043" s="26"/>
    </row>
    <row r="1044">
      <c r="D1044" s="26"/>
      <c r="E1044" s="26"/>
    </row>
    <row r="1045">
      <c r="D1045" s="26"/>
      <c r="E1045" s="26"/>
    </row>
    <row r="1046">
      <c r="D1046" s="26"/>
      <c r="E1046" s="26"/>
    </row>
    <row r="1047">
      <c r="D1047" s="26"/>
      <c r="E1047" s="26"/>
    </row>
    <row r="1048">
      <c r="D1048" s="26"/>
      <c r="E1048" s="26"/>
    </row>
    <row r="1049">
      <c r="D1049" s="26"/>
      <c r="E1049" s="26"/>
    </row>
    <row r="1050">
      <c r="D1050" s="26"/>
      <c r="E1050" s="26"/>
    </row>
    <row r="1051">
      <c r="D1051" s="26"/>
      <c r="E1051" s="26"/>
    </row>
    <row r="1052">
      <c r="D1052" s="26"/>
      <c r="E1052" s="26"/>
    </row>
    <row r="1053">
      <c r="D1053" s="26"/>
      <c r="E1053" s="26"/>
    </row>
    <row r="1054">
      <c r="D1054" s="26"/>
      <c r="E1054" s="26"/>
    </row>
    <row r="1055">
      <c r="D1055" s="26"/>
      <c r="E1055" s="26"/>
    </row>
    <row r="1056">
      <c r="D1056" s="26"/>
      <c r="E1056" s="26"/>
    </row>
    <row r="1057">
      <c r="D1057" s="26"/>
      <c r="E1057" s="26"/>
    </row>
    <row r="1058">
      <c r="D1058" s="26"/>
      <c r="E1058" s="26"/>
    </row>
    <row r="1059">
      <c r="D1059" s="26"/>
      <c r="E1059" s="26"/>
    </row>
    <row r="1060">
      <c r="D1060" s="26"/>
      <c r="E1060" s="26"/>
    </row>
    <row r="1061">
      <c r="D1061" s="26"/>
      <c r="E1061" s="26"/>
    </row>
    <row r="1062">
      <c r="D1062" s="26"/>
      <c r="E1062" s="26"/>
    </row>
    <row r="1063">
      <c r="D1063" s="26"/>
      <c r="E1063" s="26"/>
    </row>
    <row r="1064">
      <c r="D1064" s="26"/>
      <c r="E1064" s="26"/>
    </row>
    <row r="1065">
      <c r="D1065" s="26"/>
      <c r="E1065" s="26"/>
    </row>
    <row r="1066">
      <c r="D1066" s="26"/>
      <c r="E1066" s="26"/>
    </row>
    <row r="1067">
      <c r="D1067" s="26"/>
      <c r="E1067" s="26"/>
    </row>
    <row r="1068">
      <c r="D1068" s="26"/>
      <c r="E1068" s="26"/>
    </row>
    <row r="1069">
      <c r="D1069" s="26"/>
      <c r="E1069" s="26"/>
    </row>
    <row r="1070">
      <c r="D1070" s="26"/>
      <c r="E1070" s="26"/>
    </row>
    <row r="1071">
      <c r="D1071" s="26"/>
      <c r="E1071" s="26"/>
    </row>
    <row r="1072">
      <c r="D1072" s="26"/>
      <c r="E1072" s="26"/>
    </row>
    <row r="1073">
      <c r="D1073" s="26"/>
      <c r="E1073" s="26"/>
    </row>
    <row r="1074">
      <c r="D1074" s="26"/>
      <c r="E1074" s="26"/>
    </row>
    <row r="1075">
      <c r="D1075" s="26"/>
      <c r="E1075" s="26"/>
    </row>
    <row r="1076">
      <c r="D1076" s="26"/>
      <c r="E1076" s="26"/>
    </row>
    <row r="1077">
      <c r="D1077" s="26"/>
      <c r="E1077" s="26"/>
    </row>
    <row r="1078">
      <c r="D1078" s="26"/>
      <c r="E1078" s="26"/>
    </row>
    <row r="1079">
      <c r="D1079" s="26"/>
      <c r="E1079" s="26"/>
    </row>
    <row r="1080">
      <c r="D1080" s="26"/>
      <c r="E1080" s="26"/>
    </row>
    <row r="1081">
      <c r="D1081" s="26"/>
      <c r="E1081" s="26"/>
    </row>
    <row r="1082">
      <c r="D1082" s="26"/>
      <c r="E1082" s="26"/>
    </row>
    <row r="1083">
      <c r="D1083" s="26"/>
      <c r="E1083" s="26"/>
    </row>
    <row r="1084">
      <c r="D1084" s="26"/>
      <c r="E1084" s="26"/>
    </row>
    <row r="1085">
      <c r="D1085" s="26"/>
      <c r="E1085" s="26"/>
    </row>
    <row r="1086">
      <c r="D1086" s="26"/>
      <c r="E1086" s="26"/>
    </row>
    <row r="1087">
      <c r="D1087" s="26"/>
      <c r="E1087" s="26"/>
    </row>
    <row r="1088">
      <c r="D1088" s="26"/>
      <c r="E1088" s="26"/>
    </row>
    <row r="1089">
      <c r="D1089" s="26"/>
      <c r="E1089" s="26"/>
    </row>
    <row r="1090">
      <c r="D1090" s="26"/>
      <c r="E1090" s="26"/>
    </row>
    <row r="1091">
      <c r="D1091" s="26"/>
      <c r="E1091" s="26"/>
    </row>
    <row r="1092">
      <c r="D1092" s="26"/>
      <c r="E1092" s="26"/>
    </row>
    <row r="1093">
      <c r="D1093" s="26"/>
      <c r="E1093" s="26"/>
    </row>
    <row r="1094">
      <c r="D1094" s="26"/>
      <c r="E1094" s="26"/>
    </row>
    <row r="1095">
      <c r="D1095" s="26"/>
      <c r="E1095" s="26"/>
    </row>
    <row r="1096">
      <c r="D1096" s="26"/>
      <c r="E1096" s="26"/>
    </row>
    <row r="1097">
      <c r="D1097" s="26"/>
      <c r="E1097" s="26"/>
    </row>
    <row r="1098">
      <c r="D1098" s="26"/>
      <c r="E1098" s="26"/>
    </row>
    <row r="1099">
      <c r="D1099" s="26"/>
      <c r="E1099" s="26"/>
    </row>
    <row r="1100">
      <c r="D1100" s="26"/>
      <c r="E1100" s="26"/>
    </row>
    <row r="1101">
      <c r="D1101" s="26"/>
      <c r="E1101" s="26"/>
    </row>
    <row r="1102">
      <c r="D1102" s="26"/>
      <c r="E1102" s="26"/>
    </row>
    <row r="1103">
      <c r="D1103" s="26"/>
      <c r="E1103" s="26"/>
    </row>
    <row r="1104">
      <c r="D1104" s="26"/>
      <c r="E1104" s="26"/>
    </row>
    <row r="1105">
      <c r="D1105" s="26"/>
      <c r="E1105" s="26"/>
    </row>
    <row r="1106">
      <c r="D1106" s="26"/>
      <c r="E1106" s="26"/>
    </row>
    <row r="1107">
      <c r="D1107" s="26"/>
      <c r="E1107" s="26"/>
    </row>
    <row r="1108">
      <c r="D1108" s="26"/>
      <c r="E1108" s="26"/>
    </row>
    <row r="1109">
      <c r="D1109" s="26"/>
      <c r="E1109" s="26"/>
    </row>
    <row r="1110">
      <c r="D1110" s="26"/>
      <c r="E1110" s="26"/>
    </row>
    <row r="1111">
      <c r="D1111" s="26"/>
      <c r="E1111" s="26"/>
    </row>
    <row r="1112">
      <c r="D1112" s="26"/>
      <c r="E1112" s="26"/>
    </row>
    <row r="1113">
      <c r="D1113" s="26"/>
      <c r="E1113" s="26"/>
    </row>
    <row r="1114">
      <c r="D1114" s="26"/>
      <c r="E1114" s="26"/>
    </row>
    <row r="1115">
      <c r="D1115" s="26"/>
      <c r="E1115" s="26"/>
    </row>
    <row r="1116">
      <c r="D1116" s="26"/>
      <c r="E1116" s="26"/>
    </row>
    <row r="1117">
      <c r="D1117" s="26"/>
      <c r="E1117" s="26"/>
    </row>
    <row r="1118">
      <c r="D1118" s="26"/>
      <c r="E1118" s="26"/>
    </row>
    <row r="1119">
      <c r="D1119" s="26"/>
      <c r="E1119" s="26"/>
    </row>
    <row r="1120">
      <c r="D1120" s="26"/>
      <c r="E1120" s="26"/>
    </row>
    <row r="1121">
      <c r="D1121" s="26"/>
      <c r="E1121" s="26"/>
    </row>
    <row r="1122">
      <c r="D1122" s="26"/>
      <c r="E1122" s="26"/>
    </row>
    <row r="1123">
      <c r="D1123" s="26"/>
      <c r="E1123" s="26"/>
    </row>
    <row r="1124">
      <c r="D1124" s="26"/>
      <c r="E1124" s="26"/>
    </row>
    <row r="1125">
      <c r="D1125" s="26"/>
      <c r="E1125" s="26"/>
    </row>
    <row r="1126">
      <c r="D1126" s="26"/>
      <c r="E1126" s="26"/>
    </row>
    <row r="1127">
      <c r="D1127" s="26"/>
      <c r="E1127" s="26"/>
    </row>
    <row r="1128">
      <c r="D1128" s="26"/>
      <c r="E1128" s="26"/>
    </row>
    <row r="1129">
      <c r="D1129" s="26"/>
      <c r="E1129" s="26"/>
    </row>
    <row r="1130">
      <c r="D1130" s="26"/>
      <c r="E1130" s="26"/>
    </row>
    <row r="1131">
      <c r="D1131" s="26"/>
      <c r="E1131" s="26"/>
    </row>
    <row r="1132">
      <c r="D1132" s="26"/>
      <c r="E1132" s="26"/>
    </row>
    <row r="1133">
      <c r="D1133" s="26"/>
      <c r="E1133" s="26"/>
    </row>
    <row r="1134">
      <c r="D1134" s="26"/>
      <c r="E1134" s="26"/>
    </row>
    <row r="1135">
      <c r="D1135" s="26"/>
      <c r="E1135" s="26"/>
    </row>
    <row r="1136">
      <c r="D1136" s="26"/>
      <c r="E1136" s="26"/>
    </row>
    <row r="1137">
      <c r="D1137" s="26"/>
      <c r="E1137" s="26"/>
    </row>
    <row r="1138">
      <c r="D1138" s="26"/>
      <c r="E1138" s="26"/>
    </row>
    <row r="1139">
      <c r="D1139" s="26"/>
      <c r="E1139" s="26"/>
    </row>
    <row r="1140">
      <c r="D1140" s="26"/>
      <c r="E1140" s="26"/>
    </row>
    <row r="1141">
      <c r="D1141" s="26"/>
      <c r="E1141" s="26"/>
    </row>
    <row r="1142">
      <c r="D1142" s="26"/>
      <c r="E1142" s="26"/>
    </row>
    <row r="1143">
      <c r="D1143" s="26"/>
      <c r="E1143" s="26"/>
    </row>
    <row r="1144">
      <c r="D1144" s="26"/>
      <c r="E1144" s="26"/>
    </row>
    <row r="1145">
      <c r="D1145" s="26"/>
      <c r="E1145" s="26"/>
    </row>
    <row r="1146">
      <c r="D1146" s="26"/>
      <c r="E1146" s="26"/>
    </row>
    <row r="1147">
      <c r="D1147" s="26"/>
      <c r="E1147" s="26"/>
    </row>
    <row r="1148">
      <c r="D1148" s="26"/>
      <c r="E1148" s="26"/>
    </row>
    <row r="1149">
      <c r="D1149" s="26"/>
      <c r="E1149" s="26"/>
    </row>
    <row r="1150">
      <c r="D1150" s="26"/>
      <c r="E1150" s="26"/>
    </row>
    <row r="1151">
      <c r="D1151" s="26"/>
      <c r="E1151" s="26"/>
    </row>
    <row r="1152">
      <c r="D1152" s="26"/>
      <c r="E1152" s="26"/>
    </row>
    <row r="1153">
      <c r="D1153" s="26"/>
      <c r="E1153" s="26"/>
    </row>
    <row r="1154">
      <c r="D1154" s="26"/>
      <c r="E1154" s="26"/>
    </row>
    <row r="1155">
      <c r="D1155" s="26"/>
      <c r="E1155" s="26"/>
    </row>
    <row r="1156">
      <c r="D1156" s="26"/>
      <c r="E1156" s="26"/>
    </row>
    <row r="1157">
      <c r="D1157" s="26"/>
      <c r="E1157" s="26"/>
    </row>
    <row r="1158">
      <c r="D1158" s="26"/>
      <c r="E1158" s="26"/>
    </row>
    <row r="1159">
      <c r="D1159" s="26"/>
      <c r="E1159" s="26"/>
    </row>
    <row r="1160">
      <c r="D1160" s="26"/>
      <c r="E1160" s="26"/>
    </row>
    <row r="1161">
      <c r="D1161" s="26"/>
      <c r="E1161" s="26"/>
    </row>
    <row r="1162">
      <c r="D1162" s="26"/>
      <c r="E1162" s="26"/>
    </row>
    <row r="1163">
      <c r="D1163" s="26"/>
      <c r="E1163" s="26"/>
    </row>
    <row r="1164">
      <c r="D1164" s="26"/>
      <c r="E1164" s="26"/>
    </row>
    <row r="1165">
      <c r="D1165" s="26"/>
      <c r="E1165" s="26"/>
    </row>
    <row r="1166">
      <c r="D1166" s="26"/>
      <c r="E1166" s="26"/>
    </row>
    <row r="1167">
      <c r="D1167" s="26"/>
      <c r="E1167" s="26"/>
    </row>
    <row r="1168">
      <c r="D1168" s="26"/>
      <c r="E1168" s="26"/>
    </row>
    <row r="1169">
      <c r="D1169" s="26"/>
      <c r="E1169" s="26"/>
    </row>
    <row r="1170">
      <c r="D1170" s="26"/>
      <c r="E1170" s="26"/>
    </row>
    <row r="1171">
      <c r="D1171" s="26"/>
      <c r="E1171" s="26"/>
    </row>
    <row r="1172">
      <c r="D1172" s="26"/>
      <c r="E1172" s="26"/>
    </row>
    <row r="1173">
      <c r="D1173" s="26"/>
      <c r="E1173" s="26"/>
    </row>
    <row r="1174">
      <c r="D1174" s="26"/>
      <c r="E1174" s="26"/>
    </row>
    <row r="1175">
      <c r="D1175" s="26"/>
      <c r="E1175" s="26"/>
    </row>
    <row r="1176">
      <c r="D1176" s="26"/>
      <c r="E1176" s="26"/>
    </row>
    <row r="1177">
      <c r="D1177" s="26"/>
      <c r="E1177" s="26"/>
    </row>
    <row r="1178">
      <c r="D1178" s="26"/>
      <c r="E1178" s="26"/>
    </row>
    <row r="1179">
      <c r="D1179" s="26"/>
      <c r="E1179" s="26"/>
    </row>
    <row r="1180">
      <c r="D1180" s="26"/>
      <c r="E1180" s="26"/>
    </row>
    <row r="1181">
      <c r="D1181" s="26"/>
      <c r="E1181" s="26"/>
    </row>
    <row r="1182">
      <c r="D1182" s="26"/>
      <c r="E1182" s="26"/>
    </row>
    <row r="1183">
      <c r="D1183" s="26"/>
      <c r="E1183" s="26"/>
    </row>
    <row r="1184">
      <c r="D1184" s="26"/>
      <c r="E1184" s="26"/>
    </row>
    <row r="1185">
      <c r="D1185" s="26"/>
      <c r="E1185" s="26"/>
    </row>
    <row r="1186">
      <c r="D1186" s="26"/>
      <c r="E1186" s="26"/>
    </row>
    <row r="1187">
      <c r="D1187" s="26"/>
      <c r="E1187" s="26"/>
    </row>
    <row r="1188">
      <c r="D1188" s="26"/>
      <c r="E1188" s="26"/>
    </row>
    <row r="1189">
      <c r="D1189" s="26"/>
      <c r="E1189" s="26"/>
    </row>
    <row r="1190">
      <c r="D1190" s="26"/>
      <c r="E1190" s="26"/>
    </row>
    <row r="1191">
      <c r="D1191" s="26"/>
      <c r="E1191" s="26"/>
    </row>
    <row r="1192">
      <c r="D1192" s="26"/>
      <c r="E1192" s="26"/>
    </row>
    <row r="1193">
      <c r="D1193" s="26"/>
      <c r="E1193" s="26"/>
    </row>
    <row r="1194">
      <c r="D1194" s="26"/>
      <c r="E1194" s="26"/>
    </row>
    <row r="1195">
      <c r="D1195" s="26"/>
      <c r="E1195" s="26"/>
    </row>
    <row r="1196">
      <c r="D1196" s="26"/>
      <c r="E1196" s="26"/>
    </row>
    <row r="1197">
      <c r="D1197" s="26"/>
      <c r="E1197" s="26"/>
    </row>
    <row r="1198">
      <c r="D1198" s="26"/>
      <c r="E1198" s="26"/>
    </row>
    <row r="1199">
      <c r="D1199" s="26"/>
      <c r="E1199" s="26"/>
    </row>
    <row r="1200">
      <c r="D1200" s="26"/>
      <c r="E1200" s="26"/>
    </row>
    <row r="1201">
      <c r="D1201" s="26"/>
      <c r="E1201" s="26"/>
    </row>
    <row r="1202">
      <c r="D1202" s="26"/>
      <c r="E1202" s="26"/>
    </row>
    <row r="1203">
      <c r="D1203" s="26"/>
      <c r="E1203" s="26"/>
    </row>
    <row r="1204">
      <c r="D1204" s="26"/>
      <c r="E1204" s="26"/>
    </row>
    <row r="1205">
      <c r="D1205" s="26"/>
      <c r="E1205" s="26"/>
    </row>
    <row r="1206">
      <c r="D1206" s="26"/>
      <c r="E1206" s="26"/>
    </row>
    <row r="1207">
      <c r="D1207" s="26"/>
      <c r="E1207" s="26"/>
    </row>
    <row r="1208">
      <c r="D1208" s="26"/>
      <c r="E1208" s="26"/>
    </row>
    <row r="1209">
      <c r="D1209" s="26"/>
      <c r="E1209" s="26"/>
    </row>
    <row r="1210">
      <c r="D1210" s="26"/>
      <c r="E1210" s="26"/>
    </row>
    <row r="1211">
      <c r="D1211" s="26"/>
      <c r="E1211" s="26"/>
    </row>
    <row r="1212">
      <c r="D1212" s="26"/>
      <c r="E1212" s="26"/>
    </row>
    <row r="1213">
      <c r="D1213" s="26"/>
      <c r="E1213" s="26"/>
    </row>
    <row r="1214">
      <c r="D1214" s="26"/>
      <c r="E1214" s="26"/>
    </row>
    <row r="1215">
      <c r="D1215" s="26"/>
      <c r="E1215" s="26"/>
    </row>
    <row r="1216">
      <c r="D1216" s="26"/>
      <c r="E1216" s="26"/>
    </row>
    <row r="1217">
      <c r="D1217" s="26"/>
      <c r="E1217" s="26"/>
    </row>
    <row r="1218">
      <c r="D1218" s="26"/>
      <c r="E1218" s="26"/>
    </row>
    <row r="1219">
      <c r="D1219" s="26"/>
      <c r="E1219" s="26"/>
    </row>
    <row r="1220">
      <c r="D1220" s="26"/>
      <c r="E1220" s="26"/>
    </row>
    <row r="1221">
      <c r="D1221" s="26"/>
      <c r="E1221" s="26"/>
    </row>
    <row r="1222">
      <c r="D1222" s="26"/>
      <c r="E1222" s="26"/>
    </row>
    <row r="1223">
      <c r="D1223" s="26"/>
      <c r="E1223" s="26"/>
    </row>
    <row r="1224">
      <c r="D1224" s="26"/>
      <c r="E1224" s="26"/>
    </row>
    <row r="1225">
      <c r="D1225" s="26"/>
      <c r="E1225" s="26"/>
    </row>
    <row r="1226">
      <c r="D1226" s="26"/>
      <c r="E1226" s="26"/>
    </row>
    <row r="1227">
      <c r="D1227" s="26"/>
      <c r="E1227" s="26"/>
    </row>
    <row r="1228">
      <c r="D1228" s="26"/>
      <c r="E1228" s="26"/>
    </row>
    <row r="1229">
      <c r="D1229" s="26"/>
      <c r="E1229" s="26"/>
    </row>
    <row r="1230">
      <c r="D1230" s="26"/>
      <c r="E1230" s="26"/>
    </row>
    <row r="1231">
      <c r="D1231" s="26"/>
      <c r="E1231" s="26"/>
    </row>
    <row r="1232">
      <c r="D1232" s="26"/>
      <c r="E1232" s="26"/>
    </row>
    <row r="1233">
      <c r="D1233" s="26"/>
      <c r="E1233" s="26"/>
    </row>
    <row r="1234">
      <c r="D1234" s="26"/>
      <c r="E1234" s="26"/>
    </row>
    <row r="1235">
      <c r="D1235" s="26"/>
      <c r="E1235" s="26"/>
    </row>
    <row r="1236">
      <c r="D1236" s="26"/>
      <c r="E1236" s="26"/>
    </row>
    <row r="1237">
      <c r="D1237" s="26"/>
      <c r="E1237" s="26"/>
    </row>
    <row r="1238">
      <c r="D1238" s="26"/>
      <c r="E1238" s="26"/>
    </row>
    <row r="1239">
      <c r="D1239" s="26"/>
      <c r="E1239" s="26"/>
    </row>
    <row r="1240">
      <c r="D1240" s="26"/>
      <c r="E1240" s="26"/>
    </row>
    <row r="1241">
      <c r="D1241" s="26"/>
      <c r="E1241" s="26"/>
    </row>
    <row r="1242">
      <c r="D1242" s="26"/>
      <c r="E1242" s="26"/>
    </row>
    <row r="1243">
      <c r="D1243" s="26"/>
      <c r="E1243" s="26"/>
    </row>
    <row r="1244">
      <c r="D1244" s="26"/>
      <c r="E1244" s="26"/>
    </row>
    <row r="1245">
      <c r="D1245" s="26"/>
      <c r="E1245" s="26"/>
    </row>
    <row r="1246">
      <c r="D1246" s="26"/>
      <c r="E1246" s="26"/>
    </row>
    <row r="1247">
      <c r="D1247" s="26"/>
      <c r="E1247" s="26"/>
    </row>
    <row r="1248">
      <c r="D1248" s="26"/>
      <c r="E1248" s="26"/>
    </row>
    <row r="1249">
      <c r="D1249" s="26"/>
      <c r="E1249" s="26"/>
    </row>
    <row r="1250">
      <c r="D1250" s="26"/>
      <c r="E1250" s="26"/>
    </row>
    <row r="1251">
      <c r="D1251" s="26"/>
      <c r="E1251" s="26"/>
    </row>
    <row r="1252">
      <c r="D1252" s="26"/>
      <c r="E1252" s="26"/>
    </row>
    <row r="1253">
      <c r="D1253" s="26"/>
      <c r="E1253" s="26"/>
    </row>
    <row r="1254">
      <c r="D1254" s="26"/>
      <c r="E1254" s="26"/>
    </row>
    <row r="1255">
      <c r="D1255" s="26"/>
      <c r="E1255" s="26"/>
    </row>
    <row r="1256">
      <c r="D1256" s="26"/>
      <c r="E1256" s="26"/>
    </row>
    <row r="1257">
      <c r="D1257" s="26"/>
      <c r="E1257" s="26"/>
    </row>
    <row r="1258">
      <c r="D1258" s="26"/>
      <c r="E1258" s="26"/>
    </row>
    <row r="1259">
      <c r="D1259" s="26"/>
      <c r="E1259" s="26"/>
    </row>
    <row r="1260">
      <c r="D1260" s="26"/>
      <c r="E1260" s="26"/>
    </row>
    <row r="1261">
      <c r="D1261" s="26"/>
      <c r="E1261" s="26"/>
    </row>
    <row r="1262">
      <c r="D1262" s="26"/>
      <c r="E1262" s="26"/>
    </row>
    <row r="1263">
      <c r="D1263" s="26"/>
      <c r="E1263" s="26"/>
    </row>
    <row r="1264">
      <c r="D1264" s="26"/>
      <c r="E1264" s="26"/>
    </row>
    <row r="1265">
      <c r="D1265" s="26"/>
      <c r="E1265" s="26"/>
    </row>
    <row r="1266">
      <c r="D1266" s="26"/>
      <c r="E1266" s="26"/>
    </row>
    <row r="1267">
      <c r="D1267" s="26"/>
      <c r="E1267" s="26"/>
    </row>
    <row r="1268">
      <c r="D1268" s="26"/>
      <c r="E1268" s="26"/>
    </row>
    <row r="1269">
      <c r="D1269" s="26"/>
      <c r="E1269" s="26"/>
    </row>
    <row r="1270">
      <c r="D1270" s="26"/>
      <c r="E1270" s="26"/>
    </row>
    <row r="1271">
      <c r="D1271" s="26"/>
      <c r="E1271" s="26"/>
    </row>
    <row r="1272">
      <c r="D1272" s="26"/>
      <c r="E1272" s="26"/>
    </row>
    <row r="1273">
      <c r="D1273" s="26"/>
      <c r="E1273" s="26"/>
    </row>
    <row r="1274">
      <c r="D1274" s="26"/>
      <c r="E1274" s="26"/>
    </row>
    <row r="1275">
      <c r="D1275" s="26"/>
      <c r="E1275" s="26"/>
    </row>
    <row r="1276">
      <c r="D1276" s="26"/>
      <c r="E1276" s="26"/>
    </row>
    <row r="1277">
      <c r="D1277" s="26"/>
      <c r="E1277" s="26"/>
    </row>
    <row r="1278">
      <c r="D1278" s="26"/>
      <c r="E1278" s="26"/>
    </row>
    <row r="1279">
      <c r="D1279" s="26"/>
      <c r="E1279" s="26"/>
    </row>
    <row r="1280">
      <c r="D1280" s="26"/>
      <c r="E1280" s="26"/>
    </row>
    <row r="1281">
      <c r="D1281" s="26"/>
      <c r="E1281" s="26"/>
    </row>
    <row r="1282">
      <c r="D1282" s="26"/>
      <c r="E1282" s="26"/>
    </row>
    <row r="1283">
      <c r="D1283" s="26"/>
      <c r="E1283" s="26"/>
    </row>
    <row r="1284">
      <c r="D1284" s="26"/>
      <c r="E1284" s="26"/>
    </row>
    <row r="1285">
      <c r="D1285" s="26"/>
      <c r="E1285" s="26"/>
    </row>
    <row r="1286">
      <c r="D1286" s="26"/>
      <c r="E1286" s="26"/>
    </row>
    <row r="1287">
      <c r="D1287" s="26"/>
      <c r="E1287" s="26"/>
    </row>
    <row r="1288">
      <c r="D1288" s="26"/>
      <c r="E1288" s="26"/>
    </row>
    <row r="1289">
      <c r="D1289" s="26"/>
      <c r="E1289" s="26"/>
    </row>
    <row r="1290">
      <c r="D1290" s="26"/>
      <c r="E1290" s="26"/>
    </row>
    <row r="1291">
      <c r="D1291" s="26"/>
      <c r="E1291" s="26"/>
    </row>
    <row r="1292">
      <c r="D1292" s="26"/>
      <c r="E1292" s="26"/>
    </row>
    <row r="1293">
      <c r="D1293" s="26"/>
      <c r="E1293" s="26"/>
    </row>
    <row r="1294">
      <c r="D1294" s="26"/>
      <c r="E1294" s="26"/>
    </row>
    <row r="1295">
      <c r="D1295" s="26"/>
      <c r="E1295" s="26"/>
    </row>
    <row r="1296">
      <c r="D1296" s="26"/>
      <c r="E1296" s="26"/>
    </row>
    <row r="1297">
      <c r="D1297" s="26"/>
      <c r="E1297" s="26"/>
    </row>
    <row r="1298">
      <c r="D1298" s="26"/>
      <c r="E1298" s="26"/>
    </row>
    <row r="1299">
      <c r="D1299" s="26"/>
      <c r="E1299" s="26"/>
    </row>
    <row r="1300">
      <c r="D1300" s="26"/>
      <c r="E1300" s="26"/>
    </row>
    <row r="1301">
      <c r="D1301" s="26"/>
      <c r="E1301" s="26"/>
    </row>
    <row r="1302">
      <c r="D1302" s="26"/>
      <c r="E1302" s="26"/>
    </row>
    <row r="1303">
      <c r="D1303" s="26"/>
      <c r="E1303" s="26"/>
    </row>
    <row r="1304">
      <c r="D1304" s="26"/>
      <c r="E1304" s="26"/>
    </row>
    <row r="1305">
      <c r="D1305" s="26"/>
      <c r="E1305" s="26"/>
    </row>
    <row r="1306">
      <c r="D1306" s="26"/>
      <c r="E1306" s="26"/>
    </row>
    <row r="1307">
      <c r="D1307" s="26"/>
      <c r="E1307" s="26"/>
    </row>
    <row r="1308">
      <c r="D1308" s="26"/>
      <c r="E1308" s="26"/>
    </row>
    <row r="1309">
      <c r="D1309" s="26"/>
      <c r="E1309" s="26"/>
    </row>
    <row r="1310">
      <c r="D1310" s="26"/>
      <c r="E1310" s="26"/>
    </row>
    <row r="1311">
      <c r="D1311" s="26"/>
      <c r="E1311" s="26"/>
    </row>
    <row r="1312">
      <c r="D1312" s="26"/>
      <c r="E1312" s="26"/>
    </row>
    <row r="1313">
      <c r="D1313" s="26"/>
      <c r="E1313" s="26"/>
    </row>
    <row r="1314">
      <c r="D1314" s="26"/>
      <c r="E1314" s="26"/>
    </row>
    <row r="1315">
      <c r="D1315" s="26"/>
      <c r="E1315" s="26"/>
    </row>
    <row r="1316">
      <c r="D1316" s="26"/>
      <c r="E1316" s="26"/>
    </row>
    <row r="1317">
      <c r="D1317" s="26"/>
      <c r="E1317" s="26"/>
    </row>
    <row r="1318">
      <c r="D1318" s="26"/>
      <c r="E1318" s="26"/>
    </row>
    <row r="1319">
      <c r="D1319" s="26"/>
      <c r="E1319" s="26"/>
    </row>
    <row r="1320">
      <c r="D1320" s="26"/>
      <c r="E1320" s="26"/>
    </row>
    <row r="1321">
      <c r="D1321" s="26"/>
      <c r="E1321" s="26"/>
    </row>
    <row r="1322">
      <c r="D1322" s="26"/>
      <c r="E1322" s="26"/>
    </row>
    <row r="1323">
      <c r="D1323" s="26"/>
      <c r="E1323" s="26"/>
    </row>
    <row r="1324">
      <c r="D1324" s="26"/>
      <c r="E1324" s="26"/>
    </row>
    <row r="1325">
      <c r="D1325" s="26"/>
      <c r="E1325" s="26"/>
    </row>
    <row r="1326">
      <c r="D1326" s="26"/>
      <c r="E1326" s="26"/>
    </row>
    <row r="1327">
      <c r="D1327" s="26"/>
      <c r="E1327" s="26"/>
    </row>
    <row r="1328">
      <c r="D1328" s="26"/>
      <c r="E1328" s="26"/>
    </row>
    <row r="1329">
      <c r="D1329" s="26"/>
      <c r="E1329" s="26"/>
    </row>
    <row r="1330">
      <c r="D1330" s="26"/>
      <c r="E1330" s="26"/>
    </row>
    <row r="1331">
      <c r="D1331" s="26"/>
      <c r="E1331" s="26"/>
    </row>
    <row r="1332">
      <c r="D1332" s="26"/>
      <c r="E1332" s="26"/>
    </row>
    <row r="1333">
      <c r="D1333" s="26"/>
      <c r="E1333" s="26"/>
    </row>
    <row r="1334">
      <c r="D1334" s="26"/>
      <c r="E1334" s="26"/>
    </row>
    <row r="1335">
      <c r="D1335" s="26"/>
      <c r="E1335" s="26"/>
    </row>
    <row r="1336">
      <c r="D1336" s="26"/>
      <c r="E1336" s="26"/>
    </row>
    <row r="1337">
      <c r="D1337" s="26"/>
      <c r="E1337" s="26"/>
    </row>
    <row r="1338">
      <c r="D1338" s="26"/>
      <c r="E1338" s="26"/>
    </row>
    <row r="1339">
      <c r="D1339" s="26"/>
      <c r="E1339" s="26"/>
    </row>
    <row r="1340">
      <c r="D1340" s="26"/>
      <c r="E1340" s="26"/>
    </row>
    <row r="1341">
      <c r="D1341" s="26"/>
      <c r="E1341" s="26"/>
    </row>
    <row r="1342">
      <c r="D1342" s="26"/>
      <c r="E1342" s="26"/>
    </row>
    <row r="1343">
      <c r="D1343" s="26"/>
      <c r="E1343" s="26"/>
    </row>
    <row r="1344">
      <c r="D1344" s="26"/>
      <c r="E1344" s="26"/>
    </row>
    <row r="1345">
      <c r="D1345" s="26"/>
      <c r="E1345" s="26"/>
    </row>
    <row r="1346">
      <c r="D1346" s="26"/>
      <c r="E1346" s="26"/>
    </row>
    <row r="1347">
      <c r="D1347" s="26"/>
      <c r="E1347" s="26"/>
    </row>
    <row r="1348">
      <c r="D1348" s="26"/>
      <c r="E1348" s="26"/>
    </row>
    <row r="1349">
      <c r="D1349" s="26"/>
      <c r="E1349" s="26"/>
    </row>
    <row r="1350">
      <c r="D1350" s="26"/>
      <c r="E1350" s="26"/>
    </row>
    <row r="1351">
      <c r="D1351" s="26"/>
      <c r="E1351" s="26"/>
    </row>
    <row r="1352">
      <c r="D1352" s="26"/>
      <c r="E1352" s="26"/>
    </row>
    <row r="1353">
      <c r="D1353" s="26"/>
      <c r="E1353" s="26"/>
    </row>
    <row r="1354">
      <c r="D1354" s="26"/>
      <c r="E1354" s="26"/>
    </row>
    <row r="1355">
      <c r="D1355" s="26"/>
      <c r="E1355" s="26"/>
    </row>
    <row r="1356">
      <c r="D1356" s="26"/>
      <c r="E1356" s="26"/>
    </row>
    <row r="1357">
      <c r="D1357" s="26"/>
      <c r="E1357" s="26"/>
    </row>
    <row r="1358">
      <c r="D1358" s="26"/>
      <c r="E1358" s="26"/>
    </row>
    <row r="1359">
      <c r="D1359" s="26"/>
      <c r="E1359" s="26"/>
    </row>
    <row r="1360">
      <c r="D1360" s="26"/>
      <c r="E1360" s="26"/>
    </row>
    <row r="1361">
      <c r="D1361" s="26"/>
      <c r="E1361" s="26"/>
    </row>
    <row r="1362">
      <c r="D1362" s="26"/>
      <c r="E1362" s="26"/>
    </row>
    <row r="1363">
      <c r="D1363" s="26"/>
      <c r="E1363" s="26"/>
    </row>
    <row r="1364">
      <c r="D1364" s="26"/>
      <c r="E1364" s="26"/>
    </row>
    <row r="1365">
      <c r="D1365" s="26"/>
      <c r="E1365" s="26"/>
    </row>
    <row r="1366">
      <c r="D1366" s="26"/>
      <c r="E1366" s="26"/>
    </row>
    <row r="1367">
      <c r="D1367" s="26"/>
      <c r="E1367" s="26"/>
    </row>
    <row r="1368">
      <c r="D1368" s="26"/>
      <c r="E1368" s="26"/>
    </row>
    <row r="1369">
      <c r="D1369" s="26"/>
      <c r="E1369" s="26"/>
    </row>
    <row r="1370">
      <c r="D1370" s="26"/>
      <c r="E1370" s="26"/>
    </row>
    <row r="1371">
      <c r="D1371" s="26"/>
      <c r="E1371" s="26"/>
    </row>
    <row r="1372">
      <c r="D1372" s="26"/>
      <c r="E1372" s="26"/>
    </row>
    <row r="1373">
      <c r="D1373" s="26"/>
      <c r="E1373" s="26"/>
    </row>
    <row r="1374">
      <c r="D1374" s="26"/>
      <c r="E1374" s="26"/>
    </row>
    <row r="1375">
      <c r="D1375" s="26"/>
      <c r="E1375" s="26"/>
    </row>
    <row r="1376">
      <c r="D1376" s="26"/>
      <c r="E1376" s="26"/>
    </row>
    <row r="1377">
      <c r="D1377" s="26"/>
      <c r="E1377" s="26"/>
    </row>
    <row r="1378">
      <c r="D1378" s="26"/>
      <c r="E1378" s="26"/>
    </row>
    <row r="1379">
      <c r="D1379" s="26"/>
      <c r="E1379" s="26"/>
    </row>
    <row r="1380">
      <c r="D1380" s="26"/>
      <c r="E1380" s="26"/>
    </row>
    <row r="1381">
      <c r="D1381" s="26"/>
      <c r="E1381" s="26"/>
    </row>
    <row r="1382">
      <c r="D1382" s="26"/>
      <c r="E1382" s="26"/>
    </row>
    <row r="1383">
      <c r="D1383" s="26"/>
      <c r="E1383" s="26"/>
    </row>
    <row r="1384">
      <c r="D1384" s="26"/>
      <c r="E1384" s="26"/>
    </row>
    <row r="1385">
      <c r="D1385" s="26"/>
      <c r="E1385" s="26"/>
    </row>
    <row r="1386">
      <c r="D1386" s="26"/>
      <c r="E1386" s="26"/>
    </row>
    <row r="1387">
      <c r="D1387" s="26"/>
      <c r="E1387" s="26"/>
    </row>
    <row r="1388">
      <c r="D1388" s="26"/>
      <c r="E1388" s="26"/>
    </row>
    <row r="1389">
      <c r="D1389" s="26"/>
      <c r="E1389" s="26"/>
    </row>
    <row r="1390">
      <c r="D1390" s="26"/>
      <c r="E1390" s="26"/>
    </row>
    <row r="1391">
      <c r="D1391" s="26"/>
      <c r="E1391" s="26"/>
    </row>
    <row r="1392">
      <c r="D1392" s="26"/>
      <c r="E1392" s="26"/>
    </row>
    <row r="1393">
      <c r="D1393" s="26"/>
      <c r="E1393" s="26"/>
    </row>
    <row r="1394">
      <c r="D1394" s="26"/>
      <c r="E1394" s="26"/>
    </row>
    <row r="1395">
      <c r="D1395" s="26"/>
      <c r="E1395" s="26"/>
    </row>
    <row r="1396">
      <c r="D1396" s="26"/>
      <c r="E1396" s="26"/>
    </row>
    <row r="1397">
      <c r="D1397" s="26"/>
      <c r="E1397" s="26"/>
    </row>
    <row r="1398">
      <c r="D1398" s="26"/>
      <c r="E1398" s="26"/>
    </row>
    <row r="1399">
      <c r="D1399" s="26"/>
      <c r="E1399" s="26"/>
    </row>
    <row r="1400">
      <c r="D1400" s="26"/>
      <c r="E1400" s="26"/>
    </row>
    <row r="1401">
      <c r="D1401" s="26"/>
      <c r="E1401" s="26"/>
    </row>
    <row r="1402">
      <c r="D1402" s="26"/>
      <c r="E1402" s="26"/>
    </row>
    <row r="1403">
      <c r="D1403" s="26"/>
      <c r="E1403" s="26"/>
    </row>
    <row r="1404">
      <c r="D1404" s="26"/>
      <c r="E1404" s="26"/>
    </row>
    <row r="1405">
      <c r="D1405" s="26"/>
      <c r="E1405" s="26"/>
    </row>
    <row r="1406">
      <c r="D1406" s="26"/>
      <c r="E1406" s="26"/>
    </row>
    <row r="1407">
      <c r="D1407" s="26"/>
      <c r="E1407" s="26"/>
    </row>
    <row r="1408">
      <c r="D1408" s="26"/>
      <c r="E1408" s="26"/>
    </row>
    <row r="1409">
      <c r="D1409" s="26"/>
      <c r="E1409" s="26"/>
    </row>
    <row r="1410">
      <c r="D1410" s="26"/>
      <c r="E1410" s="26"/>
    </row>
    <row r="1411">
      <c r="D1411" s="26"/>
      <c r="E1411" s="26"/>
    </row>
    <row r="1412">
      <c r="D1412" s="26"/>
      <c r="E1412" s="26"/>
    </row>
    <row r="1413">
      <c r="D1413" s="26"/>
      <c r="E1413" s="26"/>
    </row>
    <row r="1414">
      <c r="D1414" s="26"/>
      <c r="E1414" s="26"/>
    </row>
    <row r="1415">
      <c r="D1415" s="26"/>
      <c r="E1415" s="26"/>
    </row>
    <row r="1416">
      <c r="D1416" s="26"/>
      <c r="E1416" s="26"/>
    </row>
    <row r="1417">
      <c r="D1417" s="26"/>
      <c r="E1417" s="26"/>
    </row>
    <row r="1418">
      <c r="D1418" s="26"/>
      <c r="E1418" s="26"/>
    </row>
    <row r="1419">
      <c r="D1419" s="26"/>
      <c r="E1419" s="26"/>
    </row>
    <row r="1420">
      <c r="D1420" s="26"/>
      <c r="E1420" s="26"/>
    </row>
    <row r="1421">
      <c r="D1421" s="26"/>
      <c r="E1421" s="26"/>
    </row>
    <row r="1422">
      <c r="D1422" s="26"/>
      <c r="E1422" s="26"/>
    </row>
    <row r="1423">
      <c r="D1423" s="26"/>
      <c r="E1423" s="26"/>
    </row>
    <row r="1424">
      <c r="D1424" s="26"/>
      <c r="E1424" s="26"/>
    </row>
    <row r="1425">
      <c r="D1425" s="26"/>
      <c r="E1425" s="26"/>
    </row>
    <row r="1426">
      <c r="D1426" s="26"/>
      <c r="E1426" s="26"/>
    </row>
    <row r="1427">
      <c r="D1427" s="26"/>
      <c r="E1427" s="26"/>
    </row>
    <row r="1428">
      <c r="D1428" s="26"/>
      <c r="E1428" s="26"/>
    </row>
    <row r="1429">
      <c r="D1429" s="26"/>
      <c r="E1429" s="26"/>
    </row>
    <row r="1430">
      <c r="D1430" s="26"/>
      <c r="E1430" s="26"/>
    </row>
    <row r="1431">
      <c r="D1431" s="26"/>
      <c r="E1431" s="26"/>
    </row>
    <row r="1432">
      <c r="D1432" s="26"/>
      <c r="E1432" s="26"/>
    </row>
    <row r="1433">
      <c r="D1433" s="26"/>
      <c r="E1433" s="26"/>
    </row>
    <row r="1434">
      <c r="D1434" s="26"/>
      <c r="E1434" s="26"/>
    </row>
    <row r="1435">
      <c r="D1435" s="26"/>
      <c r="E1435" s="26"/>
    </row>
    <row r="1436">
      <c r="D1436" s="26"/>
      <c r="E1436" s="26"/>
    </row>
    <row r="1437">
      <c r="D1437" s="26"/>
      <c r="E1437" s="26"/>
    </row>
    <row r="1438">
      <c r="D1438" s="26"/>
      <c r="E1438" s="26"/>
    </row>
    <row r="1439">
      <c r="D1439" s="26"/>
      <c r="E1439" s="26"/>
    </row>
    <row r="1440">
      <c r="D1440" s="26"/>
      <c r="E1440" s="26"/>
    </row>
    <row r="1441">
      <c r="D1441" s="26"/>
      <c r="E1441" s="26"/>
    </row>
    <row r="1442">
      <c r="D1442" s="26"/>
      <c r="E1442" s="26"/>
    </row>
    <row r="1443">
      <c r="D1443" s="26"/>
      <c r="E1443" s="26"/>
    </row>
    <row r="1444">
      <c r="D1444" s="26"/>
      <c r="E1444" s="26"/>
    </row>
    <row r="1445">
      <c r="D1445" s="26"/>
      <c r="E1445" s="26"/>
    </row>
    <row r="1446">
      <c r="D1446" s="26"/>
      <c r="E1446" s="26"/>
    </row>
    <row r="1447">
      <c r="D1447" s="26"/>
      <c r="E1447" s="26"/>
    </row>
    <row r="1448">
      <c r="D1448" s="26"/>
      <c r="E1448" s="26"/>
    </row>
    <row r="1449">
      <c r="D1449" s="26"/>
      <c r="E1449" s="26"/>
    </row>
    <row r="1450">
      <c r="D1450" s="26"/>
      <c r="E1450" s="26"/>
    </row>
    <row r="1451">
      <c r="D1451" s="26"/>
      <c r="E1451" s="26"/>
    </row>
    <row r="1452">
      <c r="D1452" s="26"/>
      <c r="E1452" s="26"/>
    </row>
    <row r="1453">
      <c r="D1453" s="26"/>
      <c r="E1453" s="26"/>
    </row>
    <row r="1454">
      <c r="D1454" s="26"/>
      <c r="E1454" s="26"/>
    </row>
    <row r="1455">
      <c r="D1455" s="26"/>
      <c r="E1455" s="26"/>
    </row>
    <row r="1456">
      <c r="D1456" s="26"/>
      <c r="E1456" s="26"/>
    </row>
    <row r="1457">
      <c r="D1457" s="26"/>
      <c r="E1457" s="26"/>
    </row>
    <row r="1458">
      <c r="D1458" s="26"/>
      <c r="E1458" s="26"/>
    </row>
    <row r="1459">
      <c r="D1459" s="26"/>
      <c r="E1459" s="26"/>
    </row>
    <row r="1460">
      <c r="D1460" s="26"/>
      <c r="E1460" s="26"/>
    </row>
    <row r="1461">
      <c r="D1461" s="26"/>
      <c r="E1461" s="26"/>
    </row>
    <row r="1462">
      <c r="D1462" s="26"/>
      <c r="E1462" s="26"/>
    </row>
    <row r="1463">
      <c r="D1463" s="26"/>
      <c r="E1463" s="26"/>
    </row>
    <row r="1464">
      <c r="D1464" s="26"/>
      <c r="E1464" s="26"/>
    </row>
    <row r="1465">
      <c r="D1465" s="26"/>
      <c r="E1465" s="26"/>
    </row>
    <row r="1466">
      <c r="D1466" s="26"/>
      <c r="E1466" s="26"/>
    </row>
    <row r="1467">
      <c r="D1467" s="26"/>
      <c r="E1467" s="26"/>
    </row>
    <row r="1468">
      <c r="D1468" s="26"/>
      <c r="E1468" s="26"/>
    </row>
    <row r="1469">
      <c r="D1469" s="26"/>
      <c r="E1469" s="26"/>
    </row>
    <row r="1470">
      <c r="D1470" s="26"/>
      <c r="E1470" s="26"/>
    </row>
    <row r="1471">
      <c r="D1471" s="26"/>
      <c r="E1471" s="26"/>
    </row>
    <row r="1472">
      <c r="D1472" s="26"/>
      <c r="E1472" s="26"/>
    </row>
    <row r="1473">
      <c r="D1473" s="26"/>
      <c r="E1473" s="26"/>
    </row>
    <row r="1474">
      <c r="D1474" s="26"/>
      <c r="E1474" s="26"/>
    </row>
    <row r="1475">
      <c r="D1475" s="26"/>
      <c r="E1475" s="26"/>
    </row>
    <row r="1476">
      <c r="D1476" s="26"/>
      <c r="E1476" s="26"/>
    </row>
    <row r="1477">
      <c r="D1477" s="26"/>
      <c r="E1477" s="26"/>
    </row>
    <row r="1478">
      <c r="D1478" s="26"/>
      <c r="E1478" s="26"/>
    </row>
    <row r="1479">
      <c r="D1479" s="26"/>
      <c r="E1479" s="26"/>
    </row>
    <row r="1480">
      <c r="D1480" s="26"/>
      <c r="E1480" s="26"/>
    </row>
    <row r="1481">
      <c r="D1481" s="26"/>
      <c r="E1481" s="26"/>
    </row>
    <row r="1482">
      <c r="D1482" s="26"/>
      <c r="E1482" s="26"/>
    </row>
    <row r="1483">
      <c r="D1483" s="26"/>
      <c r="E1483" s="26"/>
    </row>
    <row r="1484">
      <c r="D1484" s="26"/>
      <c r="E1484" s="26"/>
    </row>
    <row r="1485">
      <c r="D1485" s="26"/>
      <c r="E1485" s="26"/>
    </row>
    <row r="1486">
      <c r="D1486" s="26"/>
      <c r="E1486" s="26"/>
    </row>
    <row r="1487">
      <c r="D1487" s="26"/>
      <c r="E1487" s="26"/>
    </row>
    <row r="1488">
      <c r="D1488" s="26"/>
      <c r="E1488" s="26"/>
    </row>
    <row r="1489">
      <c r="D1489" s="26"/>
      <c r="E1489" s="26"/>
    </row>
    <row r="1490">
      <c r="D1490" s="26"/>
      <c r="E1490" s="26"/>
    </row>
    <row r="1491">
      <c r="D1491" s="26"/>
      <c r="E1491" s="26"/>
    </row>
    <row r="1492">
      <c r="D1492" s="26"/>
      <c r="E1492" s="26"/>
    </row>
    <row r="1493">
      <c r="D1493" s="26"/>
      <c r="E1493" s="26"/>
    </row>
    <row r="1494">
      <c r="D1494" s="26"/>
      <c r="E1494" s="26"/>
    </row>
    <row r="1495">
      <c r="D1495" s="26"/>
      <c r="E1495" s="26"/>
    </row>
    <row r="1496">
      <c r="D1496" s="26"/>
      <c r="E1496" s="26"/>
    </row>
    <row r="1497">
      <c r="D1497" s="26"/>
      <c r="E1497" s="26"/>
    </row>
    <row r="1498">
      <c r="D1498" s="26"/>
      <c r="E1498" s="26"/>
    </row>
    <row r="1499">
      <c r="D1499" s="26"/>
      <c r="E1499" s="26"/>
    </row>
    <row r="1500">
      <c r="D1500" s="26"/>
      <c r="E1500" s="26"/>
    </row>
    <row r="1501">
      <c r="D1501" s="26"/>
      <c r="E1501" s="26"/>
    </row>
    <row r="1502">
      <c r="D1502" s="26"/>
      <c r="E1502" s="26"/>
    </row>
    <row r="1503">
      <c r="D1503" s="26"/>
      <c r="E1503" s="26"/>
    </row>
    <row r="1504">
      <c r="D1504" s="26"/>
      <c r="E1504" s="26"/>
    </row>
    <row r="1505">
      <c r="D1505" s="26"/>
      <c r="E1505" s="26"/>
    </row>
    <row r="1506">
      <c r="D1506" s="26"/>
      <c r="E1506" s="26"/>
    </row>
    <row r="1507">
      <c r="D1507" s="26"/>
      <c r="E1507" s="26"/>
    </row>
    <row r="1508">
      <c r="D1508" s="26"/>
      <c r="E1508" s="26"/>
    </row>
    <row r="1509">
      <c r="D1509" s="26"/>
      <c r="E1509" s="26"/>
    </row>
    <row r="1510">
      <c r="D1510" s="26"/>
      <c r="E1510" s="26"/>
    </row>
    <row r="1511">
      <c r="D1511" s="26"/>
      <c r="E1511" s="26"/>
    </row>
    <row r="1512">
      <c r="D1512" s="26"/>
      <c r="E1512" s="26"/>
    </row>
    <row r="1513">
      <c r="D1513" s="26"/>
      <c r="E1513" s="26"/>
    </row>
    <row r="1514">
      <c r="D1514" s="26"/>
      <c r="E1514" s="26"/>
    </row>
    <row r="1515">
      <c r="D1515" s="26"/>
      <c r="E1515" s="26"/>
    </row>
    <row r="1516">
      <c r="D1516" s="26"/>
      <c r="E1516" s="26"/>
    </row>
    <row r="1517">
      <c r="D1517" s="26"/>
      <c r="E1517" s="26"/>
    </row>
    <row r="1518">
      <c r="D1518" s="26"/>
      <c r="E1518" s="26"/>
    </row>
    <row r="1519">
      <c r="D1519" s="26"/>
      <c r="E1519" s="26"/>
    </row>
    <row r="1520">
      <c r="D1520" s="26"/>
      <c r="E1520" s="26"/>
    </row>
    <row r="1521">
      <c r="D1521" s="26"/>
      <c r="E1521" s="26"/>
    </row>
    <row r="1522">
      <c r="D1522" s="26"/>
      <c r="E1522" s="26"/>
    </row>
    <row r="1523">
      <c r="D1523" s="26"/>
      <c r="E1523" s="26"/>
    </row>
    <row r="1524">
      <c r="D1524" s="26"/>
      <c r="E1524" s="26"/>
    </row>
    <row r="1525">
      <c r="D1525" s="26"/>
      <c r="E1525" s="26"/>
    </row>
    <row r="1526">
      <c r="D1526" s="26"/>
      <c r="E1526" s="26"/>
    </row>
    <row r="1527">
      <c r="D1527" s="26"/>
      <c r="E1527" s="26"/>
    </row>
    <row r="1528">
      <c r="D1528" s="26"/>
      <c r="E1528" s="26"/>
    </row>
    <row r="1529">
      <c r="D1529" s="26"/>
      <c r="E1529" s="26"/>
    </row>
    <row r="1530">
      <c r="D1530" s="26"/>
      <c r="E1530" s="26"/>
    </row>
    <row r="1531">
      <c r="D1531" s="26"/>
      <c r="E1531" s="26"/>
    </row>
    <row r="1532">
      <c r="D1532" s="26"/>
      <c r="E1532" s="26"/>
    </row>
    <row r="1533">
      <c r="D1533" s="26"/>
      <c r="E1533" s="26"/>
    </row>
    <row r="1534">
      <c r="D1534" s="26"/>
      <c r="E1534" s="26"/>
    </row>
    <row r="1535">
      <c r="D1535" s="26"/>
      <c r="E1535" s="26"/>
    </row>
    <row r="1536">
      <c r="D1536" s="26"/>
      <c r="E1536" s="26"/>
    </row>
    <row r="1537">
      <c r="D1537" s="26"/>
      <c r="E1537" s="26"/>
    </row>
    <row r="1538">
      <c r="D1538" s="26"/>
      <c r="E1538" s="26"/>
    </row>
    <row r="1539">
      <c r="D1539" s="26"/>
      <c r="E1539" s="26"/>
    </row>
    <row r="1540">
      <c r="D1540" s="26"/>
      <c r="E1540" s="26"/>
    </row>
    <row r="1541">
      <c r="D1541" s="26"/>
      <c r="E1541" s="26"/>
    </row>
    <row r="1542">
      <c r="D1542" s="26"/>
      <c r="E1542" s="26"/>
    </row>
    <row r="1543">
      <c r="D1543" s="26"/>
      <c r="E1543" s="26"/>
    </row>
    <row r="1544">
      <c r="D1544" s="26"/>
      <c r="E1544" s="26"/>
    </row>
    <row r="1545">
      <c r="D1545" s="26"/>
      <c r="E1545" s="26"/>
    </row>
    <row r="1546">
      <c r="D1546" s="26"/>
      <c r="E1546" s="26"/>
    </row>
    <row r="1547">
      <c r="D1547" s="26"/>
      <c r="E1547" s="26"/>
    </row>
    <row r="1548">
      <c r="D1548" s="26"/>
      <c r="E1548" s="26"/>
    </row>
    <row r="1549">
      <c r="D1549" s="26"/>
      <c r="E1549" s="26"/>
    </row>
    <row r="1550">
      <c r="D1550" s="26"/>
      <c r="E1550" s="26"/>
    </row>
    <row r="1551">
      <c r="D1551" s="26"/>
      <c r="E1551" s="26"/>
    </row>
    <row r="1552">
      <c r="D1552" s="26"/>
      <c r="E1552" s="26"/>
    </row>
    <row r="1553">
      <c r="D1553" s="26"/>
      <c r="E1553" s="26"/>
    </row>
    <row r="1554">
      <c r="D1554" s="26"/>
      <c r="E1554" s="26"/>
    </row>
    <row r="1555">
      <c r="D1555" s="26"/>
      <c r="E1555" s="26"/>
    </row>
    <row r="1556">
      <c r="D1556" s="26"/>
      <c r="E1556" s="26"/>
    </row>
    <row r="1557">
      <c r="D1557" s="26"/>
      <c r="E1557" s="26"/>
    </row>
    <row r="1558">
      <c r="D1558" s="26"/>
      <c r="E1558" s="26"/>
    </row>
    <row r="1559">
      <c r="D1559" s="26"/>
      <c r="E1559" s="26"/>
    </row>
    <row r="1560">
      <c r="D1560" s="26"/>
      <c r="E1560" s="26"/>
    </row>
    <row r="1561">
      <c r="D1561" s="26"/>
      <c r="E1561" s="26"/>
    </row>
    <row r="1562">
      <c r="D1562" s="26"/>
      <c r="E1562" s="26"/>
    </row>
    <row r="1563">
      <c r="D1563" s="26"/>
      <c r="E1563" s="26"/>
    </row>
    <row r="1564">
      <c r="D1564" s="26"/>
      <c r="E1564" s="26"/>
    </row>
    <row r="1565">
      <c r="D1565" s="26"/>
      <c r="E1565" s="26"/>
    </row>
    <row r="1566">
      <c r="D1566" s="26"/>
      <c r="E1566" s="26"/>
    </row>
    <row r="1567">
      <c r="D1567" s="26"/>
      <c r="E1567" s="26"/>
    </row>
    <row r="1568">
      <c r="D1568" s="26"/>
      <c r="E1568" s="26"/>
    </row>
    <row r="1569">
      <c r="D1569" s="26"/>
      <c r="E1569" s="26"/>
    </row>
    <row r="1570">
      <c r="D1570" s="26"/>
      <c r="E1570" s="26"/>
    </row>
    <row r="1571">
      <c r="D1571" s="26"/>
      <c r="E1571" s="26"/>
    </row>
    <row r="1572">
      <c r="D1572" s="26"/>
      <c r="E1572" s="26"/>
    </row>
    <row r="1573">
      <c r="D1573" s="26"/>
      <c r="E1573" s="26"/>
    </row>
    <row r="1574">
      <c r="D1574" s="26"/>
      <c r="E1574" s="26"/>
    </row>
    <row r="1575">
      <c r="D1575" s="26"/>
      <c r="E1575" s="26"/>
    </row>
    <row r="1576">
      <c r="D1576" s="26"/>
      <c r="E1576" s="26"/>
    </row>
    <row r="1577">
      <c r="D1577" s="26"/>
      <c r="E1577" s="26"/>
    </row>
    <row r="1578">
      <c r="D1578" s="26"/>
      <c r="E1578" s="26"/>
    </row>
    <row r="1579">
      <c r="D1579" s="26"/>
      <c r="E1579" s="26"/>
    </row>
    <row r="1580">
      <c r="D1580" s="26"/>
      <c r="E1580" s="26"/>
    </row>
    <row r="1581">
      <c r="D1581" s="26"/>
      <c r="E1581" s="26"/>
    </row>
    <row r="1582">
      <c r="D1582" s="26"/>
      <c r="E1582" s="26"/>
    </row>
    <row r="1583">
      <c r="D1583" s="26"/>
      <c r="E1583" s="26"/>
    </row>
    <row r="1584">
      <c r="D1584" s="26"/>
      <c r="E1584" s="26"/>
    </row>
    <row r="1585">
      <c r="D1585" s="26"/>
      <c r="E1585" s="26"/>
    </row>
    <row r="1586">
      <c r="D1586" s="26"/>
      <c r="E1586" s="26"/>
    </row>
    <row r="1587">
      <c r="D1587" s="26"/>
      <c r="E1587" s="26"/>
    </row>
    <row r="1588">
      <c r="D1588" s="26"/>
      <c r="E1588" s="26"/>
    </row>
    <row r="1589">
      <c r="D1589" s="26"/>
      <c r="E1589" s="26"/>
    </row>
    <row r="1590">
      <c r="D1590" s="26"/>
      <c r="E1590" s="26"/>
    </row>
    <row r="1591">
      <c r="D1591" s="26"/>
      <c r="E1591" s="26"/>
    </row>
    <row r="1592">
      <c r="D1592" s="26"/>
      <c r="E1592" s="26"/>
    </row>
    <row r="1593">
      <c r="D1593" s="26"/>
      <c r="E1593" s="26"/>
    </row>
    <row r="1594">
      <c r="D1594" s="26"/>
      <c r="E1594" s="26"/>
    </row>
    <row r="1595">
      <c r="D1595" s="26"/>
      <c r="E1595" s="26"/>
    </row>
    <row r="1596">
      <c r="D1596" s="26"/>
      <c r="E1596" s="26"/>
    </row>
    <row r="1597">
      <c r="D1597" s="26"/>
      <c r="E1597" s="26"/>
    </row>
    <row r="1598">
      <c r="D1598" s="26"/>
      <c r="E1598" s="26"/>
    </row>
    <row r="1599">
      <c r="D1599" s="26"/>
      <c r="E1599" s="26"/>
    </row>
    <row r="1600">
      <c r="D1600" s="26"/>
      <c r="E1600" s="26"/>
    </row>
    <row r="1601">
      <c r="D1601" s="26"/>
      <c r="E1601" s="26"/>
    </row>
    <row r="1602">
      <c r="D1602" s="26"/>
      <c r="E1602" s="26"/>
    </row>
    <row r="1603">
      <c r="D1603" s="26"/>
      <c r="E1603" s="26"/>
    </row>
    <row r="1604">
      <c r="D1604" s="26"/>
      <c r="E1604" s="26"/>
    </row>
    <row r="1605">
      <c r="D1605" s="26"/>
      <c r="E1605" s="26"/>
    </row>
    <row r="1606">
      <c r="D1606" s="26"/>
      <c r="E1606" s="26"/>
    </row>
    <row r="1607">
      <c r="D1607" s="26"/>
      <c r="E1607" s="26"/>
    </row>
    <row r="1608">
      <c r="D1608" s="26"/>
      <c r="E1608" s="26"/>
    </row>
    <row r="1609">
      <c r="D1609" s="26"/>
      <c r="E1609" s="26"/>
    </row>
    <row r="1610">
      <c r="D1610" s="26"/>
      <c r="E1610" s="26"/>
    </row>
    <row r="1611">
      <c r="D1611" s="26"/>
      <c r="E1611" s="26"/>
    </row>
    <row r="1612">
      <c r="D1612" s="26"/>
      <c r="E1612" s="26"/>
    </row>
    <row r="1613">
      <c r="D1613" s="26"/>
      <c r="E1613" s="26"/>
    </row>
    <row r="1614">
      <c r="D1614" s="26"/>
      <c r="E1614" s="26"/>
    </row>
    <row r="1615">
      <c r="D1615" s="26"/>
      <c r="E1615" s="26"/>
    </row>
    <row r="1616">
      <c r="D1616" s="26"/>
      <c r="E1616" s="26"/>
    </row>
    <row r="1617">
      <c r="D1617" s="26"/>
      <c r="E1617" s="26"/>
    </row>
    <row r="1618">
      <c r="D1618" s="26"/>
      <c r="E1618" s="26"/>
    </row>
    <row r="1619">
      <c r="D1619" s="26"/>
      <c r="E1619" s="26"/>
    </row>
    <row r="1620">
      <c r="D1620" s="26"/>
      <c r="E1620" s="26"/>
    </row>
    <row r="1621">
      <c r="D1621" s="26"/>
      <c r="E1621" s="26"/>
    </row>
    <row r="1622">
      <c r="D1622" s="26"/>
      <c r="E1622" s="26"/>
    </row>
    <row r="1623">
      <c r="D1623" s="26"/>
      <c r="E1623" s="26"/>
    </row>
    <row r="1624">
      <c r="D1624" s="26"/>
      <c r="E1624" s="26"/>
    </row>
    <row r="1625">
      <c r="D1625" s="26"/>
      <c r="E1625" s="26"/>
    </row>
    <row r="1626">
      <c r="D1626" s="26"/>
      <c r="E1626" s="26"/>
    </row>
    <row r="1627">
      <c r="D1627" s="26"/>
      <c r="E1627" s="26"/>
    </row>
    <row r="1628">
      <c r="D1628" s="26"/>
      <c r="E1628" s="26"/>
    </row>
    <row r="1629">
      <c r="D1629" s="26"/>
      <c r="E1629" s="26"/>
    </row>
    <row r="1630">
      <c r="D1630" s="26"/>
      <c r="E1630" s="26"/>
    </row>
    <row r="1631">
      <c r="D1631" s="26"/>
      <c r="E1631" s="26"/>
    </row>
    <row r="1632">
      <c r="D1632" s="26"/>
      <c r="E1632" s="26"/>
    </row>
    <row r="1633">
      <c r="D1633" s="26"/>
      <c r="E1633" s="26"/>
    </row>
    <row r="1634">
      <c r="D1634" s="26"/>
      <c r="E1634" s="26"/>
    </row>
    <row r="1635">
      <c r="D1635" s="26"/>
      <c r="E1635" s="26"/>
    </row>
    <row r="1636">
      <c r="D1636" s="26"/>
      <c r="E1636" s="26"/>
    </row>
    <row r="1637">
      <c r="D1637" s="26"/>
      <c r="E1637" s="26"/>
    </row>
    <row r="1638">
      <c r="D1638" s="26"/>
      <c r="E1638" s="26"/>
    </row>
    <row r="1639">
      <c r="D1639" s="26"/>
      <c r="E1639" s="26"/>
    </row>
    <row r="1640">
      <c r="D1640" s="26"/>
      <c r="E1640" s="26"/>
    </row>
    <row r="1641">
      <c r="D1641" s="26"/>
      <c r="E1641" s="26"/>
    </row>
    <row r="1642">
      <c r="D1642" s="26"/>
      <c r="E1642" s="26"/>
    </row>
    <row r="1643">
      <c r="D1643" s="26"/>
      <c r="E1643" s="26"/>
    </row>
    <row r="1644">
      <c r="D1644" s="26"/>
      <c r="E1644" s="26"/>
    </row>
    <row r="1645">
      <c r="D1645" s="26"/>
      <c r="E1645" s="26"/>
    </row>
    <row r="1646">
      <c r="D1646" s="26"/>
      <c r="E1646" s="26"/>
    </row>
    <row r="1647">
      <c r="D1647" s="26"/>
      <c r="E1647" s="26"/>
    </row>
    <row r="1648">
      <c r="D1648" s="26"/>
      <c r="E1648" s="26"/>
    </row>
    <row r="1649">
      <c r="D1649" s="26"/>
      <c r="E1649" s="26"/>
    </row>
    <row r="1650">
      <c r="D1650" s="26"/>
      <c r="E1650" s="26"/>
    </row>
    <row r="1651">
      <c r="D1651" s="26"/>
      <c r="E1651" s="26"/>
    </row>
    <row r="1652">
      <c r="D1652" s="26"/>
      <c r="E1652" s="26"/>
    </row>
    <row r="1653">
      <c r="D1653" s="26"/>
      <c r="E1653" s="26"/>
    </row>
    <row r="1654">
      <c r="D1654" s="26"/>
      <c r="E1654" s="26"/>
    </row>
    <row r="1655">
      <c r="D1655" s="26"/>
      <c r="E1655" s="26"/>
    </row>
    <row r="1656">
      <c r="D1656" s="26"/>
      <c r="E1656" s="26"/>
    </row>
    <row r="1657">
      <c r="D1657" s="26"/>
      <c r="E1657" s="26"/>
    </row>
    <row r="1658">
      <c r="D1658" s="26"/>
      <c r="E1658" s="26"/>
    </row>
    <row r="1659">
      <c r="D1659" s="26"/>
      <c r="E1659" s="26"/>
    </row>
    <row r="1660">
      <c r="D1660" s="26"/>
      <c r="E1660" s="26"/>
    </row>
    <row r="1661">
      <c r="D1661" s="26"/>
      <c r="E1661" s="26"/>
    </row>
    <row r="1662">
      <c r="D1662" s="26"/>
      <c r="E1662" s="26"/>
    </row>
    <row r="1663">
      <c r="D1663" s="26"/>
      <c r="E1663" s="26"/>
    </row>
    <row r="1664">
      <c r="D1664" s="26"/>
      <c r="E1664" s="26"/>
    </row>
    <row r="1665">
      <c r="D1665" s="26"/>
      <c r="E1665" s="26"/>
    </row>
    <row r="1666">
      <c r="D1666" s="26"/>
      <c r="E1666" s="26"/>
    </row>
    <row r="1667">
      <c r="D1667" s="26"/>
      <c r="E1667" s="26"/>
    </row>
    <row r="1668">
      <c r="D1668" s="26"/>
      <c r="E1668" s="26"/>
    </row>
    <row r="1669">
      <c r="D1669" s="26"/>
      <c r="E1669" s="26"/>
    </row>
    <row r="1670">
      <c r="D1670" s="26"/>
      <c r="E1670" s="26"/>
    </row>
    <row r="1671">
      <c r="D1671" s="26"/>
      <c r="E1671" s="26"/>
    </row>
    <row r="1672">
      <c r="D1672" s="26"/>
      <c r="E1672" s="26"/>
    </row>
    <row r="1673">
      <c r="D1673" s="26"/>
      <c r="E1673" s="26"/>
    </row>
    <row r="1674">
      <c r="D1674" s="26"/>
      <c r="E1674" s="26"/>
    </row>
    <row r="1675">
      <c r="D1675" s="26"/>
      <c r="E1675" s="26"/>
    </row>
    <row r="1676">
      <c r="D1676" s="26"/>
      <c r="E1676" s="26"/>
    </row>
    <row r="1677">
      <c r="D1677" s="26"/>
      <c r="E1677" s="26"/>
    </row>
    <row r="1678">
      <c r="D1678" s="26"/>
      <c r="E1678" s="26"/>
    </row>
    <row r="1679">
      <c r="D1679" s="26"/>
      <c r="E1679" s="26"/>
    </row>
    <row r="1680">
      <c r="D1680" s="26"/>
      <c r="E1680" s="26"/>
    </row>
    <row r="1681">
      <c r="D1681" s="26"/>
      <c r="E1681" s="26"/>
    </row>
    <row r="1682">
      <c r="D1682" s="26"/>
      <c r="E1682" s="26"/>
    </row>
    <row r="1683">
      <c r="D1683" s="26"/>
      <c r="E1683" s="26"/>
    </row>
    <row r="1684">
      <c r="D1684" s="26"/>
      <c r="E1684" s="26"/>
    </row>
    <row r="1685">
      <c r="D1685" s="26"/>
      <c r="E1685" s="26"/>
    </row>
    <row r="1686">
      <c r="D1686" s="26"/>
      <c r="E1686" s="26"/>
    </row>
    <row r="1687">
      <c r="D1687" s="26"/>
      <c r="E1687" s="26"/>
    </row>
    <row r="1688">
      <c r="D1688" s="26"/>
      <c r="E1688" s="26"/>
    </row>
    <row r="1689">
      <c r="D1689" s="26"/>
      <c r="E1689" s="26"/>
    </row>
    <row r="1690">
      <c r="D1690" s="26"/>
      <c r="E1690" s="26"/>
    </row>
    <row r="1691">
      <c r="D1691" s="26"/>
      <c r="E1691" s="26"/>
    </row>
    <row r="1692">
      <c r="D1692" s="26"/>
      <c r="E1692" s="26"/>
    </row>
    <row r="1693">
      <c r="D1693" s="26"/>
      <c r="E1693" s="26"/>
    </row>
    <row r="1694">
      <c r="D1694" s="26"/>
      <c r="E1694" s="26"/>
    </row>
    <row r="1695">
      <c r="D1695" s="26"/>
      <c r="E1695" s="26"/>
    </row>
    <row r="1696">
      <c r="D1696" s="26"/>
      <c r="E1696" s="26"/>
    </row>
    <row r="1697">
      <c r="D1697" s="26"/>
      <c r="E1697" s="26"/>
    </row>
    <row r="1698">
      <c r="D1698" s="26"/>
      <c r="E1698" s="26"/>
    </row>
    <row r="1699">
      <c r="D1699" s="26"/>
      <c r="E1699" s="26"/>
    </row>
    <row r="1700">
      <c r="D1700" s="26"/>
      <c r="E1700" s="26"/>
    </row>
    <row r="1701">
      <c r="D1701" s="26"/>
      <c r="E1701" s="26"/>
    </row>
    <row r="1702">
      <c r="D1702" s="26"/>
      <c r="E1702" s="26"/>
    </row>
    <row r="1703">
      <c r="D1703" s="26"/>
      <c r="E1703" s="26"/>
    </row>
    <row r="1704">
      <c r="D1704" s="26"/>
      <c r="E1704" s="26"/>
    </row>
    <row r="1705">
      <c r="D1705" s="26"/>
      <c r="E1705" s="26"/>
    </row>
    <row r="1706">
      <c r="D1706" s="26"/>
      <c r="E1706" s="26"/>
    </row>
    <row r="1707">
      <c r="D1707" s="26"/>
      <c r="E1707" s="26"/>
    </row>
    <row r="1708">
      <c r="D1708" s="26"/>
      <c r="E1708" s="26"/>
    </row>
    <row r="1709">
      <c r="D1709" s="26"/>
      <c r="E1709" s="26"/>
    </row>
    <row r="1710">
      <c r="D1710" s="26"/>
      <c r="E1710" s="26"/>
    </row>
    <row r="1711">
      <c r="D1711" s="26"/>
      <c r="E1711" s="26"/>
    </row>
    <row r="1712">
      <c r="D1712" s="26"/>
      <c r="E1712" s="26"/>
    </row>
    <row r="1713">
      <c r="D1713" s="26"/>
      <c r="E1713" s="26"/>
    </row>
    <row r="1714">
      <c r="D1714" s="26"/>
      <c r="E1714" s="26"/>
    </row>
    <row r="1715">
      <c r="D1715" s="26"/>
      <c r="E1715" s="26"/>
    </row>
    <row r="1716">
      <c r="D1716" s="26"/>
      <c r="E1716" s="26"/>
    </row>
    <row r="1717">
      <c r="D1717" s="26"/>
      <c r="E1717" s="26"/>
    </row>
    <row r="1718">
      <c r="D1718" s="26"/>
      <c r="E1718" s="26"/>
    </row>
    <row r="1719">
      <c r="D1719" s="26"/>
      <c r="E1719" s="26"/>
    </row>
    <row r="1720">
      <c r="D1720" s="26"/>
      <c r="E1720" s="26"/>
    </row>
    <row r="1721">
      <c r="D1721" s="26"/>
      <c r="E1721" s="26"/>
    </row>
    <row r="1722">
      <c r="D1722" s="26"/>
      <c r="E1722" s="26"/>
    </row>
    <row r="1723">
      <c r="D1723" s="26"/>
      <c r="E1723" s="26"/>
    </row>
    <row r="1724">
      <c r="D1724" s="26"/>
      <c r="E1724" s="26"/>
    </row>
    <row r="1725">
      <c r="D1725" s="26"/>
      <c r="E1725" s="26"/>
    </row>
    <row r="1726">
      <c r="D1726" s="26"/>
      <c r="E1726" s="26"/>
    </row>
    <row r="1727">
      <c r="D1727" s="26"/>
      <c r="E1727" s="26"/>
    </row>
    <row r="1728">
      <c r="D1728" s="26"/>
      <c r="E1728" s="26"/>
    </row>
    <row r="1729">
      <c r="D1729" s="26"/>
      <c r="E1729" s="26"/>
    </row>
    <row r="1730">
      <c r="D1730" s="26"/>
      <c r="E1730" s="26"/>
    </row>
    <row r="1731">
      <c r="D1731" s="26"/>
      <c r="E1731" s="26"/>
    </row>
    <row r="1732">
      <c r="D1732" s="26"/>
      <c r="E1732" s="26"/>
    </row>
    <row r="1733">
      <c r="D1733" s="26"/>
      <c r="E1733" s="26"/>
    </row>
    <row r="1734">
      <c r="D1734" s="26"/>
      <c r="E1734" s="26"/>
    </row>
    <row r="1735">
      <c r="D1735" s="26"/>
      <c r="E1735" s="26"/>
    </row>
    <row r="1736">
      <c r="D1736" s="26"/>
      <c r="E1736" s="26"/>
    </row>
    <row r="1737">
      <c r="D1737" s="26"/>
      <c r="E1737" s="26"/>
    </row>
    <row r="1738">
      <c r="D1738" s="26"/>
      <c r="E1738" s="26"/>
    </row>
    <row r="1739">
      <c r="D1739" s="26"/>
      <c r="E1739" s="26"/>
    </row>
    <row r="1740">
      <c r="D1740" s="26"/>
      <c r="E1740" s="26"/>
    </row>
    <row r="1741">
      <c r="D1741" s="26"/>
      <c r="E1741" s="26"/>
    </row>
    <row r="1742">
      <c r="D1742" s="26"/>
      <c r="E1742" s="26"/>
    </row>
    <row r="1743">
      <c r="D1743" s="26"/>
      <c r="E1743" s="26"/>
    </row>
    <row r="1744">
      <c r="D1744" s="26"/>
      <c r="E1744" s="26"/>
    </row>
    <row r="1745">
      <c r="D1745" s="26"/>
      <c r="E1745" s="26"/>
    </row>
    <row r="1746">
      <c r="D1746" s="26"/>
      <c r="E1746" s="26"/>
    </row>
    <row r="1747">
      <c r="D1747" s="26"/>
      <c r="E1747" s="26"/>
    </row>
    <row r="1748">
      <c r="D1748" s="26"/>
      <c r="E1748" s="26"/>
    </row>
    <row r="1749">
      <c r="D1749" s="26"/>
      <c r="E1749" s="26"/>
    </row>
    <row r="1750">
      <c r="D1750" s="26"/>
      <c r="E1750" s="26"/>
    </row>
    <row r="1751">
      <c r="D1751" s="26"/>
      <c r="E1751" s="26"/>
    </row>
    <row r="1752">
      <c r="D1752" s="26"/>
      <c r="E1752" s="26"/>
    </row>
    <row r="1753">
      <c r="D1753" s="26"/>
      <c r="E1753" s="26"/>
    </row>
    <row r="1754">
      <c r="D1754" s="26"/>
      <c r="E1754" s="26"/>
    </row>
    <row r="1755">
      <c r="D1755" s="26"/>
      <c r="E1755" s="26"/>
    </row>
    <row r="1756">
      <c r="D1756" s="26"/>
      <c r="E1756" s="26"/>
    </row>
    <row r="1757">
      <c r="D1757" s="26"/>
      <c r="E1757" s="26"/>
    </row>
    <row r="1758">
      <c r="D1758" s="26"/>
      <c r="E1758" s="26"/>
    </row>
    <row r="1759">
      <c r="D1759" s="26"/>
      <c r="E1759" s="26"/>
    </row>
    <row r="1760">
      <c r="D1760" s="26"/>
      <c r="E1760" s="26"/>
    </row>
    <row r="1761">
      <c r="D1761" s="26"/>
      <c r="E1761" s="26"/>
    </row>
    <row r="1762">
      <c r="D1762" s="26"/>
      <c r="E1762" s="26"/>
    </row>
    <row r="1763">
      <c r="D1763" s="26"/>
      <c r="E1763" s="26"/>
    </row>
    <row r="1764">
      <c r="D1764" s="26"/>
      <c r="E1764" s="26"/>
    </row>
    <row r="1765">
      <c r="D1765" s="26"/>
      <c r="E1765" s="26"/>
    </row>
    <row r="1766">
      <c r="D1766" s="26"/>
      <c r="E1766" s="26"/>
    </row>
    <row r="1767">
      <c r="D1767" s="26"/>
      <c r="E1767" s="26"/>
    </row>
    <row r="1768">
      <c r="D1768" s="26"/>
      <c r="E1768" s="26"/>
    </row>
    <row r="1769">
      <c r="D1769" s="26"/>
      <c r="E1769" s="26"/>
    </row>
    <row r="1770">
      <c r="D1770" s="26"/>
      <c r="E1770" s="26"/>
    </row>
    <row r="1771">
      <c r="D1771" s="26"/>
      <c r="E1771" s="26"/>
    </row>
    <row r="1772">
      <c r="D1772" s="26"/>
      <c r="E1772" s="26"/>
    </row>
    <row r="1773">
      <c r="D1773" s="26"/>
      <c r="E1773" s="26"/>
    </row>
    <row r="1774">
      <c r="D1774" s="26"/>
      <c r="E1774" s="26"/>
    </row>
    <row r="1775">
      <c r="D1775" s="26"/>
      <c r="E1775" s="26"/>
    </row>
    <row r="1776">
      <c r="D1776" s="26"/>
      <c r="E1776" s="26"/>
    </row>
    <row r="1777">
      <c r="D1777" s="26"/>
      <c r="E1777" s="26"/>
    </row>
    <row r="1778">
      <c r="D1778" s="26"/>
      <c r="E1778" s="26"/>
    </row>
    <row r="1779">
      <c r="D1779" s="26"/>
      <c r="E1779" s="26"/>
    </row>
    <row r="1780">
      <c r="D1780" s="26"/>
      <c r="E1780" s="26"/>
    </row>
    <row r="1781">
      <c r="D1781" s="26"/>
      <c r="E1781" s="26"/>
    </row>
    <row r="1782">
      <c r="D1782" s="26"/>
      <c r="E1782" s="26"/>
    </row>
    <row r="1783">
      <c r="D1783" s="26"/>
      <c r="E1783" s="26"/>
    </row>
    <row r="1784">
      <c r="D1784" s="26"/>
      <c r="E1784" s="26"/>
    </row>
    <row r="1785">
      <c r="D1785" s="26"/>
      <c r="E1785" s="26"/>
    </row>
    <row r="1786">
      <c r="D1786" s="26"/>
      <c r="E1786" s="26"/>
    </row>
    <row r="1787">
      <c r="D1787" s="26"/>
      <c r="E1787" s="26"/>
    </row>
    <row r="1788">
      <c r="D1788" s="26"/>
      <c r="E1788" s="26"/>
    </row>
    <row r="1789">
      <c r="D1789" s="26"/>
      <c r="E1789" s="26"/>
    </row>
    <row r="1790">
      <c r="D1790" s="26"/>
      <c r="E1790" s="26"/>
    </row>
    <row r="1791">
      <c r="D1791" s="26"/>
      <c r="E1791" s="26"/>
    </row>
    <row r="1792">
      <c r="D1792" s="26"/>
      <c r="E1792" s="26"/>
    </row>
    <row r="1793">
      <c r="D1793" s="26"/>
      <c r="E1793" s="26"/>
    </row>
    <row r="1794">
      <c r="D1794" s="26"/>
      <c r="E1794" s="26"/>
    </row>
    <row r="1795">
      <c r="D1795" s="26"/>
      <c r="E1795" s="26"/>
    </row>
    <row r="1796">
      <c r="D1796" s="26"/>
      <c r="E1796" s="26"/>
    </row>
    <row r="1797">
      <c r="D1797" s="26"/>
      <c r="E1797" s="26"/>
    </row>
    <row r="1798">
      <c r="D1798" s="26"/>
      <c r="E1798" s="26"/>
    </row>
    <row r="1799">
      <c r="D1799" s="26"/>
      <c r="E1799" s="26"/>
    </row>
    <row r="1800">
      <c r="D1800" s="26"/>
      <c r="E1800" s="26"/>
    </row>
    <row r="1801">
      <c r="D1801" s="26"/>
      <c r="E1801" s="26"/>
    </row>
    <row r="1802">
      <c r="D1802" s="26"/>
      <c r="E1802" s="26"/>
    </row>
    <row r="1803">
      <c r="D1803" s="26"/>
      <c r="E1803" s="26"/>
    </row>
    <row r="1804">
      <c r="D1804" s="26"/>
      <c r="E1804" s="26"/>
    </row>
    <row r="1805">
      <c r="D1805" s="26"/>
      <c r="E1805" s="26"/>
    </row>
    <row r="1806">
      <c r="D1806" s="26"/>
      <c r="E1806" s="26"/>
    </row>
    <row r="1807">
      <c r="D1807" s="26"/>
      <c r="E1807" s="26"/>
    </row>
    <row r="1808">
      <c r="D1808" s="26"/>
      <c r="E1808" s="26"/>
    </row>
    <row r="1809">
      <c r="D1809" s="26"/>
      <c r="E1809" s="26"/>
    </row>
    <row r="1810">
      <c r="D1810" s="26"/>
      <c r="E1810" s="26"/>
    </row>
    <row r="1811">
      <c r="D1811" s="26"/>
      <c r="E1811" s="26"/>
    </row>
    <row r="1812">
      <c r="D1812" s="26"/>
      <c r="E1812" s="26"/>
    </row>
    <row r="1813">
      <c r="D1813" s="26"/>
      <c r="E1813" s="26"/>
    </row>
    <row r="1814">
      <c r="D1814" s="26"/>
      <c r="E1814" s="26"/>
    </row>
    <row r="1815">
      <c r="D1815" s="26"/>
      <c r="E1815" s="26"/>
    </row>
    <row r="1816">
      <c r="D1816" s="26"/>
      <c r="E1816" s="26"/>
    </row>
    <row r="1817">
      <c r="D1817" s="26"/>
      <c r="E1817" s="26"/>
    </row>
    <row r="1818">
      <c r="D1818" s="26"/>
      <c r="E1818" s="26"/>
    </row>
    <row r="1819">
      <c r="D1819" s="26"/>
      <c r="E1819" s="26"/>
    </row>
    <row r="1820">
      <c r="D1820" s="26"/>
      <c r="E1820" s="26"/>
    </row>
    <row r="1821">
      <c r="D1821" s="26"/>
      <c r="E1821" s="26"/>
    </row>
    <row r="1822">
      <c r="D1822" s="26"/>
      <c r="E1822" s="26"/>
    </row>
    <row r="1823">
      <c r="D1823" s="26"/>
      <c r="E1823" s="26"/>
    </row>
    <row r="1824">
      <c r="D1824" s="26"/>
      <c r="E1824" s="26"/>
    </row>
    <row r="1825">
      <c r="D1825" s="26"/>
      <c r="E1825" s="26"/>
    </row>
    <row r="1826">
      <c r="D1826" s="26"/>
      <c r="E1826" s="26"/>
    </row>
    <row r="1827">
      <c r="D1827" s="26"/>
      <c r="E1827" s="26"/>
    </row>
    <row r="1828">
      <c r="D1828" s="26"/>
      <c r="E1828" s="26"/>
    </row>
    <row r="1829">
      <c r="D1829" s="26"/>
      <c r="E1829" s="26"/>
    </row>
    <row r="1830">
      <c r="D1830" s="26"/>
      <c r="E1830" s="26"/>
    </row>
    <row r="1831">
      <c r="D1831" s="26"/>
      <c r="E1831" s="26"/>
    </row>
    <row r="1832">
      <c r="D1832" s="26"/>
      <c r="E1832" s="26"/>
    </row>
    <row r="1833">
      <c r="D1833" s="26"/>
      <c r="E1833" s="26"/>
    </row>
    <row r="1834">
      <c r="D1834" s="26"/>
      <c r="E1834" s="26"/>
    </row>
    <row r="1835">
      <c r="D1835" s="26"/>
      <c r="E1835" s="26"/>
    </row>
    <row r="1836">
      <c r="D1836" s="26"/>
      <c r="E1836" s="26"/>
    </row>
    <row r="1837">
      <c r="D1837" s="26"/>
      <c r="E1837" s="26"/>
    </row>
    <row r="1838">
      <c r="D1838" s="26"/>
      <c r="E1838" s="26"/>
    </row>
    <row r="1839">
      <c r="D1839" s="26"/>
      <c r="E1839" s="26"/>
    </row>
    <row r="1840">
      <c r="D1840" s="26"/>
      <c r="E1840" s="26"/>
    </row>
    <row r="1841">
      <c r="D1841" s="26"/>
      <c r="E1841" s="26"/>
    </row>
    <row r="1842">
      <c r="D1842" s="26"/>
      <c r="E1842" s="26"/>
    </row>
    <row r="1843">
      <c r="D1843" s="26"/>
      <c r="E1843" s="26"/>
    </row>
    <row r="1844">
      <c r="D1844" s="26"/>
      <c r="E1844" s="26"/>
    </row>
    <row r="1845">
      <c r="D1845" s="26"/>
      <c r="E1845" s="26"/>
    </row>
    <row r="1846">
      <c r="D1846" s="26"/>
      <c r="E1846" s="26"/>
    </row>
    <row r="1847">
      <c r="D1847" s="26"/>
      <c r="E1847" s="26"/>
    </row>
    <row r="1848">
      <c r="D1848" s="26"/>
      <c r="E1848" s="26"/>
    </row>
    <row r="1849">
      <c r="D1849" s="26"/>
      <c r="E1849" s="26"/>
    </row>
    <row r="1850">
      <c r="D1850" s="26"/>
      <c r="E1850" s="26"/>
    </row>
    <row r="1851">
      <c r="D1851" s="26"/>
      <c r="E1851" s="26"/>
    </row>
    <row r="1852">
      <c r="D1852" s="26"/>
      <c r="E1852" s="26"/>
    </row>
    <row r="1853">
      <c r="D1853" s="26"/>
      <c r="E1853" s="26"/>
    </row>
    <row r="1854">
      <c r="D1854" s="26"/>
      <c r="E1854" s="26"/>
    </row>
    <row r="1855">
      <c r="D1855" s="26"/>
      <c r="E1855" s="26"/>
    </row>
    <row r="1856">
      <c r="D1856" s="26"/>
      <c r="E1856" s="26"/>
    </row>
    <row r="1857">
      <c r="D1857" s="26"/>
      <c r="E1857" s="26"/>
    </row>
    <row r="1858">
      <c r="D1858" s="26"/>
      <c r="E1858" s="26"/>
    </row>
    <row r="1859">
      <c r="D1859" s="26"/>
      <c r="E1859" s="26"/>
    </row>
    <row r="1860">
      <c r="D1860" s="26"/>
      <c r="E1860" s="26"/>
    </row>
    <row r="1861">
      <c r="D1861" s="26"/>
      <c r="E1861" s="26"/>
    </row>
    <row r="1862">
      <c r="D1862" s="26"/>
      <c r="E1862" s="26"/>
    </row>
    <row r="1863">
      <c r="D1863" s="26"/>
      <c r="E1863" s="26"/>
    </row>
    <row r="1864">
      <c r="D1864" s="26"/>
      <c r="E1864" s="26"/>
    </row>
    <row r="1865">
      <c r="D1865" s="26"/>
      <c r="E1865" s="26"/>
    </row>
    <row r="1866">
      <c r="D1866" s="26"/>
      <c r="E1866" s="26"/>
    </row>
    <row r="1867">
      <c r="D1867" s="26"/>
      <c r="E1867" s="26"/>
    </row>
    <row r="1868">
      <c r="D1868" s="26"/>
      <c r="E1868" s="26"/>
    </row>
    <row r="1869">
      <c r="D1869" s="26"/>
      <c r="E1869" s="26"/>
    </row>
    <row r="1870">
      <c r="D1870" s="26"/>
      <c r="E1870" s="26"/>
    </row>
    <row r="1871">
      <c r="D1871" s="26"/>
      <c r="E1871" s="26"/>
    </row>
    <row r="1872">
      <c r="D1872" s="26"/>
      <c r="E1872" s="26"/>
    </row>
    <row r="1873">
      <c r="D1873" s="26"/>
      <c r="E1873" s="26"/>
    </row>
    <row r="1874">
      <c r="D1874" s="26"/>
      <c r="E1874" s="26"/>
    </row>
    <row r="1875">
      <c r="D1875" s="26"/>
      <c r="E1875" s="26"/>
    </row>
    <row r="1876">
      <c r="D1876" s="26"/>
      <c r="E1876" s="26"/>
    </row>
    <row r="1877">
      <c r="D1877" s="26"/>
      <c r="E1877" s="26"/>
    </row>
    <row r="1878">
      <c r="D1878" s="26"/>
      <c r="E1878" s="26"/>
    </row>
    <row r="1879">
      <c r="D1879" s="26"/>
      <c r="E1879" s="26"/>
    </row>
    <row r="1880">
      <c r="D1880" s="26"/>
      <c r="E1880" s="26"/>
    </row>
    <row r="1881">
      <c r="D1881" s="26"/>
      <c r="E1881" s="26"/>
    </row>
    <row r="1882">
      <c r="D1882" s="26"/>
      <c r="E1882" s="26"/>
    </row>
    <row r="1883">
      <c r="D1883" s="26"/>
      <c r="E1883" s="26"/>
    </row>
    <row r="1884">
      <c r="D1884" s="26"/>
      <c r="E1884" s="26"/>
    </row>
    <row r="1885">
      <c r="D1885" s="26"/>
      <c r="E1885" s="26"/>
    </row>
    <row r="1886">
      <c r="D1886" s="26"/>
      <c r="E1886" s="26"/>
    </row>
    <row r="1887">
      <c r="D1887" s="26"/>
      <c r="E1887" s="26"/>
    </row>
    <row r="1888">
      <c r="D1888" s="26"/>
      <c r="E1888" s="26"/>
    </row>
    <row r="1889">
      <c r="D1889" s="26"/>
      <c r="E1889" s="26"/>
    </row>
    <row r="1890">
      <c r="D1890" s="26"/>
      <c r="E1890" s="26"/>
    </row>
    <row r="1891">
      <c r="D1891" s="26"/>
      <c r="E1891" s="26"/>
    </row>
    <row r="1892">
      <c r="D1892" s="26"/>
      <c r="E1892" s="26"/>
    </row>
    <row r="1893">
      <c r="D1893" s="26"/>
      <c r="E1893" s="26"/>
    </row>
    <row r="1894">
      <c r="D1894" s="26"/>
      <c r="E1894" s="26"/>
    </row>
    <row r="1895">
      <c r="D1895" s="26"/>
      <c r="E1895" s="26"/>
    </row>
    <row r="1896">
      <c r="D1896" s="26"/>
      <c r="E1896" s="26"/>
    </row>
    <row r="1897">
      <c r="D1897" s="26"/>
      <c r="E1897" s="26"/>
    </row>
    <row r="1898">
      <c r="D1898" s="26"/>
      <c r="E1898" s="26"/>
    </row>
    <row r="1899">
      <c r="D1899" s="26"/>
      <c r="E1899" s="26"/>
    </row>
    <row r="1900">
      <c r="D1900" s="26"/>
      <c r="E1900" s="26"/>
    </row>
    <row r="1901">
      <c r="D1901" s="26"/>
      <c r="E1901" s="26"/>
    </row>
    <row r="1902">
      <c r="D1902" s="26"/>
      <c r="E1902" s="26"/>
    </row>
    <row r="1903">
      <c r="D1903" s="26"/>
      <c r="E1903" s="26"/>
    </row>
    <row r="1904">
      <c r="D1904" s="26"/>
      <c r="E1904" s="26"/>
    </row>
    <row r="1905">
      <c r="D1905" s="26"/>
      <c r="E1905" s="26"/>
    </row>
    <row r="1906">
      <c r="D1906" s="26"/>
      <c r="E1906" s="26"/>
    </row>
    <row r="1907">
      <c r="D1907" s="26"/>
      <c r="E1907" s="26"/>
    </row>
    <row r="1908">
      <c r="D1908" s="26"/>
      <c r="E1908" s="26"/>
    </row>
    <row r="1909">
      <c r="D1909" s="26"/>
      <c r="E1909" s="26"/>
    </row>
    <row r="1910">
      <c r="D1910" s="26"/>
      <c r="E1910" s="26"/>
    </row>
    <row r="1911">
      <c r="D1911" s="26"/>
      <c r="E1911" s="26"/>
    </row>
    <row r="1912">
      <c r="D1912" s="26"/>
      <c r="E1912" s="26"/>
    </row>
    <row r="1913">
      <c r="D1913" s="26"/>
      <c r="E1913" s="26"/>
    </row>
    <row r="1914">
      <c r="D1914" s="26"/>
      <c r="E1914" s="26"/>
    </row>
    <row r="1915">
      <c r="D1915" s="26"/>
      <c r="E1915" s="26"/>
    </row>
    <row r="1916">
      <c r="D1916" s="26"/>
      <c r="E1916" s="26"/>
    </row>
    <row r="1917">
      <c r="D1917" s="26"/>
      <c r="E1917" s="26"/>
    </row>
    <row r="1918">
      <c r="D1918" s="26"/>
      <c r="E1918" s="26"/>
    </row>
    <row r="1919">
      <c r="D1919" s="26"/>
      <c r="E1919" s="26"/>
    </row>
    <row r="1920">
      <c r="D1920" s="26"/>
      <c r="E1920" s="26"/>
    </row>
    <row r="1921">
      <c r="D1921" s="26"/>
      <c r="E1921" s="26"/>
    </row>
    <row r="1922">
      <c r="D1922" s="26"/>
      <c r="E1922" s="26"/>
    </row>
    <row r="1923">
      <c r="D1923" s="26"/>
      <c r="E1923" s="26"/>
    </row>
    <row r="1924">
      <c r="D1924" s="26"/>
      <c r="E1924" s="26"/>
    </row>
    <row r="1925">
      <c r="D1925" s="26"/>
      <c r="E1925" s="26"/>
    </row>
    <row r="1926">
      <c r="D1926" s="26"/>
      <c r="E1926" s="26"/>
    </row>
    <row r="1927">
      <c r="D1927" s="26"/>
      <c r="E1927" s="26"/>
    </row>
    <row r="1928">
      <c r="D1928" s="26"/>
      <c r="E1928" s="26"/>
    </row>
    <row r="1929">
      <c r="D1929" s="26"/>
      <c r="E1929" s="26"/>
    </row>
    <row r="1930">
      <c r="D1930" s="26"/>
      <c r="E1930" s="26"/>
    </row>
    <row r="1931">
      <c r="D1931" s="26"/>
      <c r="E1931" s="26"/>
    </row>
    <row r="1932">
      <c r="D1932" s="26"/>
      <c r="E1932" s="26"/>
    </row>
    <row r="1933">
      <c r="D1933" s="26"/>
      <c r="E1933" s="26"/>
    </row>
    <row r="1934">
      <c r="D1934" s="26"/>
      <c r="E1934" s="26"/>
    </row>
    <row r="1935">
      <c r="D1935" s="26"/>
      <c r="E1935" s="26"/>
    </row>
    <row r="1936">
      <c r="D1936" s="26"/>
      <c r="E1936" s="26"/>
    </row>
    <row r="1937">
      <c r="D1937" s="26"/>
      <c r="E1937" s="26"/>
    </row>
    <row r="1938">
      <c r="D1938" s="26"/>
      <c r="E1938" s="26"/>
    </row>
    <row r="1939">
      <c r="D1939" s="26"/>
      <c r="E1939" s="26"/>
    </row>
    <row r="1940">
      <c r="D1940" s="26"/>
      <c r="E1940" s="26"/>
    </row>
    <row r="1941">
      <c r="D1941" s="26"/>
      <c r="E1941" s="26"/>
    </row>
    <row r="1942">
      <c r="D1942" s="26"/>
      <c r="E1942" s="26"/>
    </row>
    <row r="1943">
      <c r="D1943" s="26"/>
      <c r="E1943" s="26"/>
    </row>
    <row r="1944">
      <c r="D1944" s="26"/>
      <c r="E1944" s="26"/>
    </row>
    <row r="1945">
      <c r="D1945" s="26"/>
      <c r="E1945" s="26"/>
    </row>
    <row r="1946">
      <c r="D1946" s="26"/>
      <c r="E1946" s="26"/>
    </row>
    <row r="1947">
      <c r="D1947" s="26"/>
      <c r="E1947" s="26"/>
    </row>
    <row r="1948">
      <c r="D1948" s="26"/>
      <c r="E1948" s="26"/>
    </row>
    <row r="1949">
      <c r="D1949" s="26"/>
      <c r="E1949" s="26"/>
    </row>
    <row r="1950">
      <c r="D1950" s="26"/>
      <c r="E1950" s="26"/>
    </row>
    <row r="1951">
      <c r="D1951" s="26"/>
      <c r="E1951" s="26"/>
    </row>
    <row r="1952">
      <c r="D1952" s="26"/>
      <c r="E1952" s="26"/>
    </row>
    <row r="1953">
      <c r="D1953" s="26"/>
      <c r="E1953" s="26"/>
    </row>
    <row r="1954">
      <c r="D1954" s="26"/>
      <c r="E1954" s="26"/>
    </row>
    <row r="1955">
      <c r="D1955" s="26"/>
      <c r="E1955" s="26"/>
    </row>
    <row r="1956">
      <c r="D1956" s="26"/>
      <c r="E1956" s="26"/>
    </row>
    <row r="1957">
      <c r="D1957" s="26"/>
      <c r="E1957" s="26"/>
    </row>
    <row r="1958">
      <c r="D1958" s="26"/>
      <c r="E1958" s="26"/>
    </row>
    <row r="1959">
      <c r="D1959" s="26"/>
      <c r="E1959" s="26"/>
    </row>
    <row r="1960">
      <c r="D1960" s="26"/>
      <c r="E1960" s="26"/>
    </row>
    <row r="1961">
      <c r="D1961" s="26"/>
      <c r="E1961" s="26"/>
    </row>
    <row r="1962">
      <c r="D1962" s="26"/>
      <c r="E1962" s="26"/>
    </row>
    <row r="1963">
      <c r="D1963" s="26"/>
      <c r="E1963" s="26"/>
    </row>
    <row r="1964">
      <c r="D1964" s="26"/>
      <c r="E1964" s="26"/>
    </row>
    <row r="1965">
      <c r="D1965" s="26"/>
      <c r="E1965" s="26"/>
    </row>
    <row r="1966">
      <c r="D1966" s="26"/>
      <c r="E1966" s="26"/>
    </row>
    <row r="1967">
      <c r="D1967" s="26"/>
      <c r="E1967" s="26"/>
    </row>
    <row r="1968">
      <c r="D1968" s="26"/>
      <c r="E1968" s="26"/>
    </row>
    <row r="1969">
      <c r="D1969" s="26"/>
      <c r="E1969" s="26"/>
    </row>
    <row r="1970">
      <c r="D1970" s="26"/>
      <c r="E1970" s="26"/>
    </row>
    <row r="1971">
      <c r="D1971" s="26"/>
      <c r="E1971" s="26"/>
    </row>
    <row r="1972">
      <c r="D1972" s="26"/>
      <c r="E1972" s="26"/>
    </row>
    <row r="1973">
      <c r="D1973" s="26"/>
      <c r="E1973" s="26"/>
    </row>
    <row r="1974">
      <c r="D1974" s="26"/>
      <c r="E1974" s="26"/>
    </row>
    <row r="1975">
      <c r="D1975" s="26"/>
      <c r="E1975" s="26"/>
    </row>
    <row r="1976">
      <c r="D1976" s="26"/>
      <c r="E1976" s="26"/>
    </row>
    <row r="1977">
      <c r="D1977" s="26"/>
      <c r="E1977" s="26"/>
    </row>
    <row r="1978">
      <c r="D1978" s="26"/>
      <c r="E1978" s="26"/>
    </row>
    <row r="1979">
      <c r="D1979" s="26"/>
      <c r="E1979" s="26"/>
    </row>
    <row r="1980">
      <c r="D1980" s="26"/>
      <c r="E1980" s="26"/>
    </row>
    <row r="1981">
      <c r="D1981" s="26"/>
      <c r="E1981" s="26"/>
    </row>
    <row r="1982">
      <c r="D1982" s="26"/>
      <c r="E1982" s="26"/>
    </row>
    <row r="1983">
      <c r="D1983" s="26"/>
      <c r="E1983" s="26"/>
    </row>
    <row r="1984">
      <c r="D1984" s="26"/>
      <c r="E1984" s="26"/>
    </row>
    <row r="1985">
      <c r="D1985" s="26"/>
      <c r="E1985" s="26"/>
    </row>
    <row r="1986">
      <c r="D1986" s="26"/>
      <c r="E1986" s="26"/>
    </row>
    <row r="1987">
      <c r="D1987" s="26"/>
      <c r="E1987" s="26"/>
    </row>
    <row r="1988">
      <c r="D1988" s="26"/>
      <c r="E1988" s="26"/>
    </row>
    <row r="1989">
      <c r="D1989" s="26"/>
      <c r="E1989" s="26"/>
    </row>
    <row r="1990">
      <c r="D1990" s="26"/>
      <c r="E1990" s="26"/>
    </row>
    <row r="1991">
      <c r="D1991" s="26"/>
      <c r="E1991" s="26"/>
    </row>
    <row r="1992">
      <c r="D1992" s="26"/>
      <c r="E1992" s="26"/>
    </row>
    <row r="1993">
      <c r="D1993" s="26"/>
      <c r="E1993" s="26"/>
    </row>
    <row r="1994">
      <c r="D1994" s="26"/>
      <c r="E1994" s="26"/>
    </row>
    <row r="1995">
      <c r="D1995" s="26"/>
      <c r="E1995" s="26"/>
    </row>
    <row r="1996">
      <c r="D1996" s="26"/>
      <c r="E1996" s="26"/>
    </row>
    <row r="1997">
      <c r="D1997" s="26"/>
      <c r="E1997" s="26"/>
    </row>
    <row r="1998">
      <c r="D1998" s="26"/>
      <c r="E1998" s="26"/>
    </row>
    <row r="1999">
      <c r="D1999" s="26"/>
      <c r="E1999" s="26"/>
    </row>
    <row r="2000">
      <c r="D2000" s="26"/>
      <c r="E2000" s="26"/>
    </row>
  </sheetData>
  <dataValidations count="2">
    <dataValidation type="list" sqref="D8:D2000">
      <formula1>"Pablo,Amin,Ferran,Iker,Uri,David"</formula1>
    </dataValidation>
    <dataValidation type="list" sqref="E8:E2000">
      <formula1>"Propuesto,Aprobado,Modificado,Descartado,Abierto,En tratamiento,Resuelto"</formula1>
    </dataValidation>
  </dataValidations>
  <hyperlinks>
    <hyperlink ref="A4" location="'Inicio'!A1"/>
  </hyperlinks>
  <pageMargins left="0.7" right="0.7" top="0.75" bottom="0.75" header="0.3" footer="0.3"/>
  <tableParts count="1">
    <tablePart ns1:id="R6a696613b1b34819"/>
  </tableParts>
</worksheet>
</file>

<file path=xl/worksheets/sheet8.xml><?xml version="1.0" encoding="utf-8"?>
<worksheet xmlns="http://schemas.openxmlformats.org/spreadsheetml/2006/main">
  <sheetPr>
    <tabColor rgb="FF18344A"/>
  </sheetPr>
  <sheetViews>
    <sheetView showGridLines="0" workbookViewId="0">
      <pane ySplit="7" topLeftCell="A8" activePane="bottomLeft" state="frozen"/>
    </sheetView>
  </sheetViews>
  <sheetFormatPr defaultRowHeight="15"/>
  <cols>
    <col min="1" max="1" width="33" hidden="0" customWidth="1"/>
    <col min="2" max="2" width="105" hidden="0" customWidth="1"/>
  </cols>
  <sheetData>
    <row r="1" ht="22" customHeight="1">
      <c r="A1" s="3"/>
      <c r="B1" s="3"/>
      <c r="C1" s="3"/>
      <c r="D1" s="3"/>
      <c r="E1" s="3"/>
      <c r="F1" s="3"/>
      <c r="G1" s="3"/>
      <c r="H1" s="3"/>
      <c r="I1" s="3"/>
      <c r="J1" s="3"/>
    </row>
    <row r="2" ht="22" customHeight="1">
      <c r="A2" s="5" t="str">
        <v>Cómo mantener el libro</v>
      </c>
      <c r="B2" s="3"/>
      <c r="C2" s="3"/>
      <c r="D2" s="3"/>
      <c r="E2" s="3"/>
      <c r="F2" s="3"/>
      <c r="G2" s="3"/>
      <c r="H2" s="3"/>
      <c r="I2" s="3"/>
      <c r="J2" s="3"/>
    </row>
    <row r="3" ht="22" customHeight="1">
      <c r="A3" s="7" t="str">
        <v>Uso semanal, cierre de entregas y ampliación de las tablas.</v>
      </c>
      <c r="B3" s="3"/>
      <c r="C3" s="3"/>
      <c r="D3" s="3"/>
      <c r="E3" s="3"/>
      <c r="F3" s="3"/>
      <c r="G3" s="3"/>
      <c r="H3" s="3"/>
      <c r="I3" s="3"/>
      <c r="J3" s="3"/>
    </row>
    <row r="4" ht="22" customHeight="1">
      <c r="A4" s="8" t="str">
        <v>← Inicio</v>
      </c>
      <c r="B4" s="3"/>
      <c r="C4" s="3"/>
      <c r="D4" s="3"/>
      <c r="E4" s="3"/>
      <c r="F4" s="3"/>
      <c r="G4" s="3"/>
      <c r="H4" s="3"/>
      <c r="I4" s="3"/>
      <c r="J4" s="3"/>
    </row>
    <row r="5" ht="22" customHeight="1">
      <c r="A5" s="3"/>
      <c r="B5" s="3"/>
      <c r="C5" s="3"/>
      <c r="D5" s="3"/>
      <c r="E5" s="3"/>
      <c r="F5" s="3"/>
      <c r="G5" s="3"/>
      <c r="H5" s="3"/>
      <c r="I5" s="3"/>
      <c r="J5" s="3"/>
    </row>
    <row r="6" ht="22" customHeight="1">
      <c r="A6" s="3"/>
      <c r="B6" s="3"/>
      <c r="C6" s="3"/>
      <c r="D6" s="3"/>
      <c r="E6" s="3"/>
      <c r="F6" s="3"/>
      <c r="G6" s="3"/>
      <c r="H6" s="3"/>
      <c r="I6" s="3"/>
      <c r="J6" s="3"/>
    </row>
    <row r="7" ht="22" customHeight="1">
      <c r="A7" s="19" t="str">
        <v>Tema</v>
      </c>
      <c r="B7" s="19" t="str">
        <v>Uso</v>
      </c>
      <c r="C7" s="3"/>
      <c r="D7" s="3"/>
      <c r="E7" s="3"/>
      <c r="F7" s="3"/>
      <c r="G7" s="3"/>
      <c r="H7" s="3"/>
      <c r="I7" s="3"/>
      <c r="J7" s="3"/>
    </row>
    <row r="8" ht="72" customHeight="1">
      <c r="A8" s="13" t="str">
        <v>Rutina de 10 minutos por reunión</v>
      </c>
      <c r="B8" s="13" t="str">
        <v>1. Actualizar la fecha y semana en Inicio. 2. Cada persona filtra sus tareas y cambia Estado. 3. Revisar Bloqueadas, Vencidas y sobrecarga. 4. Uri actualiza pruebas. 5. Registrar acuerdos y cambios.</v>
      </c>
      <c r="C8" s="3"/>
      <c r="D8" s="3"/>
      <c r="E8" s="3"/>
      <c r="F8" s="3"/>
      <c r="G8" s="3"/>
      <c r="H8" s="3"/>
      <c r="I8" s="3"/>
      <c r="J8" s="3"/>
    </row>
    <row r="9" ht="72" customHeight="1">
      <c r="A9" s="13" t="str">
        <v>Una tarea terminada</v>
      </c>
      <c r="B9" s="13" t="str">
        <v>Cambiar a Hecha y completar Evidencia, Revisa y Fecha. Cierre pasa a Aceptada. Hasta entonces no aumenta el avance. Guardar captura, log, documento o commit revisado.</v>
      </c>
      <c r="C9" s="3"/>
      <c r="D9" s="3"/>
      <c r="E9" s="3"/>
      <c r="F9" s="3"/>
      <c r="G9" s="3"/>
      <c r="H9" s="3"/>
      <c r="I9" s="3"/>
      <c r="J9" s="3"/>
    </row>
    <row r="10" ht="72" customHeight="1">
      <c r="A10" s="13" t="str">
        <v>Un requisito aceptado</v>
      </c>
      <c r="B10" s="13" t="str">
        <v>Alcance Incluido, tarea vinculada Aceptada, todas las pruebas vinculadas válidas, Aceptacion Aceptado, Revisa y Fecha. El estado se calcula; no escribirlo a mano.</v>
      </c>
      <c r="C10" s="3"/>
      <c r="D10" s="3"/>
      <c r="E10" s="3"/>
      <c r="F10" s="3"/>
      <c r="G10" s="3"/>
      <c r="H10" s="3"/>
      <c r="I10" s="3"/>
      <c r="J10" s="3"/>
    </row>
    <row r="11" ht="72" customHeight="1">
      <c r="A11" s="13" t="str">
        <v>Propuesto e Incluido</v>
      </c>
      <c r="B11" s="13" t="str">
        <v>Propuesto exige acuerdo de alcance. Incluido define qué se entrega; no demuestra que esté implementado. P2 está fuera por defecto y se activa solo con margen y acuerdo.</v>
      </c>
      <c r="C11" s="3"/>
      <c r="D11" s="3"/>
      <c r="E11" s="3"/>
      <c r="F11" s="3"/>
      <c r="G11" s="3"/>
      <c r="H11" s="3"/>
      <c r="I11" s="3"/>
      <c r="J11" s="3"/>
    </row>
    <row r="12" ht="72" customHeight="1">
      <c r="A12" s="13" t="str">
        <v>Estados de tarea</v>
      </c>
      <c r="B12" s="13" t="str">
        <v>Por hacer → En curso → En revisión → Hecha. Bloqueada exige explicar la causa en Notas. Descartada sale de la carga y del avance.</v>
      </c>
      <c r="C12" s="3"/>
      <c r="D12" s="3"/>
      <c r="E12" s="3"/>
      <c r="F12" s="3"/>
      <c r="G12" s="3"/>
      <c r="H12" s="3"/>
      <c r="I12" s="3"/>
      <c r="J12" s="3"/>
    </row>
    <row r="13" ht="72" customHeight="1">
      <c r="A13" s="13" t="str">
        <v>Horas y apoyos</v>
      </c>
      <c r="B13" s="13" t="str">
        <v>Horas es esfuerzo total, no duración de calendario. Apoyo % asigna esa parte a Apoyo; el resto a Responsable. Una tarea de 10 h y 30% apoyo asigna 7 h y 3 h, distribuidas durante su duración.</v>
      </c>
      <c r="C13" s="3"/>
      <c r="D13" s="3"/>
      <c r="E13" s="3"/>
      <c r="F13" s="3"/>
      <c r="G13" s="3"/>
      <c r="H13" s="3"/>
      <c r="I13" s="3"/>
      <c r="J13" s="3"/>
    </row>
    <row r="14" ht="72" customHeight="1">
      <c r="A14" s="13" t="str">
        <v>Calendario de referencia</v>
      </c>
      <c r="B14" s="13" t="str">
        <v>El plan inicial se ha nivelado con la hipótesis de 8 h/persona/semana. Las dependencias pueden compartir semana: acordar el día del traspaso. Si la disponibilidad o fecha real cambia, revisar semanas y duración; el libro avisa y no replanifica por sí solo.</v>
      </c>
      <c r="C14" s="3"/>
      <c r="D14" s="3"/>
      <c r="E14" s="3"/>
      <c r="F14" s="3"/>
      <c r="G14" s="3"/>
      <c r="H14" s="3"/>
      <c r="I14" s="3"/>
      <c r="J14" s="3"/>
    </row>
    <row r="15" ht="72" customHeight="1">
      <c r="A15" s="13" t="str">
        <v>Añadir tareas o requisitos</v>
      </c>
      <c r="B15" s="13" t="str">
        <v>Escribir en la siguiente fila de la tabla o pulsar Tab en su última celda. Usar ids nuevos estables, sin reutilizar los anteriores. En las columnas azules, Excel usa columnas calculadas nativas. Conservar sus fórmulas. Los resúmenes usan referencias de tabla y se amplían con ella.</v>
      </c>
      <c r="C15" s="3"/>
      <c r="D15" s="3"/>
      <c r="E15" s="3"/>
      <c r="F15" s="3"/>
      <c r="G15" s="3"/>
      <c r="H15" s="3"/>
      <c r="I15" s="3"/>
      <c r="J15" s="3"/>
    </row>
    <row r="16" ht="72" customHeight="1">
      <c r="A16" s="13" t="str">
        <v>Calendario y ampliación</v>
      </c>
      <c r="B16" s="13" t="str">
        <v>Calendario muestra automáticamente las primeras 200 tareas y una ventana de 16 semanas. Cambiar su semana inicial en Inicio. Para más de 200 tareas habría que ampliar este visor; los totales de las tablas no tienen ese límite.</v>
      </c>
      <c r="C16" s="3"/>
      <c r="D16" s="3"/>
      <c r="E16" s="3"/>
      <c r="F16" s="3"/>
      <c r="G16" s="3"/>
      <c r="H16" s="3"/>
      <c r="I16" s="3"/>
      <c r="J16" s="3"/>
    </row>
    <row r="17" ht="72" customHeight="1">
      <c r="A17" s="13" t="str">
        <v>Añadir pruebas</v>
      </c>
      <c r="B17" s="13" t="str">
        <v>Cada ID identifica un caso de verificación. Añadir una fila y un requisito existente. Para repetir el caso, actualizar su última ejecución y conservar logs anteriores en la carpeta de evidencia; no duplicar ids.</v>
      </c>
      <c r="C17" s="3"/>
      <c r="D17" s="3"/>
      <c r="E17" s="3"/>
      <c r="F17" s="3"/>
      <c r="G17" s="3"/>
      <c r="H17" s="3"/>
      <c r="I17" s="3"/>
      <c r="J17" s="3"/>
    </row>
    <row r="18" ht="72" customHeight="1">
      <c r="A18" s="13" t="str">
        <v>Cambiar un criterio</v>
      </c>
      <c r="B18" s="13" t="str">
        <v>Registrar el cambio en Acuerdos, actualizar el criterio y los casos afectados, y volver a poner las pruebas afectadas en Sin ejecutar. Mantener la aceptación pendiente hasta revisar la nueva build.</v>
      </c>
      <c r="C18" s="3"/>
      <c r="D18" s="3"/>
      <c r="E18" s="3"/>
      <c r="F18" s="3"/>
      <c r="G18" s="3"/>
      <c r="H18" s="3"/>
      <c r="I18" s="3"/>
      <c r="J18" s="3"/>
    </row>
    <row r="19" ht="72" customHeight="1">
      <c r="A19" s="13" t="str">
        <v>Parámetros y objetivos</v>
      </c>
      <c r="B19" s="13" t="str">
        <v>Los valores de movimiento, vida y temporización son configuración propuesta de referencia. Modificarlos exige versión y pruebas coherentes. RQ-002 exige medir seis partidas; 5–8 minutos sigue siendo objetivo de balance. RQ-047 propone 30 FPS mínimos y 60 FPS como objetivo, a validar con la rúbrica.</v>
      </c>
      <c r="C19" s="3"/>
      <c r="D19" s="3"/>
      <c r="E19" s="3"/>
      <c r="F19" s="3"/>
      <c r="G19" s="3"/>
      <c r="H19" s="3"/>
      <c r="I19" s="3"/>
      <c r="J19" s="3"/>
    </row>
    <row r="20" ht="72" customHeight="1">
      <c r="A20" s="13" t="str">
        <v>Fuentes y autoridad</v>
      </c>
      <c r="B20" s="13" t="str">
        <v>Acta original pp.1–2: alcance, responsables y tecnología. El anexo y rúbrica completos deben contrastarse antes de cerrar los criterios. No se han ejecutado pruebas sobre un juego C++ en esta carpeta.</v>
      </c>
      <c r="C20" s="3"/>
      <c r="D20" s="3"/>
      <c r="E20" s="3"/>
      <c r="F20" s="3"/>
      <c r="G20" s="3"/>
      <c r="H20" s="3"/>
      <c r="I20" s="3"/>
      <c r="J20" s="3"/>
    </row>
    <row r="21" ht="72" customHeight="1">
      <c r="A21" s="13" t="str">
        <v>Excel y edición compartida</v>
      </c>
      <c r="B21" s="13" t="str">
        <v>Formato XLSX sin macros ni enlaces entre libros. Mantener una única copia compartida; evitar enviar varias copias por correo. Si se usa OneDrive o SharePoint, editar ese archivo y aprovechar historial de versiones. El libro funciona localmente; no se ha publicado en una cuenta externa.</v>
      </c>
      <c r="C21" s="3"/>
      <c r="D21" s="3"/>
      <c r="E21" s="3"/>
      <c r="F21" s="3"/>
      <c r="G21" s="3"/>
      <c r="H21" s="3"/>
      <c r="I21" s="3"/>
      <c r="J21" s="3"/>
    </row>
    <row r="22" ht="72" customHeight="1">
      <c r="A22" s="13" t="str">
        <v>Leyenda</v>
      </c>
      <c r="B22" s="13" t="str">
        <v>Ámbar: entrada editable. Azul claro: cálculo. Rojo: revisar datos, fallo o atraso. Blanco/gris: descripción e identificadores. Filtrar tablas por Responsable, Estado, Fase o Aviso.</v>
      </c>
      <c r="C22" s="3"/>
      <c r="D22" s="3"/>
      <c r="E22" s="3"/>
      <c r="F22" s="3"/>
      <c r="G22" s="3"/>
      <c r="H22" s="3"/>
      <c r="I22" s="3"/>
      <c r="J22" s="3"/>
    </row>
    <row r="23" ht="72" customHeight="1">
      <c r="A23" s="13" t="str">
        <v>Referencia Microsoft</v>
      </c>
      <c r="B23" s="13" t="str">
        <v>Tablas y referencias estructuradas: https://support.microsoft.com/en-us/excel/using-structured-references-with-excel-tables</v>
      </c>
      <c r="C23" s="3"/>
      <c r="D23" s="3"/>
      <c r="E23" s="3"/>
      <c r="F23" s="3"/>
      <c r="G23" s="3"/>
      <c r="H23" s="3"/>
      <c r="I23" s="3"/>
      <c r="J23" s="3"/>
    </row>
    <row r="24" ht="72" customHeight="1">
      <c r="A24" s="13" t="str">
        <v>Referencia NASA</v>
      </c>
      <c r="B24" s="13" t="str">
        <v>Requisitos claros y verificables: https://www.nasa.gov/reference/appendix-c-how-to-write-a-good-requirement/</v>
      </c>
      <c r="C24" s="3"/>
      <c r="D24" s="3"/>
      <c r="E24" s="3"/>
      <c r="F24" s="3"/>
      <c r="G24" s="3"/>
      <c r="H24" s="3"/>
      <c r="I24" s="3"/>
      <c r="J24" s="3"/>
    </row>
    <row r="25" ht="22" customHeight="1">
      <c r="A25" s="3"/>
      <c r="B25" s="3"/>
      <c r="C25" s="3"/>
      <c r="D25" s="3"/>
      <c r="E25" s="3"/>
      <c r="F25" s="3"/>
      <c r="G25" s="3"/>
      <c r="H25" s="3"/>
      <c r="I25" s="3"/>
      <c r="J25" s="3"/>
    </row>
    <row r="26" ht="22" customHeight="1">
      <c r="A26" s="3"/>
      <c r="B26" s="3"/>
      <c r="C26" s="3"/>
      <c r="D26" s="3"/>
      <c r="E26" s="3"/>
      <c r="F26" s="3"/>
      <c r="G26" s="3"/>
      <c r="H26" s="3"/>
      <c r="I26" s="3"/>
      <c r="J26" s="3"/>
    </row>
    <row r="27" ht="22" customHeight="1">
      <c r="A27" s="3"/>
      <c r="B27" s="3"/>
      <c r="C27" s="3"/>
      <c r="D27" s="3"/>
      <c r="E27" s="3"/>
      <c r="F27" s="3"/>
      <c r="G27" s="3"/>
      <c r="H27" s="3"/>
      <c r="I27" s="3"/>
      <c r="J27" s="3"/>
    </row>
    <row r="28" ht="22" customHeight="1">
      <c r="A28" s="3"/>
      <c r="B28" s="3"/>
      <c r="C28" s="3"/>
      <c r="D28" s="3"/>
      <c r="E28" s="3"/>
      <c r="F28" s="3"/>
      <c r="G28" s="3"/>
      <c r="H28" s="3"/>
      <c r="I28" s="3"/>
      <c r="J28" s="3"/>
    </row>
    <row r="29" ht="22" customHeight="1">
      <c r="A29" s="3"/>
      <c r="B29" s="3"/>
      <c r="C29" s="3"/>
      <c r="D29" s="3"/>
      <c r="E29" s="3"/>
      <c r="F29" s="3"/>
      <c r="G29" s="3"/>
      <c r="H29" s="3"/>
      <c r="I29" s="3"/>
      <c r="J29" s="3"/>
    </row>
    <row r="30" ht="22" customHeight="1">
      <c r="A30" s="3"/>
      <c r="B30" s="3"/>
      <c r="C30" s="3"/>
      <c r="D30" s="3"/>
      <c r="E30" s="3"/>
      <c r="F30" s="3"/>
      <c r="G30" s="3"/>
      <c r="H30" s="3"/>
      <c r="I30" s="3"/>
      <c r="J30" s="3"/>
    </row>
    <row r="31" ht="22" customHeight="1">
      <c r="A31" s="3"/>
      <c r="B31" s="3"/>
      <c r="C31" s="3"/>
      <c r="D31" s="3"/>
      <c r="E31" s="3"/>
      <c r="F31" s="3"/>
      <c r="G31" s="3"/>
      <c r="H31" s="3"/>
      <c r="I31" s="3"/>
      <c r="J31" s="3"/>
    </row>
    <row r="32" ht="22" customHeight="1">
      <c r="A32" s="3"/>
      <c r="B32" s="3"/>
      <c r="C32" s="3"/>
      <c r="D32" s="3"/>
      <c r="E32" s="3"/>
      <c r="F32" s="3"/>
      <c r="G32" s="3"/>
      <c r="H32" s="3"/>
      <c r="I32" s="3"/>
      <c r="J32" s="3"/>
    </row>
    <row r="33" ht="22" customHeight="1">
      <c r="A33" s="3"/>
      <c r="B33" s="3"/>
      <c r="C33" s="3"/>
      <c r="D33" s="3"/>
      <c r="E33" s="3"/>
      <c r="F33" s="3"/>
      <c r="G33" s="3"/>
      <c r="H33" s="3"/>
      <c r="I33" s="3"/>
      <c r="J33" s="3"/>
    </row>
    <row r="34" ht="22" customHeight="1">
      <c r="A34" s="3"/>
      <c r="B34" s="3"/>
      <c r="C34" s="3"/>
      <c r="D34" s="3"/>
      <c r="E34" s="3"/>
      <c r="F34" s="3"/>
      <c r="G34" s="3"/>
      <c r="H34" s="3"/>
      <c r="I34" s="3"/>
      <c r="J34" s="3"/>
    </row>
    <row r="35" ht="22" customHeight="1">
      <c r="A35" s="3"/>
      <c r="B35" s="3"/>
      <c r="C35" s="3"/>
      <c r="D35" s="3"/>
      <c r="E35" s="3"/>
      <c r="F35" s="3"/>
      <c r="G35" s="3"/>
      <c r="H35" s="3"/>
      <c r="I35" s="3"/>
      <c r="J35" s="3"/>
    </row>
    <row r="36" ht="22" customHeight="1">
      <c r="A36" s="3"/>
      <c r="B36" s="3"/>
      <c r="C36" s="3"/>
      <c r="D36" s="3"/>
      <c r="E36" s="3"/>
      <c r="F36" s="3"/>
      <c r="G36" s="3"/>
      <c r="H36" s="3"/>
      <c r="I36" s="3"/>
      <c r="J36" s="3"/>
    </row>
    <row r="37" ht="22" customHeight="1">
      <c r="A37" s="3"/>
      <c r="B37" s="3"/>
      <c r="C37" s="3"/>
      <c r="D37" s="3"/>
      <c r="E37" s="3"/>
      <c r="F37" s="3"/>
      <c r="G37" s="3"/>
      <c r="H37" s="3"/>
      <c r="I37" s="3"/>
      <c r="J37" s="3"/>
    </row>
    <row r="38" ht="22" customHeight="1">
      <c r="A38" s="3"/>
      <c r="B38" s="3"/>
      <c r="C38" s="3"/>
      <c r="D38" s="3"/>
      <c r="E38" s="3"/>
      <c r="F38" s="3"/>
      <c r="G38" s="3"/>
      <c r="H38" s="3"/>
      <c r="I38" s="3"/>
      <c r="J38" s="3"/>
    </row>
    <row r="39" ht="22" customHeight="1">
      <c r="A39" s="3"/>
      <c r="B39" s="3"/>
      <c r="C39" s="3"/>
      <c r="D39" s="3"/>
      <c r="E39" s="3"/>
      <c r="F39" s="3"/>
      <c r="G39" s="3"/>
      <c r="H39" s="3"/>
      <c r="I39" s="3"/>
      <c r="J39" s="3"/>
    </row>
    <row r="40" ht="22" customHeight="1">
      <c r="A40" s="3"/>
      <c r="B40" s="3"/>
      <c r="C40" s="3"/>
      <c r="D40" s="3"/>
      <c r="E40" s="3"/>
      <c r="F40" s="3"/>
      <c r="G40" s="3"/>
      <c r="H40" s="3"/>
      <c r="I40" s="3"/>
      <c r="J40" s="3"/>
    </row>
    <row r="41" ht="22" customHeight="1">
      <c r="A41" s="3"/>
      <c r="B41" s="3"/>
      <c r="C41" s="3"/>
      <c r="D41" s="3"/>
      <c r="E41" s="3"/>
      <c r="F41" s="3"/>
      <c r="G41" s="3"/>
      <c r="H41" s="3"/>
      <c r="I41" s="3"/>
      <c r="J41" s="3"/>
    </row>
    <row r="42" ht="22" customHeight="1">
      <c r="A42" s="3"/>
      <c r="B42" s="3"/>
      <c r="C42" s="3"/>
      <c r="D42" s="3"/>
      <c r="E42" s="3"/>
      <c r="F42" s="3"/>
      <c r="G42" s="3"/>
      <c r="H42" s="3"/>
      <c r="I42" s="3"/>
      <c r="J42" s="3"/>
    </row>
    <row r="43" ht="22" customHeight="1">
      <c r="A43" s="3"/>
      <c r="B43" s="3"/>
      <c r="C43" s="3"/>
      <c r="D43" s="3"/>
      <c r="E43" s="3"/>
      <c r="F43" s="3"/>
      <c r="G43" s="3"/>
      <c r="H43" s="3"/>
      <c r="I43" s="3"/>
      <c r="J43" s="3"/>
    </row>
    <row r="44" ht="22" customHeight="1">
      <c r="A44" s="3"/>
      <c r="B44" s="3"/>
      <c r="C44" s="3"/>
      <c r="D44" s="3"/>
      <c r="E44" s="3"/>
      <c r="F44" s="3"/>
      <c r="G44" s="3"/>
      <c r="H44" s="3"/>
      <c r="I44" s="3"/>
      <c r="J44" s="3"/>
    </row>
    <row r="45" ht="22" customHeight="1">
      <c r="A45" s="3"/>
      <c r="B45" s="3"/>
      <c r="C45" s="3"/>
      <c r="D45" s="3"/>
      <c r="E45" s="3"/>
      <c r="F45" s="3"/>
      <c r="G45" s="3"/>
      <c r="H45" s="3"/>
      <c r="I45" s="3"/>
      <c r="J45" s="3"/>
    </row>
    <row r="46" ht="22" customHeight="1">
      <c r="A46" s="3"/>
      <c r="B46" s="3"/>
      <c r="C46" s="3"/>
      <c r="D46" s="3"/>
      <c r="E46" s="3"/>
      <c r="F46" s="3"/>
      <c r="G46" s="3"/>
      <c r="H46" s="3"/>
      <c r="I46" s="3"/>
      <c r="J46" s="3"/>
    </row>
    <row r="47" ht="22" customHeight="1">
      <c r="A47" s="3"/>
      <c r="B47" s="3"/>
      <c r="C47" s="3"/>
      <c r="D47" s="3"/>
      <c r="E47" s="3"/>
      <c r="F47" s="3"/>
      <c r="G47" s="3"/>
      <c r="H47" s="3"/>
      <c r="I47" s="3"/>
      <c r="J47" s="3"/>
    </row>
    <row r="48" ht="22" customHeight="1">
      <c r="A48" s="3"/>
      <c r="B48" s="3"/>
      <c r="C48" s="3"/>
      <c r="D48" s="3"/>
      <c r="E48" s="3"/>
      <c r="F48" s="3"/>
      <c r="G48" s="3"/>
      <c r="H48" s="3"/>
      <c r="I48" s="3"/>
      <c r="J48" s="3"/>
    </row>
    <row r="49" ht="22" customHeight="1">
      <c r="A49" s="3"/>
      <c r="B49" s="3"/>
      <c r="C49" s="3"/>
      <c r="D49" s="3"/>
      <c r="E49" s="3"/>
      <c r="F49" s="3"/>
      <c r="G49" s="3"/>
      <c r="H49" s="3"/>
      <c r="I49" s="3"/>
      <c r="J49" s="3"/>
    </row>
    <row r="50" ht="22" customHeight="1">
      <c r="A50" s="3"/>
      <c r="B50" s="3"/>
      <c r="C50" s="3"/>
      <c r="D50" s="3"/>
      <c r="E50" s="3"/>
      <c r="F50" s="3"/>
      <c r="G50" s="3"/>
      <c r="H50" s="3"/>
      <c r="I50" s="3"/>
      <c r="J50" s="3"/>
    </row>
    <row r="51" ht="22" customHeight="1">
      <c r="A51" s="3"/>
      <c r="B51" s="3"/>
      <c r="C51" s="3"/>
      <c r="D51" s="3"/>
      <c r="E51" s="3"/>
      <c r="F51" s="3"/>
      <c r="G51" s="3"/>
      <c r="H51" s="3"/>
      <c r="I51" s="3"/>
      <c r="J51" s="3"/>
    </row>
    <row r="52" ht="22" customHeight="1">
      <c r="A52" s="3"/>
      <c r="B52" s="3"/>
      <c r="C52" s="3"/>
      <c r="D52" s="3"/>
      <c r="E52" s="3"/>
      <c r="F52" s="3"/>
      <c r="G52" s="3"/>
      <c r="H52" s="3"/>
      <c r="I52" s="3"/>
      <c r="J52" s="3"/>
    </row>
    <row r="53" ht="22" customHeight="1">
      <c r="A53" s="3"/>
      <c r="B53" s="3"/>
      <c r="C53" s="3"/>
      <c r="D53" s="3"/>
      <c r="E53" s="3"/>
      <c r="F53" s="3"/>
      <c r="G53" s="3"/>
      <c r="H53" s="3"/>
      <c r="I53" s="3"/>
      <c r="J53" s="3"/>
    </row>
    <row r="54" ht="22" customHeight="1">
      <c r="A54" s="3"/>
      <c r="B54" s="3"/>
      <c r="C54" s="3"/>
      <c r="D54" s="3"/>
      <c r="E54" s="3"/>
      <c r="F54" s="3"/>
      <c r="G54" s="3"/>
      <c r="H54" s="3"/>
      <c r="I54" s="3"/>
      <c r="J54" s="3"/>
    </row>
    <row r="55" ht="22" customHeight="1">
      <c r="A55" s="3"/>
      <c r="B55" s="3"/>
      <c r="C55" s="3"/>
      <c r="D55" s="3"/>
      <c r="E55" s="3"/>
      <c r="F55" s="3"/>
      <c r="G55" s="3"/>
      <c r="H55" s="3"/>
      <c r="I55" s="3"/>
      <c r="J55" s="3"/>
    </row>
    <row r="56" ht="22" customHeight="1">
      <c r="A56" s="3"/>
      <c r="B56" s="3"/>
      <c r="C56" s="3"/>
      <c r="D56" s="3"/>
      <c r="E56" s="3"/>
      <c r="F56" s="3"/>
      <c r="G56" s="3"/>
      <c r="H56" s="3"/>
      <c r="I56" s="3"/>
      <c r="J56" s="3"/>
    </row>
    <row r="57" ht="22" customHeight="1">
      <c r="A57" s="3"/>
      <c r="B57" s="3"/>
      <c r="C57" s="3"/>
      <c r="D57" s="3"/>
      <c r="E57" s="3"/>
      <c r="F57" s="3"/>
      <c r="G57" s="3"/>
      <c r="H57" s="3"/>
      <c r="I57" s="3"/>
      <c r="J57" s="3"/>
    </row>
    <row r="58" ht="22" customHeight="1">
      <c r="A58" s="3"/>
      <c r="B58" s="3"/>
      <c r="C58" s="3"/>
      <c r="D58" s="3"/>
      <c r="E58" s="3"/>
      <c r="F58" s="3"/>
      <c r="G58" s="3"/>
      <c r="H58" s="3"/>
      <c r="I58" s="3"/>
      <c r="J58" s="3"/>
    </row>
    <row r="59" ht="22" customHeight="1">
      <c r="A59" s="3"/>
      <c r="B59" s="3"/>
      <c r="C59" s="3"/>
      <c r="D59" s="3"/>
      <c r="E59" s="3"/>
      <c r="F59" s="3"/>
      <c r="G59" s="3"/>
      <c r="H59" s="3"/>
      <c r="I59" s="3"/>
      <c r="J59" s="3"/>
    </row>
    <row r="60" ht="22" customHeight="1">
      <c r="A60" s="3"/>
      <c r="B60" s="3"/>
      <c r="C60" s="3"/>
      <c r="D60" s="3"/>
      <c r="E60" s="3"/>
      <c r="F60" s="3"/>
      <c r="G60" s="3"/>
      <c r="H60" s="3"/>
      <c r="I60" s="3"/>
      <c r="J60" s="3"/>
    </row>
    <row r="61" ht="22" customHeight="1">
      <c r="A61" s="3"/>
      <c r="B61" s="3"/>
      <c r="C61" s="3"/>
      <c r="D61" s="3"/>
      <c r="E61" s="3"/>
      <c r="F61" s="3"/>
      <c r="G61" s="3"/>
      <c r="H61" s="3"/>
      <c r="I61" s="3"/>
      <c r="J61" s="3"/>
    </row>
    <row r="62" ht="22" customHeight="1">
      <c r="A62" s="3"/>
      <c r="B62" s="3"/>
      <c r="C62" s="3"/>
      <c r="D62" s="3"/>
      <c r="E62" s="3"/>
      <c r="F62" s="3"/>
      <c r="G62" s="3"/>
      <c r="H62" s="3"/>
      <c r="I62" s="3"/>
      <c r="J62" s="3"/>
    </row>
    <row r="63" ht="22" customHeight="1">
      <c r="A63" s="3"/>
      <c r="B63" s="3"/>
      <c r="C63" s="3"/>
      <c r="D63" s="3"/>
      <c r="E63" s="3"/>
      <c r="F63" s="3"/>
      <c r="G63" s="3"/>
      <c r="H63" s="3"/>
      <c r="I63" s="3"/>
      <c r="J63" s="3"/>
    </row>
    <row r="64" ht="22" customHeight="1">
      <c r="A64" s="3"/>
      <c r="B64" s="3"/>
      <c r="C64" s="3"/>
      <c r="D64" s="3"/>
      <c r="E64" s="3"/>
      <c r="F64" s="3"/>
      <c r="G64" s="3"/>
      <c r="H64" s="3"/>
      <c r="I64" s="3"/>
      <c r="J64" s="3"/>
    </row>
    <row r="65" ht="22" customHeight="1">
      <c r="A65" s="3"/>
      <c r="B65" s="3"/>
      <c r="C65" s="3"/>
      <c r="D65" s="3"/>
      <c r="E65" s="3"/>
      <c r="F65" s="3"/>
      <c r="G65" s="3"/>
      <c r="H65" s="3"/>
      <c r="I65" s="3"/>
      <c r="J65" s="3"/>
    </row>
    <row r="66" ht="22" customHeight="1">
      <c r="A66" s="3"/>
      <c r="B66" s="3"/>
      <c r="C66" s="3"/>
      <c r="D66" s="3"/>
      <c r="E66" s="3"/>
      <c r="F66" s="3"/>
      <c r="G66" s="3"/>
      <c r="H66" s="3"/>
      <c r="I66" s="3"/>
      <c r="J66" s="3"/>
    </row>
    <row r="67" ht="22" customHeight="1">
      <c r="A67" s="3"/>
      <c r="B67" s="3"/>
      <c r="C67" s="3"/>
      <c r="D67" s="3"/>
      <c r="E67" s="3"/>
      <c r="F67" s="3"/>
      <c r="G67" s="3"/>
      <c r="H67" s="3"/>
      <c r="I67" s="3"/>
      <c r="J67" s="3"/>
    </row>
    <row r="68" ht="22" customHeight="1">
      <c r="A68" s="3"/>
      <c r="B68" s="3"/>
      <c r="C68" s="3"/>
      <c r="D68" s="3"/>
      <c r="E68" s="3"/>
      <c r="F68" s="3"/>
      <c r="G68" s="3"/>
      <c r="H68" s="3"/>
      <c r="I68" s="3"/>
      <c r="J68" s="3"/>
    </row>
    <row r="69" ht="22" customHeight="1">
      <c r="A69" s="3"/>
      <c r="B69" s="3"/>
      <c r="C69" s="3"/>
      <c r="D69" s="3"/>
      <c r="E69" s="3"/>
      <c r="F69" s="3"/>
      <c r="G69" s="3"/>
      <c r="H69" s="3"/>
      <c r="I69" s="3"/>
      <c r="J69" s="3"/>
    </row>
    <row r="70" ht="22" customHeight="1">
      <c r="A70" s="3"/>
      <c r="B70" s="3"/>
      <c r="C70" s="3"/>
      <c r="D70" s="3"/>
      <c r="E70" s="3"/>
      <c r="F70" s="3"/>
      <c r="G70" s="3"/>
      <c r="H70" s="3"/>
      <c r="I70" s="3"/>
      <c r="J70" s="3"/>
    </row>
    <row r="71" ht="22" customHeight="1">
      <c r="A71" s="3"/>
      <c r="B71" s="3"/>
      <c r="C71" s="3"/>
      <c r="D71" s="3"/>
      <c r="E71" s="3"/>
      <c r="F71" s="3"/>
      <c r="G71" s="3"/>
      <c r="H71" s="3"/>
      <c r="I71" s="3"/>
      <c r="J71" s="3"/>
    </row>
    <row r="72" ht="22" customHeight="1">
      <c r="A72" s="3"/>
      <c r="B72" s="3"/>
      <c r="C72" s="3"/>
      <c r="D72" s="3"/>
      <c r="E72" s="3"/>
      <c r="F72" s="3"/>
      <c r="G72" s="3"/>
      <c r="H72" s="3"/>
      <c r="I72" s="3"/>
      <c r="J72" s="3"/>
    </row>
    <row r="73" ht="22" customHeight="1">
      <c r="A73" s="3"/>
      <c r="B73" s="3"/>
      <c r="C73" s="3"/>
      <c r="D73" s="3"/>
      <c r="E73" s="3"/>
      <c r="F73" s="3"/>
      <c r="G73" s="3"/>
      <c r="H73" s="3"/>
      <c r="I73" s="3"/>
      <c r="J73" s="3"/>
    </row>
    <row r="74" ht="22" customHeight="1">
      <c r="A74" s="3"/>
      <c r="B74" s="3"/>
      <c r="C74" s="3"/>
      <c r="D74" s="3"/>
      <c r="E74" s="3"/>
      <c r="F74" s="3"/>
      <c r="G74" s="3"/>
      <c r="H74" s="3"/>
      <c r="I74" s="3"/>
      <c r="J74" s="3"/>
    </row>
    <row r="75" ht="22" customHeight="1">
      <c r="A75" s="3"/>
      <c r="B75" s="3"/>
      <c r="C75" s="3"/>
      <c r="D75" s="3"/>
      <c r="E75" s="3"/>
      <c r="F75" s="3"/>
      <c r="G75" s="3"/>
      <c r="H75" s="3"/>
      <c r="I75" s="3"/>
      <c r="J75" s="3"/>
    </row>
    <row r="76" ht="22" customHeight="1">
      <c r="A76" s="3"/>
      <c r="B76" s="3"/>
      <c r="C76" s="3"/>
      <c r="D76" s="3"/>
      <c r="E76" s="3"/>
      <c r="F76" s="3"/>
      <c r="G76" s="3"/>
      <c r="H76" s="3"/>
      <c r="I76" s="3"/>
      <c r="J76" s="3"/>
    </row>
    <row r="77" ht="22" customHeight="1">
      <c r="A77" s="3"/>
      <c r="B77" s="3"/>
      <c r="C77" s="3"/>
      <c r="D77" s="3"/>
      <c r="E77" s="3"/>
      <c r="F77" s="3"/>
      <c r="G77" s="3"/>
      <c r="H77" s="3"/>
      <c r="I77" s="3"/>
      <c r="J77" s="3"/>
    </row>
    <row r="78" ht="22" customHeight="1">
      <c r="A78" s="3"/>
      <c r="B78" s="3"/>
      <c r="C78" s="3"/>
      <c r="D78" s="3"/>
      <c r="E78" s="3"/>
      <c r="F78" s="3"/>
      <c r="G78" s="3"/>
      <c r="H78" s="3"/>
      <c r="I78" s="3"/>
      <c r="J78" s="3"/>
    </row>
    <row r="79" ht="22" customHeight="1">
      <c r="A79" s="3"/>
      <c r="B79" s="3"/>
      <c r="C79" s="3"/>
      <c r="D79" s="3"/>
      <c r="E79" s="3"/>
      <c r="F79" s="3"/>
      <c r="G79" s="3"/>
      <c r="H79" s="3"/>
      <c r="I79" s="3"/>
      <c r="J79" s="3"/>
    </row>
    <row r="80" ht="22" customHeight="1">
      <c r="A80" s="3"/>
      <c r="B80" s="3"/>
      <c r="C80" s="3"/>
      <c r="D80" s="3"/>
      <c r="E80" s="3"/>
      <c r="F80" s="3"/>
      <c r="G80" s="3"/>
      <c r="H80" s="3"/>
      <c r="I80" s="3"/>
      <c r="J80" s="3"/>
    </row>
    <row r="81" ht="22" customHeight="1">
      <c r="A81" s="3"/>
      <c r="B81" s="3"/>
      <c r="C81" s="3"/>
      <c r="D81" s="3"/>
      <c r="E81" s="3"/>
      <c r="F81" s="3"/>
      <c r="G81" s="3"/>
      <c r="H81" s="3"/>
      <c r="I81" s="3"/>
      <c r="J81" s="3"/>
    </row>
    <row r="82" ht="22" customHeight="1">
      <c r="A82" s="3"/>
      <c r="B82" s="3"/>
      <c r="C82" s="3"/>
      <c r="D82" s="3"/>
      <c r="E82" s="3"/>
      <c r="F82" s="3"/>
      <c r="G82" s="3"/>
      <c r="H82" s="3"/>
      <c r="I82" s="3"/>
      <c r="J82" s="3"/>
    </row>
    <row r="83" ht="22" customHeight="1">
      <c r="A83" s="3"/>
      <c r="B83" s="3"/>
      <c r="C83" s="3"/>
      <c r="D83" s="3"/>
      <c r="E83" s="3"/>
      <c r="F83" s="3"/>
      <c r="G83" s="3"/>
      <c r="H83" s="3"/>
      <c r="I83" s="3"/>
      <c r="J83" s="3"/>
    </row>
    <row r="84" ht="22" customHeight="1">
      <c r="A84" s="3"/>
      <c r="B84" s="3"/>
      <c r="C84" s="3"/>
      <c r="D84" s="3"/>
      <c r="E84" s="3"/>
      <c r="F84" s="3"/>
      <c r="G84" s="3"/>
      <c r="H84" s="3"/>
      <c r="I84" s="3"/>
      <c r="J84" s="3"/>
    </row>
    <row r="85" ht="22" customHeight="1">
      <c r="A85" s="3"/>
      <c r="B85" s="3"/>
      <c r="C85" s="3"/>
      <c r="D85" s="3"/>
      <c r="E85" s="3"/>
      <c r="F85" s="3"/>
      <c r="G85" s="3"/>
      <c r="H85" s="3"/>
      <c r="I85" s="3"/>
      <c r="J85" s="3"/>
    </row>
    <row r="86" ht="22" customHeight="1">
      <c r="A86" s="3"/>
      <c r="B86" s="3"/>
      <c r="C86" s="3"/>
      <c r="D86" s="3"/>
      <c r="E86" s="3"/>
      <c r="F86" s="3"/>
      <c r="G86" s="3"/>
      <c r="H86" s="3"/>
      <c r="I86" s="3"/>
      <c r="J86" s="3"/>
    </row>
    <row r="87" ht="22" customHeight="1">
      <c r="A87" s="3"/>
      <c r="B87" s="3"/>
      <c r="C87" s="3"/>
      <c r="D87" s="3"/>
      <c r="E87" s="3"/>
      <c r="F87" s="3"/>
      <c r="G87" s="3"/>
      <c r="H87" s="3"/>
      <c r="I87" s="3"/>
      <c r="J87" s="3"/>
    </row>
    <row r="88" ht="22" customHeight="1">
      <c r="A88" s="3"/>
      <c r="B88" s="3"/>
      <c r="C88" s="3"/>
      <c r="D88" s="3"/>
      <c r="E88" s="3"/>
      <c r="F88" s="3"/>
      <c r="G88" s="3"/>
      <c r="H88" s="3"/>
      <c r="I88" s="3"/>
      <c r="J88" s="3"/>
    </row>
    <row r="89" ht="22" customHeight="1">
      <c r="A89" s="3"/>
      <c r="B89" s="3"/>
      <c r="C89" s="3"/>
      <c r="D89" s="3"/>
      <c r="E89" s="3"/>
      <c r="F89" s="3"/>
      <c r="G89" s="3"/>
      <c r="H89" s="3"/>
      <c r="I89" s="3"/>
      <c r="J89" s="3"/>
    </row>
    <row r="90" ht="22" customHeight="1">
      <c r="A90" s="3"/>
      <c r="B90" s="3"/>
      <c r="C90" s="3"/>
      <c r="D90" s="3"/>
      <c r="E90" s="3"/>
      <c r="F90" s="3"/>
      <c r="G90" s="3"/>
      <c r="H90" s="3"/>
      <c r="I90" s="3"/>
      <c r="J90" s="3"/>
    </row>
  </sheetData>
  <hyperlinks>
    <hyperlink ref="A4" location="'Inicio'!A1"/>
  </hyperlinks>
  <pageMargins left="0.7" right="0.7" top="0.75" bottom="0.75" header="0.3" footer="0.3"/>
</worksheet>
</file>